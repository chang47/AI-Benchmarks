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Month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tock" sheetId="6" state="visible" r:id="rId6"/>
    <sheet xmlns:r="http://schemas.openxmlformats.org/officeDocument/2006/relationships" name="Exce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UnitCost</t>
        </is>
      </c>
      <c r="E1" s="1" t="inlineStr">
        <is>
          <t>ListPrice</t>
        </is>
      </c>
      <c r="F1" s="1" t="inlineStr">
        <is>
          <t>ReorderPoint</t>
        </is>
      </c>
      <c r="G1" s="1" t="inlineStr">
        <is>
          <t>ReorderQty</t>
        </is>
      </c>
    </row>
    <row r="2">
      <c r="A2" t="inlineStr">
        <is>
          <t>TENT-2P</t>
        </is>
      </c>
      <c r="B2" t="inlineStr">
        <is>
          <t>Two-person tent</t>
        </is>
      </c>
      <c r="C2" t="n">
        <v>40</v>
      </c>
      <c r="D2" t="n">
        <v>88</v>
      </c>
      <c r="E2" t="n">
        <v>189</v>
      </c>
      <c r="F2" t="n">
        <v>15</v>
      </c>
      <c r="G2" t="n">
        <v>40</v>
      </c>
    </row>
    <row r="3">
      <c r="A3" t="inlineStr">
        <is>
          <t>TENT-4P</t>
        </is>
      </c>
      <c r="B3" t="inlineStr">
        <is>
          <t>Four-person tent</t>
        </is>
      </c>
      <c r="C3" t="n">
        <v>18</v>
      </c>
      <c r="D3" t="n">
        <v>142.5</v>
      </c>
      <c r="E3" t="n">
        <v>299</v>
      </c>
      <c r="F3" t="n">
        <v>8</v>
      </c>
      <c r="G3" t="n">
        <v>20</v>
      </c>
    </row>
    <row r="4">
      <c r="A4" t="inlineStr">
        <is>
          <t>BAG-SUM</t>
        </is>
      </c>
      <c r="B4" t="inlineStr">
        <is>
          <t>Summer sleeping bag</t>
        </is>
      </c>
      <c r="C4" t="n">
        <v>60</v>
      </c>
      <c r="D4" t="n">
        <v>31.25</v>
      </c>
      <c r="E4" t="n">
        <v>69</v>
      </c>
      <c r="F4" t="n">
        <v>20</v>
      </c>
      <c r="G4" t="n">
        <v>60</v>
      </c>
    </row>
    <row r="5">
      <c r="A5" t="inlineStr">
        <is>
          <t>BAG-WIN</t>
        </is>
      </c>
      <c r="B5" t="inlineStr">
        <is>
          <t>Winter sleeping bag</t>
        </is>
      </c>
      <c r="C5" t="n">
        <v>25</v>
      </c>
      <c r="D5" t="n">
        <v>74</v>
      </c>
      <c r="E5" t="n">
        <v>159</v>
      </c>
      <c r="F5" t="n">
        <v>10</v>
      </c>
      <c r="G5" t="n">
        <v>30</v>
      </c>
    </row>
    <row r="6">
      <c r="A6" t="inlineStr">
        <is>
          <t>PAD-FOAM</t>
        </is>
      </c>
      <c r="B6" t="inlineStr">
        <is>
          <t>Foam sleeping pad</t>
        </is>
      </c>
      <c r="C6" t="n">
        <v>80</v>
      </c>
      <c r="D6" t="n">
        <v>9.4</v>
      </c>
      <c r="E6" t="n">
        <v>24</v>
      </c>
      <c r="F6" t="n">
        <v>30</v>
      </c>
      <c r="G6" t="n">
        <v>80</v>
      </c>
    </row>
    <row r="7">
      <c r="A7" t="inlineStr">
        <is>
          <t>STOVE-GAS</t>
        </is>
      </c>
      <c r="B7" t="inlineStr">
        <is>
          <t>Gas camp stove</t>
        </is>
      </c>
      <c r="C7" t="n">
        <v>35</v>
      </c>
      <c r="D7" t="n">
        <v>27.8</v>
      </c>
      <c r="E7" t="n">
        <v>59</v>
      </c>
      <c r="F7" t="n">
        <v>12</v>
      </c>
      <c r="G7" t="n">
        <v>36</v>
      </c>
    </row>
    <row r="8">
      <c r="A8" t="inlineStr">
        <is>
          <t>LAMP-LED</t>
        </is>
      </c>
      <c r="B8" t="inlineStr">
        <is>
          <t>LED lantern</t>
        </is>
      </c>
      <c r="C8" t="n">
        <v>90</v>
      </c>
      <c r="D8" t="n">
        <v>11.6</v>
      </c>
      <c r="E8" t="n">
        <v>29</v>
      </c>
      <c r="F8" t="n">
        <v>30</v>
      </c>
      <c r="G8" t="n">
        <v>100</v>
      </c>
    </row>
    <row r="9">
      <c r="A9" t="inlineStr">
        <is>
          <t>PACK-35</t>
        </is>
      </c>
      <c r="B9" t="inlineStr">
        <is>
          <t>35 L daypack</t>
        </is>
      </c>
      <c r="C9" t="n">
        <v>45</v>
      </c>
      <c r="D9" t="n">
        <v>36</v>
      </c>
      <c r="E9" t="n">
        <v>79</v>
      </c>
      <c r="F9" t="n">
        <v>15</v>
      </c>
      <c r="G9" t="n">
        <v>40</v>
      </c>
    </row>
    <row r="10">
      <c r="A10" t="inlineStr">
        <is>
          <t>PACK-65</t>
        </is>
      </c>
      <c r="B10" t="inlineStr">
        <is>
          <t>65 L trekking pack</t>
        </is>
      </c>
      <c r="C10" t="n">
        <v>20</v>
      </c>
      <c r="D10" t="n">
        <v>97</v>
      </c>
      <c r="E10" t="n">
        <v>219</v>
      </c>
      <c r="F10" t="n">
        <v>8</v>
      </c>
      <c r="G10" t="n">
        <v>20</v>
      </c>
    </row>
    <row r="11">
      <c r="A11" t="inlineStr">
        <is>
          <t>BOTTLE-1L</t>
        </is>
      </c>
      <c r="B11" t="inlineStr">
        <is>
          <t>1 L steel bottle</t>
        </is>
      </c>
      <c r="C11" t="n">
        <v>150</v>
      </c>
      <c r="D11" t="n">
        <v>6.1</v>
      </c>
      <c r="E11" t="n">
        <v>18</v>
      </c>
      <c r="F11" t="n">
        <v>50</v>
      </c>
      <c r="G11" t="n">
        <v>150</v>
      </c>
    </row>
    <row r="12">
      <c r="A12" t="inlineStr">
        <is>
          <t>CHAIR-FLD</t>
        </is>
      </c>
      <c r="B12" t="inlineStr">
        <is>
          <t>Folding camp chair</t>
        </is>
      </c>
      <c r="C12" t="n">
        <v>30</v>
      </c>
      <c r="D12" t="n">
        <v>22.4</v>
      </c>
      <c r="E12" t="n">
        <v>49</v>
      </c>
      <c r="F12" t="n">
        <v>12</v>
      </c>
      <c r="G12" t="n">
        <v>30</v>
      </c>
    </row>
    <row r="13">
      <c r="A13" t="inlineStr">
        <is>
          <t>FILTER-H2O</t>
        </is>
      </c>
      <c r="B13" t="inlineStr">
        <is>
          <t>Water filter</t>
        </is>
      </c>
      <c r="C13" t="n">
        <v>28</v>
      </c>
      <c r="D13" t="n">
        <v>41</v>
      </c>
      <c r="E13" t="n">
        <v>89</v>
      </c>
      <c r="F13" t="n">
        <v>10</v>
      </c>
      <c r="G1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UnitCost</t>
        </is>
      </c>
      <c r="G1" s="1" t="inlineStr">
        <is>
          <t>UnitPrice</t>
        </is>
      </c>
      <c r="H1" s="1" t="inlineStr">
        <is>
          <t>Condition</t>
        </is>
      </c>
      <c r="I1" s="1" t="inlineStr">
        <is>
          <t>Category</t>
        </is>
      </c>
      <c r="J1" s="1" t="inlineStr">
        <is>
          <t>Amount</t>
        </is>
      </c>
      <c r="K1" s="1" t="inlineStr">
        <is>
          <t>Note</t>
        </is>
      </c>
    </row>
    <row r="2">
      <c r="A2" t="inlineStr">
        <is>
          <t>T1001</t>
        </is>
      </c>
      <c r="B2" s="2" t="n">
        <v>45839</v>
      </c>
      <c r="C2" t="inlineStr">
        <is>
          <t>SALE</t>
        </is>
      </c>
      <c r="D2" t="inlineStr">
        <is>
          <t>TENT-4P</t>
        </is>
      </c>
      <c r="E2" t="n">
        <v>1</v>
      </c>
      <c r="G2" t="n">
        <v>299</v>
      </c>
    </row>
    <row r="3">
      <c r="A3" t="inlineStr">
        <is>
          <t>T1002</t>
        </is>
      </c>
      <c r="B3" s="2" t="n">
        <v>45839</v>
      </c>
      <c r="C3" t="inlineStr">
        <is>
          <t>SALE</t>
        </is>
      </c>
      <c r="D3" t="inlineStr">
        <is>
          <t>PACK-35</t>
        </is>
      </c>
      <c r="E3" t="n">
        <v>3</v>
      </c>
      <c r="G3" t="n">
        <v>79</v>
      </c>
    </row>
    <row r="4">
      <c r="A4" t="inlineStr">
        <is>
          <t>T1004</t>
        </is>
      </c>
      <c r="B4" s="2" t="n">
        <v>45839</v>
      </c>
      <c r="C4" t="inlineStr">
        <is>
          <t>EXPENSE</t>
        </is>
      </c>
      <c r="I4" t="inlineStr">
        <is>
          <t>Rent</t>
        </is>
      </c>
      <c r="J4" t="n">
        <v>3200</v>
      </c>
    </row>
    <row r="5">
      <c r="A5" t="inlineStr">
        <is>
          <t>T0999</t>
        </is>
      </c>
      <c r="B5" s="2" t="n">
        <v>45840</v>
      </c>
      <c r="C5" t="inlineStr">
        <is>
          <t>RETURN</t>
        </is>
      </c>
      <c r="D5" t="inlineStr">
        <is>
          <t>FILTER-H2O</t>
        </is>
      </c>
      <c r="E5" t="n">
        <v>1</v>
      </c>
      <c r="G5" t="n">
        <v>89</v>
      </c>
      <c r="H5" t="inlineStr">
        <is>
          <t>resellable</t>
        </is>
      </c>
    </row>
    <row r="6">
      <c r="A6" t="inlineStr">
        <is>
          <t>T1006</t>
        </is>
      </c>
      <c r="B6" s="2" t="n">
        <v>45840</v>
      </c>
      <c r="C6" t="inlineStr">
        <is>
          <t>SALE</t>
        </is>
      </c>
      <c r="D6" t="inlineStr">
        <is>
          <t>BAG-SUM</t>
        </is>
      </c>
      <c r="E6" t="n">
        <v>8</v>
      </c>
      <c r="G6" t="n">
        <v>69</v>
      </c>
    </row>
    <row r="7">
      <c r="A7" t="inlineStr">
        <is>
          <t>T1007</t>
        </is>
      </c>
      <c r="B7" s="2" t="n">
        <v>45840</v>
      </c>
      <c r="C7" t="inlineStr">
        <is>
          <t>SALE</t>
        </is>
      </c>
      <c r="D7" t="inlineStr">
        <is>
          <t>LAMP-LED</t>
        </is>
      </c>
      <c r="E7" t="n">
        <v>4</v>
      </c>
      <c r="G7" t="n">
        <v>29</v>
      </c>
    </row>
    <row r="8">
      <c r="A8" t="inlineStr">
        <is>
          <t>T1008</t>
        </is>
      </c>
      <c r="B8" s="2" t="n">
        <v>45840</v>
      </c>
      <c r="C8" t="inlineStr">
        <is>
          <t>SALE</t>
        </is>
      </c>
      <c r="D8" t="inlineStr">
        <is>
          <t>PACK-65</t>
        </is>
      </c>
      <c r="E8" t="n">
        <v>1</v>
      </c>
      <c r="G8" t="n">
        <v>197.1</v>
      </c>
    </row>
    <row r="9">
      <c r="A9" t="inlineStr">
        <is>
          <t>T1010</t>
        </is>
      </c>
      <c r="B9" s="2" t="n">
        <v>45840</v>
      </c>
      <c r="C9" t="inlineStr">
        <is>
          <t>SALE</t>
        </is>
      </c>
      <c r="D9" t="inlineStr">
        <is>
          <t>FILTER-H2O</t>
        </is>
      </c>
      <c r="E9" t="n">
        <v>2</v>
      </c>
      <c r="G9" t="n">
        <v>89</v>
      </c>
    </row>
    <row r="10">
      <c r="A10" t="inlineStr">
        <is>
          <t>T1011</t>
        </is>
      </c>
      <c r="B10" s="2" t="n">
        <v>45841</v>
      </c>
      <c r="C10" t="inlineStr">
        <is>
          <t>SALE</t>
        </is>
      </c>
      <c r="D10" t="inlineStr">
        <is>
          <t>TENT-2P</t>
        </is>
      </c>
      <c r="E10" t="n">
        <v>3</v>
      </c>
      <c r="G10" t="n">
        <v>170.1</v>
      </c>
    </row>
    <row r="11">
      <c r="A11" t="inlineStr">
        <is>
          <t>T1012</t>
        </is>
      </c>
      <c r="B11" s="2" t="n">
        <v>45841</v>
      </c>
      <c r="C11" t="inlineStr">
        <is>
          <t>SALE</t>
        </is>
      </c>
      <c r="D11" t="inlineStr">
        <is>
          <t>BAG-SUM</t>
        </is>
      </c>
      <c r="E11" t="n">
        <v>3</v>
      </c>
      <c r="G11" t="n">
        <v>69</v>
      </c>
    </row>
    <row r="12">
      <c r="A12" t="inlineStr">
        <is>
          <t>T1013</t>
        </is>
      </c>
      <c r="B12" s="2" t="n">
        <v>45841</v>
      </c>
      <c r="C12" t="inlineStr">
        <is>
          <t>SALE</t>
        </is>
      </c>
      <c r="D12" t="inlineStr">
        <is>
          <t>PACK-35</t>
        </is>
      </c>
      <c r="E12" t="n">
        <v>3</v>
      </c>
      <c r="G12" t="n">
        <v>71.09999999999999</v>
      </c>
    </row>
    <row r="13">
      <c r="A13" t="inlineStr">
        <is>
          <t>T1014</t>
        </is>
      </c>
      <c r="B13" s="2" t="n">
        <v>45841</v>
      </c>
      <c r="C13" t="inlineStr">
        <is>
          <t>SALE</t>
        </is>
      </c>
      <c r="D13" t="inlineStr">
        <is>
          <t>PACK-65</t>
        </is>
      </c>
      <c r="E13" t="n">
        <v>6</v>
      </c>
      <c r="G13" t="n">
        <v>219</v>
      </c>
    </row>
    <row r="14">
      <c r="A14" t="inlineStr">
        <is>
          <t>T1015</t>
        </is>
      </c>
      <c r="B14" s="2" t="n">
        <v>45842</v>
      </c>
      <c r="C14" t="inlineStr">
        <is>
          <t>SALE</t>
        </is>
      </c>
      <c r="D14" t="inlineStr">
        <is>
          <t xml:space="preserve">TENT-2P </t>
        </is>
      </c>
      <c r="E14" t="n">
        <v>2</v>
      </c>
      <c r="G14" t="n">
        <v>170.1</v>
      </c>
    </row>
    <row r="15">
      <c r="A15" t="inlineStr">
        <is>
          <t>T1016</t>
        </is>
      </c>
      <c r="B15" s="2" t="n">
        <v>45842</v>
      </c>
      <c r="C15" t="inlineStr">
        <is>
          <t>SALE</t>
        </is>
      </c>
      <c r="D15" t="inlineStr">
        <is>
          <t>BAG-WIN</t>
        </is>
      </c>
      <c r="E15" t="n">
        <v>1</v>
      </c>
      <c r="G15" t="n">
        <v>135.15</v>
      </c>
    </row>
    <row r="16">
      <c r="A16" t="inlineStr">
        <is>
          <t>T1018</t>
        </is>
      </c>
      <c r="B16" s="2" t="n">
        <v>45842</v>
      </c>
      <c r="C16" t="inlineStr">
        <is>
          <t>SALE</t>
        </is>
      </c>
      <c r="D16" t="inlineStr">
        <is>
          <t>LAMP-LED</t>
        </is>
      </c>
      <c r="E16" t="n">
        <v>4</v>
      </c>
      <c r="G16" t="n">
        <v>29</v>
      </c>
    </row>
    <row r="17">
      <c r="A17" t="inlineStr">
        <is>
          <t>T1019</t>
        </is>
      </c>
      <c r="B17" s="2" t="n">
        <v>45842</v>
      </c>
      <c r="C17" t="inlineStr">
        <is>
          <t>SALE</t>
        </is>
      </c>
      <c r="D17" t="inlineStr">
        <is>
          <t>PACK-65</t>
        </is>
      </c>
      <c r="E17" t="n">
        <v>4</v>
      </c>
      <c r="G17" t="n">
        <v>219</v>
      </c>
    </row>
    <row r="18">
      <c r="A18" t="inlineStr">
        <is>
          <t>T1020</t>
        </is>
      </c>
      <c r="B18" s="2" t="n">
        <v>45842</v>
      </c>
      <c r="C18" t="inlineStr">
        <is>
          <t>SALE</t>
        </is>
      </c>
      <c r="D18" t="inlineStr">
        <is>
          <t>CHAIR-FLD</t>
        </is>
      </c>
      <c r="E18" t="n">
        <v>1</v>
      </c>
      <c r="G18" t="n">
        <v>44.1</v>
      </c>
    </row>
    <row r="19">
      <c r="A19" t="inlineStr">
        <is>
          <t>T1021</t>
        </is>
      </c>
      <c r="B19" s="2" t="n">
        <v>45842</v>
      </c>
      <c r="C19" t="inlineStr">
        <is>
          <t>EXPENSE</t>
        </is>
      </c>
      <c r="I19" t="inlineStr">
        <is>
          <t>Shipping</t>
        </is>
      </c>
      <c r="J19" t="n">
        <v>343.9</v>
      </c>
    </row>
    <row r="20">
      <c r="A20" t="inlineStr">
        <is>
          <t>T1022</t>
        </is>
      </c>
      <c r="B20" s="2" t="n">
        <v>45843</v>
      </c>
      <c r="C20" t="inlineStr">
        <is>
          <t>SALE</t>
        </is>
      </c>
      <c r="D20" t="inlineStr">
        <is>
          <t>TENT-2P</t>
        </is>
      </c>
      <c r="E20" t="n">
        <v>3</v>
      </c>
      <c r="G20" t="n">
        <v>189</v>
      </c>
    </row>
    <row r="21">
      <c r="A21" t="inlineStr">
        <is>
          <t>T1023</t>
        </is>
      </c>
      <c r="B21" s="2" t="n">
        <v>45843</v>
      </c>
      <c r="C21" t="inlineStr">
        <is>
          <t>SALE</t>
        </is>
      </c>
      <c r="D21" t="inlineStr">
        <is>
          <t>TENT-4P</t>
        </is>
      </c>
      <c r="E21" t="n">
        <v>2</v>
      </c>
      <c r="G21" t="n">
        <v>254.15</v>
      </c>
    </row>
    <row r="22">
      <c r="A22" t="inlineStr">
        <is>
          <t>T1024</t>
        </is>
      </c>
      <c r="B22" s="2" t="n">
        <v>45843</v>
      </c>
      <c r="C22" t="inlineStr">
        <is>
          <t>SALE</t>
        </is>
      </c>
      <c r="D22" t="inlineStr">
        <is>
          <t>LAMP-LED</t>
        </is>
      </c>
      <c r="E22" t="n">
        <v>8</v>
      </c>
      <c r="G22" t="n">
        <v>29</v>
      </c>
    </row>
    <row r="23">
      <c r="A23" t="inlineStr">
        <is>
          <t>T1025</t>
        </is>
      </c>
      <c r="B23" s="2" t="n">
        <v>45843</v>
      </c>
      <c r="C23" t="inlineStr">
        <is>
          <t>SALE</t>
        </is>
      </c>
      <c r="D23" t="inlineStr">
        <is>
          <t>PACK-35</t>
        </is>
      </c>
      <c r="E23" t="n">
        <v>3</v>
      </c>
      <c r="G23" t="n">
        <v>79</v>
      </c>
    </row>
    <row r="24">
      <c r="A24" t="inlineStr">
        <is>
          <t>T1026</t>
        </is>
      </c>
      <c r="B24" s="2" t="n">
        <v>45843</v>
      </c>
      <c r="C24" t="inlineStr">
        <is>
          <t>SALE</t>
        </is>
      </c>
      <c r="D24" t="inlineStr">
        <is>
          <t>CHAIR-FLD</t>
        </is>
      </c>
      <c r="E24" t="n">
        <v>1</v>
      </c>
      <c r="G24" t="n">
        <v>41.65</v>
      </c>
    </row>
    <row r="25">
      <c r="A25" t="inlineStr">
        <is>
          <t>T1027</t>
        </is>
      </c>
      <c r="B25" s="2" t="n">
        <v>45844</v>
      </c>
      <c r="C25" t="inlineStr">
        <is>
          <t>SALE</t>
        </is>
      </c>
      <c r="D25" t="inlineStr">
        <is>
          <t>TENT-4P</t>
        </is>
      </c>
      <c r="E25" t="n">
        <v>2</v>
      </c>
      <c r="G25" t="n">
        <v>269.1</v>
      </c>
    </row>
    <row r="26">
      <c r="A26" t="inlineStr">
        <is>
          <t>T1028</t>
        </is>
      </c>
      <c r="B26" s="2" t="n">
        <v>45844</v>
      </c>
      <c r="C26" t="inlineStr">
        <is>
          <t>SALE</t>
        </is>
      </c>
      <c r="D26" t="inlineStr">
        <is>
          <t>PAD-FOAM</t>
        </is>
      </c>
      <c r="E26" t="n">
        <v>8</v>
      </c>
      <c r="G26" t="n">
        <v>24</v>
      </c>
    </row>
    <row r="27">
      <c r="A27" t="inlineStr">
        <is>
          <t>T1029</t>
        </is>
      </c>
      <c r="B27" s="2" t="n">
        <v>45844</v>
      </c>
      <c r="C27" t="inlineStr">
        <is>
          <t>SALE</t>
        </is>
      </c>
      <c r="D27" t="inlineStr">
        <is>
          <t>STOVE-GAS</t>
        </is>
      </c>
      <c r="E27" t="n">
        <v>1</v>
      </c>
      <c r="G27" t="n">
        <v>50.15</v>
      </c>
    </row>
    <row r="28">
      <c r="A28" t="inlineStr">
        <is>
          <t>T1030</t>
        </is>
      </c>
      <c r="B28" s="2" t="n">
        <v>45844</v>
      </c>
      <c r="C28" t="inlineStr">
        <is>
          <t>SALE</t>
        </is>
      </c>
      <c r="D28" t="inlineStr">
        <is>
          <t>LAMP-LED</t>
        </is>
      </c>
      <c r="E28" t="n">
        <v>4</v>
      </c>
      <c r="G28" t="n">
        <v>29</v>
      </c>
    </row>
    <row r="29">
      <c r="A29" t="inlineStr">
        <is>
          <t>T1031</t>
        </is>
      </c>
      <c r="B29" s="2" t="n">
        <v>45844</v>
      </c>
      <c r="C29" t="inlineStr">
        <is>
          <t>SALE</t>
        </is>
      </c>
      <c r="D29" t="inlineStr">
        <is>
          <t>CHAIR-FLD</t>
        </is>
      </c>
      <c r="E29" t="n">
        <v>4</v>
      </c>
      <c r="G29" t="n">
        <v>44.1</v>
      </c>
    </row>
    <row r="30">
      <c r="A30" t="inlineStr">
        <is>
          <t>T1033</t>
        </is>
      </c>
      <c r="B30" s="2" t="n">
        <v>45844</v>
      </c>
      <c r="C30" t="inlineStr">
        <is>
          <t>RECEIPT</t>
        </is>
      </c>
      <c r="D30" t="inlineStr">
        <is>
          <t>BOTTLE-1L</t>
        </is>
      </c>
      <c r="E30" t="n">
        <v>150</v>
      </c>
      <c r="F30" t="n">
        <v>6.1</v>
      </c>
    </row>
    <row r="31">
      <c r="A31" t="inlineStr">
        <is>
          <t>T1035</t>
        </is>
      </c>
      <c r="B31" s="2" t="n">
        <v>45844</v>
      </c>
      <c r="C31" t="inlineStr">
        <is>
          <t>RETURN</t>
        </is>
      </c>
      <c r="D31" t="inlineStr">
        <is>
          <t>PAD-FOAM</t>
        </is>
      </c>
      <c r="E31" t="n">
        <v>1</v>
      </c>
      <c r="G31" t="n">
        <v>24</v>
      </c>
      <c r="H31" t="inlineStr">
        <is>
          <t>resellable</t>
        </is>
      </c>
    </row>
    <row r="32">
      <c r="A32" t="inlineStr">
        <is>
          <t>T1036</t>
        </is>
      </c>
      <c r="B32" s="2" t="n">
        <v>45845</v>
      </c>
      <c r="C32" t="inlineStr">
        <is>
          <t>SALE</t>
        </is>
      </c>
      <c r="D32" t="inlineStr">
        <is>
          <t>TENT-2P</t>
        </is>
      </c>
      <c r="E32" t="n">
        <v>1</v>
      </c>
      <c r="G32" t="n">
        <v>189</v>
      </c>
    </row>
    <row r="33">
      <c r="A33" t="inlineStr">
        <is>
          <t>T1038</t>
        </is>
      </c>
      <c r="B33" s="2" t="n">
        <v>45845</v>
      </c>
      <c r="C33" t="inlineStr">
        <is>
          <t>SALE</t>
        </is>
      </c>
      <c r="D33" t="inlineStr">
        <is>
          <t xml:space="preserve">PAD-FOAM </t>
        </is>
      </c>
      <c r="E33" t="n">
        <v>4</v>
      </c>
      <c r="G33" t="n">
        <v>24</v>
      </c>
    </row>
    <row r="34">
      <c r="A34" t="inlineStr">
        <is>
          <t>T1039</t>
        </is>
      </c>
      <c r="B34" s="2" t="n">
        <v>45845</v>
      </c>
      <c r="C34" t="inlineStr">
        <is>
          <t>SALE</t>
        </is>
      </c>
      <c r="D34" t="inlineStr">
        <is>
          <t>PACK-35</t>
        </is>
      </c>
      <c r="E34" t="n">
        <v>3</v>
      </c>
      <c r="G34" t="n">
        <v>79</v>
      </c>
    </row>
    <row r="35">
      <c r="A35" t="inlineStr">
        <is>
          <t>T1040</t>
        </is>
      </c>
      <c r="B35" s="2" t="n">
        <v>45845</v>
      </c>
      <c r="C35" t="inlineStr">
        <is>
          <t>SALE</t>
        </is>
      </c>
      <c r="D35" t="inlineStr">
        <is>
          <t>BOTTLE-1L</t>
        </is>
      </c>
      <c r="E35" t="n">
        <v>4</v>
      </c>
      <c r="G35" t="n">
        <v>18</v>
      </c>
    </row>
    <row r="36">
      <c r="A36" t="inlineStr">
        <is>
          <t>T1042</t>
        </is>
      </c>
      <c r="B36" s="2" t="n">
        <v>45845</v>
      </c>
      <c r="C36" t="inlineStr">
        <is>
          <t>SALE</t>
        </is>
      </c>
      <c r="D36" t="inlineStr">
        <is>
          <t>CHAIR-FLD</t>
        </is>
      </c>
      <c r="E36" t="n">
        <v>4</v>
      </c>
      <c r="G36" t="n">
        <v>41.65</v>
      </c>
    </row>
    <row r="37">
      <c r="A37" t="inlineStr">
        <is>
          <t>T1044</t>
        </is>
      </c>
      <c r="B37" s="2" t="n">
        <v>45845</v>
      </c>
      <c r="C37" t="inlineStr">
        <is>
          <t>SALE</t>
        </is>
      </c>
      <c r="D37" t="inlineStr">
        <is>
          <t>FILTER-H2O</t>
        </is>
      </c>
      <c r="E37" t="n">
        <v>1</v>
      </c>
      <c r="G37" t="n">
        <v>80.09999999999999</v>
      </c>
    </row>
    <row r="38">
      <c r="A38" t="inlineStr">
        <is>
          <t>T1045</t>
        </is>
      </c>
      <c r="B38" s="2" t="n">
        <v>45845</v>
      </c>
      <c r="C38" t="inlineStr">
        <is>
          <t>RECEIPT</t>
        </is>
      </c>
      <c r="D38" t="inlineStr">
        <is>
          <t>TENT-2P</t>
        </is>
      </c>
      <c r="E38" t="n">
        <v>40</v>
      </c>
      <c r="F38" t="n">
        <v>88</v>
      </c>
    </row>
    <row r="39">
      <c r="A39" t="inlineStr">
        <is>
          <t>T1047</t>
        </is>
      </c>
      <c r="B39" s="2" t="n">
        <v>45846</v>
      </c>
      <c r="C39" t="inlineStr">
        <is>
          <t>SALE</t>
        </is>
      </c>
      <c r="D39" t="inlineStr">
        <is>
          <t>TENT-4P</t>
        </is>
      </c>
      <c r="E39" t="n">
        <v>2</v>
      </c>
      <c r="G39" t="n">
        <v>299</v>
      </c>
    </row>
    <row r="40">
      <c r="A40" t="inlineStr">
        <is>
          <t>T1048</t>
        </is>
      </c>
      <c r="B40" s="2" t="n">
        <v>45846</v>
      </c>
      <c r="C40" t="inlineStr">
        <is>
          <t>SALE</t>
        </is>
      </c>
      <c r="D40" t="inlineStr">
        <is>
          <t>PAD-FOAM</t>
        </is>
      </c>
      <c r="E40" t="n">
        <v>8</v>
      </c>
      <c r="G40" t="n">
        <v>20.4</v>
      </c>
    </row>
    <row r="41">
      <c r="A41" t="inlineStr">
        <is>
          <t>T1050</t>
        </is>
      </c>
      <c r="B41" s="2" t="n">
        <v>45846</v>
      </c>
      <c r="C41" t="inlineStr">
        <is>
          <t>SALE</t>
        </is>
      </c>
      <c r="D41" t="inlineStr">
        <is>
          <t>LAMP-LED</t>
        </is>
      </c>
      <c r="E41" t="n">
        <v>4</v>
      </c>
      <c r="G41" t="n">
        <v>24.65</v>
      </c>
    </row>
    <row r="42">
      <c r="A42" t="inlineStr">
        <is>
          <t>T1051</t>
        </is>
      </c>
      <c r="B42" s="2" t="n">
        <v>45846</v>
      </c>
      <c r="C42" t="inlineStr">
        <is>
          <t>SALE</t>
        </is>
      </c>
      <c r="D42" t="inlineStr">
        <is>
          <t>BOTTLE-1L</t>
        </is>
      </c>
      <c r="E42" t="n">
        <v>8</v>
      </c>
      <c r="G42" t="n">
        <v>18</v>
      </c>
    </row>
    <row r="43">
      <c r="A43" t="inlineStr">
        <is>
          <t>T1052</t>
        </is>
      </c>
      <c r="B43" s="2" t="n">
        <v>45846</v>
      </c>
      <c r="C43" t="inlineStr">
        <is>
          <t>SALE</t>
        </is>
      </c>
      <c r="D43" t="inlineStr">
        <is>
          <t>CHAIR-FLD</t>
        </is>
      </c>
      <c r="E43" t="n">
        <v>2</v>
      </c>
      <c r="G43" t="n">
        <v>49</v>
      </c>
    </row>
    <row r="44">
      <c r="A44" t="inlineStr">
        <is>
          <t>T1053</t>
        </is>
      </c>
      <c r="B44" s="2" t="n">
        <v>45846</v>
      </c>
      <c r="C44" t="inlineStr">
        <is>
          <t>RETURN</t>
        </is>
      </c>
      <c r="D44" t="inlineStr">
        <is>
          <t>BAG-WIN</t>
        </is>
      </c>
      <c r="E44" t="n">
        <v>1</v>
      </c>
      <c r="G44" t="n">
        <v>159</v>
      </c>
      <c r="H44" t="inlineStr">
        <is>
          <t>damaged</t>
        </is>
      </c>
    </row>
    <row r="45">
      <c r="A45" t="inlineStr">
        <is>
          <t>T1054</t>
        </is>
      </c>
      <c r="B45" s="2" t="n">
        <v>45847</v>
      </c>
      <c r="C45" t="inlineStr">
        <is>
          <t>SALE</t>
        </is>
      </c>
      <c r="D45" t="inlineStr">
        <is>
          <t>TENT-2P</t>
        </is>
      </c>
      <c r="E45" t="n">
        <v>4</v>
      </c>
      <c r="G45" t="n">
        <v>189</v>
      </c>
    </row>
    <row r="46">
      <c r="A46" t="inlineStr">
        <is>
          <t>T1056</t>
        </is>
      </c>
      <c r="B46" s="2" t="n">
        <v>45847</v>
      </c>
      <c r="C46" t="inlineStr">
        <is>
          <t>SALE</t>
        </is>
      </c>
      <c r="D46" t="inlineStr">
        <is>
          <t>TENT-4P</t>
        </is>
      </c>
      <c r="E46" t="n">
        <v>4</v>
      </c>
      <c r="G46" t="n">
        <v>299</v>
      </c>
    </row>
    <row r="47">
      <c r="A47" t="inlineStr">
        <is>
          <t>T1057</t>
        </is>
      </c>
      <c r="B47" s="2" t="n">
        <v>45847</v>
      </c>
      <c r="C47" t="inlineStr">
        <is>
          <t>SALE</t>
        </is>
      </c>
      <c r="D47" t="inlineStr">
        <is>
          <t>BAG-SUM</t>
        </is>
      </c>
      <c r="E47" t="n">
        <v>3</v>
      </c>
      <c r="G47" t="n">
        <v>62.1</v>
      </c>
    </row>
    <row r="48">
      <c r="A48" t="inlineStr">
        <is>
          <t>T1058</t>
        </is>
      </c>
      <c r="B48" s="2" t="n">
        <v>45847</v>
      </c>
      <c r="C48" t="inlineStr">
        <is>
          <t>SALE</t>
        </is>
      </c>
      <c r="D48" t="inlineStr">
        <is>
          <t>LAMP-LED</t>
        </is>
      </c>
      <c r="E48" t="n">
        <v>8</v>
      </c>
      <c r="G48" t="n">
        <v>29</v>
      </c>
    </row>
    <row r="49">
      <c r="A49" t="inlineStr">
        <is>
          <t>T1059</t>
        </is>
      </c>
      <c r="B49" s="2" t="n">
        <v>45847</v>
      </c>
      <c r="C49" t="inlineStr">
        <is>
          <t>SALE</t>
        </is>
      </c>
      <c r="D49" t="inlineStr">
        <is>
          <t>PACK-65</t>
        </is>
      </c>
      <c r="E49" t="n">
        <v>1</v>
      </c>
      <c r="G49" t="n">
        <v>219</v>
      </c>
    </row>
    <row r="50">
      <c r="A50" t="inlineStr">
        <is>
          <t>T1060</t>
        </is>
      </c>
      <c r="B50" s="2" t="n">
        <v>45847</v>
      </c>
      <c r="C50" t="inlineStr">
        <is>
          <t>SALE</t>
        </is>
      </c>
      <c r="D50" t="inlineStr">
        <is>
          <t>BOTTLE-1L</t>
        </is>
      </c>
      <c r="E50" t="n">
        <v>4</v>
      </c>
      <c r="G50" t="n">
        <v>15.3</v>
      </c>
    </row>
    <row r="51">
      <c r="A51" t="inlineStr">
        <is>
          <t>T1061</t>
        </is>
      </c>
      <c r="B51" s="2" t="n">
        <v>45847</v>
      </c>
      <c r="C51" t="inlineStr">
        <is>
          <t>SALE</t>
        </is>
      </c>
      <c r="D51" t="inlineStr">
        <is>
          <t>FILTER-H2O</t>
        </is>
      </c>
      <c r="E51" t="n">
        <v>1</v>
      </c>
      <c r="G51" t="n">
        <v>89</v>
      </c>
    </row>
    <row r="52">
      <c r="A52" t="inlineStr">
        <is>
          <t>T1062</t>
        </is>
      </c>
      <c r="B52" s="2" t="n">
        <v>45848</v>
      </c>
      <c r="C52" t="inlineStr">
        <is>
          <t>SALE</t>
        </is>
      </c>
      <c r="D52" t="inlineStr">
        <is>
          <t>TENT-2P</t>
        </is>
      </c>
      <c r="E52" t="n">
        <v>2</v>
      </c>
      <c r="G52" t="n">
        <v>160.65</v>
      </c>
    </row>
    <row r="53">
      <c r="A53" t="inlineStr">
        <is>
          <t>T1063</t>
        </is>
      </c>
      <c r="B53" s="2" t="n">
        <v>45848</v>
      </c>
      <c r="C53" t="inlineStr">
        <is>
          <t>SALE</t>
        </is>
      </c>
      <c r="D53" t="inlineStr">
        <is>
          <t>TENT-4P</t>
        </is>
      </c>
      <c r="E53" t="n">
        <v>1</v>
      </c>
      <c r="G53" t="n">
        <v>269.1</v>
      </c>
    </row>
    <row r="54">
      <c r="A54" t="inlineStr">
        <is>
          <t>T1064</t>
        </is>
      </c>
      <c r="B54" s="2" t="n">
        <v>45848</v>
      </c>
      <c r="C54" t="inlineStr">
        <is>
          <t>SALE</t>
        </is>
      </c>
      <c r="D54" t="inlineStr">
        <is>
          <t>bag-sum</t>
        </is>
      </c>
      <c r="E54" t="n">
        <v>3</v>
      </c>
      <c r="G54" t="n">
        <v>58.65</v>
      </c>
    </row>
    <row r="55">
      <c r="A55" t="inlineStr">
        <is>
          <t>T1065</t>
        </is>
      </c>
      <c r="B55" s="2" t="n">
        <v>45848</v>
      </c>
      <c r="C55" t="inlineStr">
        <is>
          <t>SALE</t>
        </is>
      </c>
      <c r="D55" t="inlineStr">
        <is>
          <t>STOVE-GAS</t>
        </is>
      </c>
      <c r="E55" t="n">
        <v>2</v>
      </c>
      <c r="G55" t="n">
        <v>59</v>
      </c>
    </row>
    <row r="56">
      <c r="A56" t="inlineStr">
        <is>
          <t>T1067</t>
        </is>
      </c>
      <c r="B56" s="2" t="n">
        <v>45848</v>
      </c>
      <c r="C56" t="inlineStr">
        <is>
          <t>SALE</t>
        </is>
      </c>
      <c r="D56" t="inlineStr">
        <is>
          <t>PACK-35</t>
        </is>
      </c>
      <c r="E56" t="n">
        <v>1</v>
      </c>
      <c r="G56" t="n">
        <v>71.09999999999999</v>
      </c>
    </row>
    <row r="57">
      <c r="A57" t="inlineStr">
        <is>
          <t>T1068</t>
        </is>
      </c>
      <c r="B57" s="2" t="n">
        <v>45848</v>
      </c>
      <c r="C57" t="inlineStr">
        <is>
          <t>RECEIPT</t>
        </is>
      </c>
      <c r="D57" t="inlineStr">
        <is>
          <t>LAMP-LED</t>
        </is>
      </c>
      <c r="E57" t="n">
        <v>50</v>
      </c>
      <c r="F57" t="n">
        <v>11.6</v>
      </c>
    </row>
    <row r="58">
      <c r="A58" t="inlineStr">
        <is>
          <t>T1069</t>
        </is>
      </c>
      <c r="B58" s="2" t="n">
        <v>45849</v>
      </c>
      <c r="C58" t="inlineStr">
        <is>
          <t>SALE</t>
        </is>
      </c>
      <c r="D58" t="inlineStr">
        <is>
          <t>TENT-2P</t>
        </is>
      </c>
      <c r="E58" t="n">
        <v>2</v>
      </c>
      <c r="G58" t="n">
        <v>189</v>
      </c>
    </row>
    <row r="59">
      <c r="A59" t="inlineStr">
        <is>
          <t>T1071</t>
        </is>
      </c>
      <c r="B59" s="2" t="n">
        <v>45849</v>
      </c>
      <c r="C59" t="inlineStr">
        <is>
          <t>SALE</t>
        </is>
      </c>
      <c r="D59" t="inlineStr">
        <is>
          <t>BAG-WIN</t>
        </is>
      </c>
      <c r="E59" t="n">
        <v>1</v>
      </c>
      <c r="G59" t="n">
        <v>135.15</v>
      </c>
    </row>
    <row r="60">
      <c r="A60" t="inlineStr">
        <is>
          <t>T1073</t>
        </is>
      </c>
      <c r="B60" s="2" t="n">
        <v>45849</v>
      </c>
      <c r="C60" t="inlineStr">
        <is>
          <t>SALE</t>
        </is>
      </c>
      <c r="D60" t="inlineStr">
        <is>
          <t>PACK-35</t>
        </is>
      </c>
      <c r="E60" t="n">
        <v>4</v>
      </c>
      <c r="G60" t="n">
        <v>79</v>
      </c>
    </row>
    <row r="61">
      <c r="A61" t="inlineStr">
        <is>
          <t>T1075</t>
        </is>
      </c>
      <c r="B61" s="2" t="n">
        <v>45849</v>
      </c>
      <c r="C61" t="inlineStr">
        <is>
          <t>SALE</t>
        </is>
      </c>
      <c r="D61" t="inlineStr">
        <is>
          <t>CHAIR-FLD</t>
        </is>
      </c>
      <c r="E61" t="n">
        <v>4</v>
      </c>
      <c r="G61" t="n">
        <v>41.65</v>
      </c>
    </row>
    <row r="62">
      <c r="A62" t="inlineStr">
        <is>
          <t>T1076</t>
        </is>
      </c>
      <c r="B62" s="2" t="n">
        <v>45849</v>
      </c>
      <c r="C62" t="inlineStr">
        <is>
          <t>SALE</t>
        </is>
      </c>
      <c r="D62" t="inlineStr">
        <is>
          <t>FILTER-H2O</t>
        </is>
      </c>
      <c r="E62" t="n">
        <v>1</v>
      </c>
      <c r="G62" t="n">
        <v>80.09999999999999</v>
      </c>
    </row>
    <row r="63">
      <c r="A63" t="inlineStr">
        <is>
          <t>T1077</t>
        </is>
      </c>
      <c r="B63" s="2" t="n">
        <v>45849</v>
      </c>
      <c r="C63" t="inlineStr">
        <is>
          <t>WRITEOFF</t>
        </is>
      </c>
      <c r="D63" t="inlineStr">
        <is>
          <t>BAG-WIN</t>
        </is>
      </c>
      <c r="E63" t="n">
        <v>3</v>
      </c>
      <c r="K63" t="inlineStr">
        <is>
          <t>breakage</t>
        </is>
      </c>
    </row>
    <row r="64">
      <c r="A64" t="inlineStr">
        <is>
          <t>T1078</t>
        </is>
      </c>
      <c r="B64" s="2" t="n">
        <v>45849</v>
      </c>
      <c r="C64" t="inlineStr">
        <is>
          <t>EXPENSE</t>
        </is>
      </c>
      <c r="I64" t="inlineStr">
        <is>
          <t>Shipping</t>
        </is>
      </c>
      <c r="J64" t="n">
        <v>403.96</v>
      </c>
    </row>
    <row r="65">
      <c r="A65" t="inlineStr">
        <is>
          <t>T1080</t>
        </is>
      </c>
      <c r="B65" s="2" t="n">
        <v>45850</v>
      </c>
      <c r="C65" t="inlineStr">
        <is>
          <t>SALE</t>
        </is>
      </c>
      <c r="D65" t="inlineStr">
        <is>
          <t>TENT-4P</t>
        </is>
      </c>
      <c r="E65" t="n">
        <v>1</v>
      </c>
      <c r="G65" t="n">
        <v>299</v>
      </c>
    </row>
    <row r="66">
      <c r="A66" t="inlineStr">
        <is>
          <t>T1082</t>
        </is>
      </c>
      <c r="B66" s="2" t="n">
        <v>45850</v>
      </c>
      <c r="C66" t="inlineStr">
        <is>
          <t>SALE</t>
        </is>
      </c>
      <c r="D66" t="inlineStr">
        <is>
          <t>PAD-FOAM</t>
        </is>
      </c>
      <c r="E66" t="n">
        <v>3</v>
      </c>
      <c r="G66" t="n">
        <v>21.6</v>
      </c>
    </row>
    <row r="67">
      <c r="A67" t="inlineStr">
        <is>
          <t>T1084</t>
        </is>
      </c>
      <c r="B67" s="2" t="n">
        <v>45850</v>
      </c>
      <c r="C67" t="inlineStr">
        <is>
          <t>SALE</t>
        </is>
      </c>
      <c r="D67" t="inlineStr">
        <is>
          <t>LAMP-LED</t>
        </is>
      </c>
      <c r="E67" t="n">
        <v>8</v>
      </c>
      <c r="G67" t="n">
        <v>26.1</v>
      </c>
    </row>
    <row r="68">
      <c r="A68" t="inlineStr">
        <is>
          <t>T1085</t>
        </is>
      </c>
      <c r="B68" s="2" t="n">
        <v>45850</v>
      </c>
      <c r="C68" t="inlineStr">
        <is>
          <t>SALE</t>
        </is>
      </c>
      <c r="D68" t="inlineStr">
        <is>
          <t>BOTTLE-1L</t>
        </is>
      </c>
      <c r="E68" t="n">
        <v>8</v>
      </c>
      <c r="G68" t="n">
        <v>18</v>
      </c>
    </row>
    <row r="69">
      <c r="A69" t="inlineStr">
        <is>
          <t>T1086</t>
        </is>
      </c>
      <c r="B69" s="2" t="n">
        <v>45850</v>
      </c>
      <c r="C69" t="inlineStr">
        <is>
          <t>SALE</t>
        </is>
      </c>
      <c r="D69" t="inlineStr">
        <is>
          <t>CHAIR-FLD</t>
        </is>
      </c>
      <c r="E69" t="n">
        <v>4</v>
      </c>
      <c r="G69" t="n">
        <v>41.65</v>
      </c>
    </row>
    <row r="70">
      <c r="A70" t="inlineStr">
        <is>
          <t>T1087</t>
        </is>
      </c>
      <c r="B70" s="2" t="n">
        <v>45850</v>
      </c>
      <c r="C70" t="inlineStr">
        <is>
          <t>SALE</t>
        </is>
      </c>
      <c r="D70" t="inlineStr">
        <is>
          <t>FILTER-H2O</t>
        </is>
      </c>
      <c r="E70" t="n">
        <v>2</v>
      </c>
      <c r="G70" t="n">
        <v>89</v>
      </c>
    </row>
    <row r="71">
      <c r="A71" t="inlineStr">
        <is>
          <t>T1088</t>
        </is>
      </c>
      <c r="B71" s="2" t="n">
        <v>45851</v>
      </c>
      <c r="C71" t="inlineStr">
        <is>
          <t>SALE</t>
        </is>
      </c>
      <c r="D71" t="inlineStr">
        <is>
          <t>TENT-2P</t>
        </is>
      </c>
      <c r="E71" t="n">
        <v>4</v>
      </c>
      <c r="G71" t="n">
        <v>160.65</v>
      </c>
    </row>
    <row r="72">
      <c r="A72" t="inlineStr">
        <is>
          <t>T1089</t>
        </is>
      </c>
      <c r="B72" s="2" t="n">
        <v>45851</v>
      </c>
      <c r="C72" t="inlineStr">
        <is>
          <t>SALE</t>
        </is>
      </c>
      <c r="D72" t="inlineStr">
        <is>
          <t>BAG-SUM</t>
        </is>
      </c>
      <c r="E72" t="n">
        <v>3</v>
      </c>
      <c r="G72" t="n">
        <v>69</v>
      </c>
    </row>
    <row r="73">
      <c r="A73" t="inlineStr">
        <is>
          <t>T1091</t>
        </is>
      </c>
      <c r="B73" s="2" t="n">
        <v>45851</v>
      </c>
      <c r="C73" t="inlineStr">
        <is>
          <t>SALE</t>
        </is>
      </c>
      <c r="D73" t="inlineStr">
        <is>
          <t>STOVE-GAS</t>
        </is>
      </c>
      <c r="E73" t="n">
        <v>2</v>
      </c>
      <c r="G73" t="n">
        <v>59</v>
      </c>
    </row>
    <row r="74">
      <c r="A74" t="inlineStr">
        <is>
          <t>T1092</t>
        </is>
      </c>
      <c r="B74" s="2" t="n">
        <v>45851</v>
      </c>
      <c r="C74" t="inlineStr">
        <is>
          <t>SALE</t>
        </is>
      </c>
      <c r="D74" t="inlineStr">
        <is>
          <t>PACK-35</t>
        </is>
      </c>
      <c r="E74" t="n">
        <v>4</v>
      </c>
      <c r="G74" t="n">
        <v>79</v>
      </c>
    </row>
    <row r="75">
      <c r="A75" t="inlineStr">
        <is>
          <t>T1093</t>
        </is>
      </c>
      <c r="B75" s="2" t="n">
        <v>45851</v>
      </c>
      <c r="C75" t="inlineStr">
        <is>
          <t>SALE</t>
        </is>
      </c>
      <c r="D75" t="inlineStr">
        <is>
          <t>PACK-65</t>
        </is>
      </c>
      <c r="E75" t="n">
        <v>2</v>
      </c>
      <c r="G75" t="n">
        <v>219</v>
      </c>
    </row>
    <row r="76">
      <c r="A76" t="inlineStr">
        <is>
          <t>T1094</t>
        </is>
      </c>
      <c r="B76" s="2" t="n">
        <v>45851</v>
      </c>
      <c r="C76" t="inlineStr">
        <is>
          <t>SALE</t>
        </is>
      </c>
      <c r="D76" t="inlineStr">
        <is>
          <t>BOTTLE-1L</t>
        </is>
      </c>
      <c r="E76" t="n">
        <v>4</v>
      </c>
      <c r="G76" t="n">
        <v>15.3</v>
      </c>
    </row>
    <row r="77">
      <c r="A77" t="inlineStr">
        <is>
          <t>T1096</t>
        </is>
      </c>
      <c r="B77" s="2" t="n">
        <v>45851</v>
      </c>
      <c r="C77" t="inlineStr">
        <is>
          <t>SALE</t>
        </is>
      </c>
      <c r="D77" t="inlineStr">
        <is>
          <t>CHAIR-FLD</t>
        </is>
      </c>
      <c r="E77" t="n">
        <v>2</v>
      </c>
      <c r="G77" t="n">
        <v>49</v>
      </c>
    </row>
    <row r="78">
      <c r="A78" t="inlineStr">
        <is>
          <t>T1097</t>
        </is>
      </c>
      <c r="B78" s="2" t="n">
        <v>45851</v>
      </c>
      <c r="C78" t="inlineStr">
        <is>
          <t>SALE</t>
        </is>
      </c>
      <c r="D78" t="inlineStr">
        <is>
          <t>FILTER-H2O</t>
        </is>
      </c>
      <c r="E78" t="n">
        <v>1</v>
      </c>
      <c r="G78" t="n">
        <v>89</v>
      </c>
    </row>
    <row r="79">
      <c r="A79" t="inlineStr">
        <is>
          <t>T1099</t>
        </is>
      </c>
      <c r="B79" s="2" t="n">
        <v>45852</v>
      </c>
      <c r="C79" t="inlineStr">
        <is>
          <t>SALE</t>
        </is>
      </c>
      <c r="D79" t="inlineStr">
        <is>
          <t>TENT-2P</t>
        </is>
      </c>
      <c r="E79" t="n">
        <v>8</v>
      </c>
      <c r="G79" t="n">
        <v>189</v>
      </c>
    </row>
    <row r="80">
      <c r="A80" t="inlineStr">
        <is>
          <t>T1100</t>
        </is>
      </c>
      <c r="B80" s="2" t="n">
        <v>45852</v>
      </c>
      <c r="C80" t="inlineStr">
        <is>
          <t>SALE</t>
        </is>
      </c>
      <c r="D80" t="inlineStr">
        <is>
          <t>TENT-4P</t>
        </is>
      </c>
      <c r="E80" t="n">
        <v>1</v>
      </c>
      <c r="G80" t="n">
        <v>299</v>
      </c>
    </row>
    <row r="81">
      <c r="A81" t="inlineStr">
        <is>
          <t>T1101</t>
        </is>
      </c>
      <c r="B81" s="2" t="n">
        <v>45852</v>
      </c>
      <c r="C81" t="inlineStr">
        <is>
          <t>SALE</t>
        </is>
      </c>
      <c r="D81" t="inlineStr">
        <is>
          <t>PACK-35</t>
        </is>
      </c>
      <c r="E81" t="n">
        <v>2</v>
      </c>
      <c r="G81" t="n">
        <v>79</v>
      </c>
    </row>
    <row r="82">
      <c r="A82" t="inlineStr">
        <is>
          <t>T1102</t>
        </is>
      </c>
      <c r="B82" s="2" t="n">
        <v>45852</v>
      </c>
      <c r="C82" t="inlineStr">
        <is>
          <t>SALE</t>
        </is>
      </c>
      <c r="D82" t="inlineStr">
        <is>
          <t>PACK-65</t>
        </is>
      </c>
      <c r="E82" t="n">
        <v>1</v>
      </c>
      <c r="G82" t="n">
        <v>219</v>
      </c>
    </row>
    <row r="83">
      <c r="A83" t="inlineStr">
        <is>
          <t>T1104</t>
        </is>
      </c>
      <c r="B83" s="2" t="n">
        <v>45852</v>
      </c>
      <c r="C83" t="inlineStr">
        <is>
          <t>SALE</t>
        </is>
      </c>
      <c r="D83" t="inlineStr">
        <is>
          <t>BOTTLE-1L</t>
        </is>
      </c>
      <c r="E83" t="n">
        <v>8</v>
      </c>
      <c r="G83" t="n">
        <v>18</v>
      </c>
    </row>
    <row r="84">
      <c r="A84" t="inlineStr">
        <is>
          <t>T1105</t>
        </is>
      </c>
      <c r="B84" s="2" t="n">
        <v>45852</v>
      </c>
      <c r="C84" t="inlineStr">
        <is>
          <t>SALE</t>
        </is>
      </c>
      <c r="D84" t="inlineStr">
        <is>
          <t>CHAIR-FLD</t>
        </is>
      </c>
      <c r="E84" t="n">
        <v>3</v>
      </c>
      <c r="G84" t="n">
        <v>49</v>
      </c>
    </row>
    <row r="85">
      <c r="A85" t="inlineStr">
        <is>
          <t>T1106</t>
        </is>
      </c>
      <c r="B85" s="2" t="n">
        <v>45852</v>
      </c>
      <c r="C85" t="inlineStr">
        <is>
          <t>SALE</t>
        </is>
      </c>
      <c r="D85" t="inlineStr">
        <is>
          <t xml:space="preserve"> Filter-H2O</t>
        </is>
      </c>
      <c r="E85" t="n">
        <v>1</v>
      </c>
      <c r="G85" t="n">
        <v>89</v>
      </c>
    </row>
    <row r="86">
      <c r="A86" t="inlineStr">
        <is>
          <t>T1107</t>
        </is>
      </c>
      <c r="B86" s="2" t="n">
        <v>45852</v>
      </c>
      <c r="C86" t="inlineStr">
        <is>
          <t>RECEIPT</t>
        </is>
      </c>
      <c r="D86" t="inlineStr">
        <is>
          <t>BAG-WIN</t>
        </is>
      </c>
      <c r="E86" t="n">
        <v>22</v>
      </c>
      <c r="F86" t="n">
        <v>74</v>
      </c>
    </row>
    <row r="87">
      <c r="A87" t="inlineStr">
        <is>
          <t>T1108</t>
        </is>
      </c>
      <c r="B87" s="2" t="n">
        <v>45853</v>
      </c>
      <c r="C87" t="inlineStr">
        <is>
          <t>SALE</t>
        </is>
      </c>
      <c r="D87" t="inlineStr">
        <is>
          <t>TENT-4P</t>
        </is>
      </c>
      <c r="E87" t="n">
        <v>2</v>
      </c>
      <c r="G87" t="n">
        <v>299</v>
      </c>
    </row>
    <row r="88">
      <c r="A88" t="inlineStr">
        <is>
          <t>T1109</t>
        </is>
      </c>
      <c r="B88" s="2" t="n">
        <v>45853</v>
      </c>
      <c r="C88" t="inlineStr">
        <is>
          <t>SALE</t>
        </is>
      </c>
      <c r="D88" t="inlineStr">
        <is>
          <t>BAG-SUM</t>
        </is>
      </c>
      <c r="E88" t="n">
        <v>4</v>
      </c>
      <c r="G88" t="n">
        <v>69</v>
      </c>
    </row>
    <row r="89">
      <c r="A89" t="inlineStr">
        <is>
          <t>T1111</t>
        </is>
      </c>
      <c r="B89" s="2" t="n">
        <v>45853</v>
      </c>
      <c r="C89" t="inlineStr">
        <is>
          <t>SALE</t>
        </is>
      </c>
      <c r="D89" t="inlineStr">
        <is>
          <t>bag-win</t>
        </is>
      </c>
      <c r="E89" t="n">
        <v>2</v>
      </c>
      <c r="G89" t="n">
        <v>159</v>
      </c>
    </row>
    <row r="90">
      <c r="A90" t="inlineStr">
        <is>
          <t>T1112</t>
        </is>
      </c>
      <c r="B90" s="2" t="n">
        <v>45853</v>
      </c>
      <c r="C90" t="inlineStr">
        <is>
          <t>SALE</t>
        </is>
      </c>
      <c r="D90" t="inlineStr">
        <is>
          <t>LAMP-LED</t>
        </is>
      </c>
      <c r="E90" t="n">
        <v>4</v>
      </c>
      <c r="G90" t="n">
        <v>26.1</v>
      </c>
    </row>
    <row r="91">
      <c r="A91" t="inlineStr">
        <is>
          <t>T1113</t>
        </is>
      </c>
      <c r="B91" s="2" t="n">
        <v>45853</v>
      </c>
      <c r="C91" t="inlineStr">
        <is>
          <t>SALE</t>
        </is>
      </c>
      <c r="D91" t="inlineStr">
        <is>
          <t>BOTTLE-1L</t>
        </is>
      </c>
      <c r="E91" t="n">
        <v>4</v>
      </c>
      <c r="G91" t="n">
        <v>18</v>
      </c>
    </row>
    <row r="92">
      <c r="A92" t="inlineStr">
        <is>
          <t>T1114</t>
        </is>
      </c>
      <c r="B92" s="2" t="n">
        <v>45853</v>
      </c>
      <c r="C92" t="inlineStr">
        <is>
          <t>SALE</t>
        </is>
      </c>
      <c r="D92" t="inlineStr">
        <is>
          <t>FILTER-H2O</t>
        </is>
      </c>
      <c r="E92" t="n">
        <v>1</v>
      </c>
      <c r="G92" t="n">
        <v>89</v>
      </c>
    </row>
    <row r="93">
      <c r="A93" t="inlineStr">
        <is>
          <t>T1115</t>
        </is>
      </c>
      <c r="B93" s="2" t="n">
        <v>45853</v>
      </c>
      <c r="C93" t="inlineStr">
        <is>
          <t>RETURN</t>
        </is>
      </c>
      <c r="D93" t="inlineStr">
        <is>
          <t>LAMP-LED</t>
        </is>
      </c>
      <c r="E93" t="n">
        <v>1</v>
      </c>
      <c r="G93" t="n">
        <v>29</v>
      </c>
      <c r="H93" t="inlineStr">
        <is>
          <t>resellable</t>
        </is>
      </c>
    </row>
    <row r="94">
      <c r="A94" t="inlineStr">
        <is>
          <t>T1116</t>
        </is>
      </c>
      <c r="B94" s="2" t="n">
        <v>45853</v>
      </c>
      <c r="C94" t="inlineStr">
        <is>
          <t>EXPENSE</t>
        </is>
      </c>
      <c r="I94" t="inlineStr">
        <is>
          <t>Wages</t>
        </is>
      </c>
      <c r="J94" t="n">
        <v>4260.18</v>
      </c>
    </row>
    <row r="95">
      <c r="A95" t="inlineStr">
        <is>
          <t>T1117</t>
        </is>
      </c>
      <c r="B95" s="2" t="n">
        <v>45854</v>
      </c>
      <c r="C95" t="inlineStr">
        <is>
          <t>SALE</t>
        </is>
      </c>
      <c r="D95" t="inlineStr">
        <is>
          <t>TENT-2P</t>
        </is>
      </c>
      <c r="E95" t="n">
        <v>4</v>
      </c>
      <c r="G95" t="n">
        <v>160.65</v>
      </c>
    </row>
    <row r="96">
      <c r="A96" t="inlineStr">
        <is>
          <t>T1118</t>
        </is>
      </c>
      <c r="B96" s="2" t="n">
        <v>45854</v>
      </c>
      <c r="C96" t="inlineStr">
        <is>
          <t>SALE</t>
        </is>
      </c>
      <c r="D96" t="inlineStr">
        <is>
          <t>BAG-SUM</t>
        </is>
      </c>
      <c r="E96" t="n">
        <v>6</v>
      </c>
      <c r="G96" t="n">
        <v>69</v>
      </c>
    </row>
    <row r="97">
      <c r="A97" t="inlineStr">
        <is>
          <t>T1120</t>
        </is>
      </c>
      <c r="B97" s="2" t="n">
        <v>45854</v>
      </c>
      <c r="C97" t="inlineStr">
        <is>
          <t>SALE</t>
        </is>
      </c>
      <c r="D97" t="inlineStr">
        <is>
          <t>STOVE-GAS</t>
        </is>
      </c>
      <c r="E97" t="n">
        <v>2</v>
      </c>
      <c r="G97" t="n">
        <v>59</v>
      </c>
    </row>
    <row r="98">
      <c r="A98" t="inlineStr">
        <is>
          <t>T1121</t>
        </is>
      </c>
      <c r="B98" s="2" t="n">
        <v>45854</v>
      </c>
      <c r="C98" t="inlineStr">
        <is>
          <t>SALE</t>
        </is>
      </c>
      <c r="D98" t="inlineStr">
        <is>
          <t>LAMP-LED</t>
        </is>
      </c>
      <c r="E98" t="n">
        <v>8</v>
      </c>
      <c r="G98" t="n">
        <v>29</v>
      </c>
    </row>
    <row r="99">
      <c r="A99" t="inlineStr">
        <is>
          <t>T1122</t>
        </is>
      </c>
      <c r="B99" s="2" t="n">
        <v>45854</v>
      </c>
      <c r="C99" t="inlineStr">
        <is>
          <t>SALE</t>
        </is>
      </c>
      <c r="D99" t="inlineStr">
        <is>
          <t>PACK-65</t>
        </is>
      </c>
      <c r="E99" t="n">
        <v>1</v>
      </c>
      <c r="G99" t="n">
        <v>219</v>
      </c>
    </row>
    <row r="100">
      <c r="A100" t="inlineStr">
        <is>
          <t>T1123</t>
        </is>
      </c>
      <c r="B100" s="2" t="n">
        <v>45854</v>
      </c>
      <c r="C100" t="inlineStr">
        <is>
          <t>SALE</t>
        </is>
      </c>
      <c r="D100" t="inlineStr">
        <is>
          <t>BOTTLE-1L</t>
        </is>
      </c>
      <c r="E100" t="n">
        <v>4</v>
      </c>
      <c r="G100" t="n">
        <v>15.3</v>
      </c>
    </row>
    <row r="101">
      <c r="A101" t="inlineStr">
        <is>
          <t>T1124</t>
        </is>
      </c>
      <c r="B101" s="2" t="n">
        <v>45854</v>
      </c>
      <c r="C101" t="inlineStr">
        <is>
          <t>SALE</t>
        </is>
      </c>
      <c r="D101" t="inlineStr">
        <is>
          <t>CHAIR-FLD</t>
        </is>
      </c>
      <c r="E101" t="n">
        <v>2</v>
      </c>
      <c r="G101" t="n">
        <v>44.1</v>
      </c>
    </row>
    <row r="102">
      <c r="A102" t="inlineStr">
        <is>
          <t>T1125</t>
        </is>
      </c>
      <c r="B102" s="2" t="n">
        <v>45855</v>
      </c>
      <c r="C102" t="inlineStr">
        <is>
          <t>SALE</t>
        </is>
      </c>
      <c r="D102" t="inlineStr">
        <is>
          <t>TENT-2P</t>
        </is>
      </c>
      <c r="E102" t="n">
        <v>3</v>
      </c>
      <c r="G102" t="n">
        <v>189</v>
      </c>
    </row>
    <row r="103">
      <c r="A103" t="inlineStr">
        <is>
          <t>T1126</t>
        </is>
      </c>
      <c r="B103" s="2" t="n">
        <v>45855</v>
      </c>
      <c r="C103" t="inlineStr">
        <is>
          <t>SALE</t>
        </is>
      </c>
      <c r="D103" t="inlineStr">
        <is>
          <t>TENT-4P</t>
        </is>
      </c>
      <c r="E103" t="n">
        <v>1</v>
      </c>
      <c r="G103" t="n">
        <v>299</v>
      </c>
    </row>
    <row r="104">
      <c r="A104" t="inlineStr">
        <is>
          <t>T1127</t>
        </is>
      </c>
      <c r="B104" s="2" t="n">
        <v>45855</v>
      </c>
      <c r="C104" t="inlineStr">
        <is>
          <t>SALE</t>
        </is>
      </c>
      <c r="D104" t="inlineStr">
        <is>
          <t>PAD-FOAM</t>
        </is>
      </c>
      <c r="E104" t="n">
        <v>8</v>
      </c>
      <c r="G104" t="n">
        <v>24</v>
      </c>
    </row>
    <row r="105">
      <c r="A105" t="inlineStr">
        <is>
          <t>T1128</t>
        </is>
      </c>
      <c r="B105" s="2" t="n">
        <v>45855</v>
      </c>
      <c r="C105" t="inlineStr">
        <is>
          <t>SALE</t>
        </is>
      </c>
      <c r="D105" t="inlineStr">
        <is>
          <t>LAMP-LED</t>
        </is>
      </c>
      <c r="E105" t="n">
        <v>8</v>
      </c>
      <c r="G105" t="n">
        <v>29</v>
      </c>
    </row>
    <row r="106">
      <c r="A106" t="inlineStr">
        <is>
          <t>T1129</t>
        </is>
      </c>
      <c r="B106" s="2" t="n">
        <v>45855</v>
      </c>
      <c r="C106" t="inlineStr">
        <is>
          <t>SALE</t>
        </is>
      </c>
      <c r="D106" t="inlineStr">
        <is>
          <t>pack-65</t>
        </is>
      </c>
      <c r="E106" t="n">
        <v>4</v>
      </c>
      <c r="G106" t="n">
        <v>219</v>
      </c>
    </row>
    <row r="107">
      <c r="A107" t="inlineStr">
        <is>
          <t>T1131</t>
        </is>
      </c>
      <c r="B107" s="2" t="n">
        <v>45855</v>
      </c>
      <c r="C107" t="inlineStr">
        <is>
          <t>SALE</t>
        </is>
      </c>
      <c r="D107" t="inlineStr">
        <is>
          <t xml:space="preserve"> Chair-Fld</t>
        </is>
      </c>
      <c r="E107" t="n">
        <v>2</v>
      </c>
      <c r="G107" t="n">
        <v>41.65</v>
      </c>
    </row>
    <row r="108">
      <c r="A108" t="inlineStr">
        <is>
          <t>T1133</t>
        </is>
      </c>
      <c r="B108" s="2" t="n">
        <v>45855</v>
      </c>
      <c r="C108" t="inlineStr">
        <is>
          <t>RECEIPT</t>
        </is>
      </c>
      <c r="D108" t="inlineStr">
        <is>
          <t>TENT-2P</t>
        </is>
      </c>
      <c r="E108" t="n">
        <v>30</v>
      </c>
      <c r="F108" t="n">
        <v>88</v>
      </c>
    </row>
    <row r="109">
      <c r="A109" t="inlineStr">
        <is>
          <t>T1134</t>
        </is>
      </c>
      <c r="B109" s="2" t="n">
        <v>45855</v>
      </c>
      <c r="C109" t="inlineStr">
        <is>
          <t>RECEIPT</t>
        </is>
      </c>
      <c r="D109" t="inlineStr">
        <is>
          <t>PAD-FOAM</t>
        </is>
      </c>
      <c r="E109" t="n">
        <v>80</v>
      </c>
      <c r="F109" t="n">
        <v>9.4</v>
      </c>
    </row>
    <row r="110">
      <c r="A110" t="inlineStr">
        <is>
          <t>T1136</t>
        </is>
      </c>
      <c r="B110" s="2" t="n">
        <v>45855</v>
      </c>
      <c r="C110" t="inlineStr">
        <is>
          <t>RECEIPT</t>
        </is>
      </c>
      <c r="D110" t="inlineStr">
        <is>
          <t>PACK-35</t>
        </is>
      </c>
      <c r="E110" t="n">
        <v>20</v>
      </c>
      <c r="F110" t="n">
        <v>36</v>
      </c>
    </row>
    <row r="111">
      <c r="A111" t="inlineStr">
        <is>
          <t>T1137</t>
        </is>
      </c>
      <c r="B111" s="2" t="n">
        <v>45856</v>
      </c>
      <c r="C111" t="inlineStr">
        <is>
          <t>SALE</t>
        </is>
      </c>
      <c r="D111" t="inlineStr">
        <is>
          <t>BAG-WIN</t>
        </is>
      </c>
      <c r="E111" t="n">
        <v>3</v>
      </c>
      <c r="G111" t="n">
        <v>159</v>
      </c>
    </row>
    <row r="112">
      <c r="A112" t="inlineStr">
        <is>
          <t>T1138</t>
        </is>
      </c>
      <c r="B112" s="2" t="n">
        <v>45856</v>
      </c>
      <c r="C112" t="inlineStr">
        <is>
          <t>SALE</t>
        </is>
      </c>
      <c r="D112" t="inlineStr">
        <is>
          <t>STOVE-GAS</t>
        </is>
      </c>
      <c r="E112" t="n">
        <v>1</v>
      </c>
      <c r="G112" t="n">
        <v>59</v>
      </c>
    </row>
    <row r="113">
      <c r="A113" t="inlineStr">
        <is>
          <t>T1139</t>
        </is>
      </c>
      <c r="B113" s="2" t="n">
        <v>45856</v>
      </c>
      <c r="C113" t="inlineStr">
        <is>
          <t>SALE</t>
        </is>
      </c>
      <c r="D113" t="inlineStr">
        <is>
          <t>LAMP-LED</t>
        </is>
      </c>
      <c r="E113" t="n">
        <v>8</v>
      </c>
      <c r="G113" t="n">
        <v>26.1</v>
      </c>
    </row>
    <row r="114">
      <c r="A114" t="inlineStr">
        <is>
          <t>T1141</t>
        </is>
      </c>
      <c r="B114" s="2" t="n">
        <v>45856</v>
      </c>
      <c r="C114" t="inlineStr">
        <is>
          <t>SALE</t>
        </is>
      </c>
      <c r="D114" t="inlineStr">
        <is>
          <t>PACK-65</t>
        </is>
      </c>
      <c r="E114" t="n">
        <v>2</v>
      </c>
      <c r="G114" t="n">
        <v>219</v>
      </c>
    </row>
    <row r="115">
      <c r="A115" t="inlineStr">
        <is>
          <t>T1143</t>
        </is>
      </c>
      <c r="B115" s="2" t="n">
        <v>45856</v>
      </c>
      <c r="C115" t="inlineStr">
        <is>
          <t>SALE</t>
        </is>
      </c>
      <c r="D115" t="inlineStr">
        <is>
          <t>BOTTLE-1L</t>
        </is>
      </c>
      <c r="E115" t="n">
        <v>8</v>
      </c>
      <c r="G115" t="n">
        <v>18</v>
      </c>
    </row>
    <row r="116">
      <c r="A116" t="inlineStr">
        <is>
          <t>T1144</t>
        </is>
      </c>
      <c r="B116" s="2" t="n">
        <v>45856</v>
      </c>
      <c r="C116" t="inlineStr">
        <is>
          <t>SALE</t>
        </is>
      </c>
      <c r="D116" t="inlineStr">
        <is>
          <t>CHAIR-FLD</t>
        </is>
      </c>
      <c r="E116" t="n">
        <v>4</v>
      </c>
      <c r="G116" t="n">
        <v>49</v>
      </c>
    </row>
    <row r="117">
      <c r="A117" t="inlineStr">
        <is>
          <t>T1145</t>
        </is>
      </c>
      <c r="B117" s="2" t="n">
        <v>45856</v>
      </c>
      <c r="C117" t="inlineStr">
        <is>
          <t>RETURN</t>
        </is>
      </c>
      <c r="D117" t="inlineStr">
        <is>
          <t>BOTTLE-1L</t>
        </is>
      </c>
      <c r="E117" t="n">
        <v>1</v>
      </c>
      <c r="G117" t="n">
        <v>18</v>
      </c>
      <c r="H117" t="inlineStr">
        <is>
          <t>resellable</t>
        </is>
      </c>
    </row>
    <row r="118">
      <c r="A118" t="inlineStr">
        <is>
          <t>T1146</t>
        </is>
      </c>
      <c r="B118" s="2" t="n">
        <v>45856</v>
      </c>
      <c r="C118" t="inlineStr">
        <is>
          <t>EXPENSE</t>
        </is>
      </c>
      <c r="I118" t="inlineStr">
        <is>
          <t>Shipping</t>
        </is>
      </c>
      <c r="J118" t="n">
        <v>390.43</v>
      </c>
    </row>
    <row r="119">
      <c r="A119" t="inlineStr">
        <is>
          <t>T1147</t>
        </is>
      </c>
      <c r="B119" s="2" t="n">
        <v>45857</v>
      </c>
      <c r="C119" t="inlineStr">
        <is>
          <t>SALE</t>
        </is>
      </c>
      <c r="D119" t="inlineStr">
        <is>
          <t>TENT-4P</t>
        </is>
      </c>
      <c r="E119" t="n">
        <v>1</v>
      </c>
      <c r="G119" t="n">
        <v>254.15</v>
      </c>
    </row>
    <row r="120">
      <c r="A120" t="inlineStr">
        <is>
          <t>T1148</t>
        </is>
      </c>
      <c r="B120" s="2" t="n">
        <v>45857</v>
      </c>
      <c r="C120" t="inlineStr">
        <is>
          <t>SALE</t>
        </is>
      </c>
      <c r="D120" t="inlineStr">
        <is>
          <t xml:space="preserve">BAG-SUM </t>
        </is>
      </c>
      <c r="E120" t="n">
        <v>1</v>
      </c>
      <c r="G120" t="n">
        <v>69</v>
      </c>
    </row>
    <row r="121">
      <c r="A121" t="inlineStr">
        <is>
          <t>T1149</t>
        </is>
      </c>
      <c r="B121" s="2" t="n">
        <v>45857</v>
      </c>
      <c r="C121" t="inlineStr">
        <is>
          <t>SALE</t>
        </is>
      </c>
      <c r="D121" t="inlineStr">
        <is>
          <t>STOVE-GAS</t>
        </is>
      </c>
      <c r="E121" t="n">
        <v>4</v>
      </c>
      <c r="G121" t="n">
        <v>59</v>
      </c>
    </row>
    <row r="122">
      <c r="A122" t="inlineStr">
        <is>
          <t>T1150</t>
        </is>
      </c>
      <c r="B122" s="2" t="n">
        <v>45857</v>
      </c>
      <c r="C122" t="inlineStr">
        <is>
          <t>SALE</t>
        </is>
      </c>
      <c r="D122" t="inlineStr">
        <is>
          <t>LAMP-LED</t>
        </is>
      </c>
      <c r="E122" t="n">
        <v>4</v>
      </c>
      <c r="G122" t="n">
        <v>26.1</v>
      </c>
    </row>
    <row r="123">
      <c r="A123" t="inlineStr">
        <is>
          <t>T1151</t>
        </is>
      </c>
      <c r="B123" s="2" t="n">
        <v>45857</v>
      </c>
      <c r="C123" t="inlineStr">
        <is>
          <t>SALE</t>
        </is>
      </c>
      <c r="D123" t="inlineStr">
        <is>
          <t>PACK-65</t>
        </is>
      </c>
      <c r="E123" t="n">
        <v>2</v>
      </c>
      <c r="G123" t="n">
        <v>186.15</v>
      </c>
    </row>
    <row r="124">
      <c r="A124" t="inlineStr">
        <is>
          <t>T1153</t>
        </is>
      </c>
      <c r="B124" s="2" t="n">
        <v>45857</v>
      </c>
      <c r="C124" t="inlineStr">
        <is>
          <t>SALE</t>
        </is>
      </c>
      <c r="D124" t="inlineStr">
        <is>
          <t>BOTTLE-1L</t>
        </is>
      </c>
      <c r="E124" t="n">
        <v>4</v>
      </c>
      <c r="G124" t="n">
        <v>18</v>
      </c>
    </row>
    <row r="125">
      <c r="A125" t="inlineStr">
        <is>
          <t>T1154</t>
        </is>
      </c>
      <c r="B125" s="2" t="n">
        <v>45857</v>
      </c>
      <c r="C125" t="inlineStr">
        <is>
          <t>SALE</t>
        </is>
      </c>
      <c r="D125" t="inlineStr">
        <is>
          <t>FILTER-H2O</t>
        </is>
      </c>
      <c r="E125" t="n">
        <v>4</v>
      </c>
      <c r="G125" t="n">
        <v>75.65000000000001</v>
      </c>
    </row>
    <row r="126">
      <c r="A126" t="inlineStr">
        <is>
          <t>T1155</t>
        </is>
      </c>
      <c r="B126" s="2" t="n">
        <v>45858</v>
      </c>
      <c r="C126" t="inlineStr">
        <is>
          <t>SALE</t>
        </is>
      </c>
      <c r="D126" t="inlineStr">
        <is>
          <t>TENT-4P</t>
        </is>
      </c>
      <c r="E126" t="n">
        <v>1</v>
      </c>
      <c r="G126" t="n">
        <v>254.15</v>
      </c>
    </row>
    <row r="127">
      <c r="A127" t="inlineStr">
        <is>
          <t>T1156</t>
        </is>
      </c>
      <c r="B127" s="2" t="n">
        <v>45858</v>
      </c>
      <c r="C127" t="inlineStr">
        <is>
          <t>SALE</t>
        </is>
      </c>
      <c r="D127" t="inlineStr">
        <is>
          <t>PAD-FOAM</t>
        </is>
      </c>
      <c r="E127" t="n">
        <v>4</v>
      </c>
      <c r="G127" t="n">
        <v>21.6</v>
      </c>
    </row>
    <row r="128">
      <c r="A128" t="inlineStr">
        <is>
          <t>T1157</t>
        </is>
      </c>
      <c r="B128" s="2" t="n">
        <v>45858</v>
      </c>
      <c r="C128" t="inlineStr">
        <is>
          <t>SALE</t>
        </is>
      </c>
      <c r="D128" t="inlineStr">
        <is>
          <t>STOVE-GAS</t>
        </is>
      </c>
      <c r="E128" t="n">
        <v>2</v>
      </c>
      <c r="G128" t="n">
        <v>59</v>
      </c>
    </row>
    <row r="129">
      <c r="A129" t="inlineStr">
        <is>
          <t>T1158</t>
        </is>
      </c>
      <c r="B129" s="2" t="n">
        <v>45858</v>
      </c>
      <c r="C129" t="inlineStr">
        <is>
          <t>SALE</t>
        </is>
      </c>
      <c r="D129" t="inlineStr">
        <is>
          <t>LAMP-LED</t>
        </is>
      </c>
      <c r="E129" t="n">
        <v>8</v>
      </c>
      <c r="G129" t="n">
        <v>29</v>
      </c>
    </row>
    <row r="130">
      <c r="A130" t="inlineStr">
        <is>
          <t>T1159</t>
        </is>
      </c>
      <c r="B130" s="2" t="n">
        <v>45858</v>
      </c>
      <c r="C130" t="inlineStr">
        <is>
          <t>SALE</t>
        </is>
      </c>
      <c r="D130" t="inlineStr">
        <is>
          <t>PACK-35</t>
        </is>
      </c>
      <c r="E130" t="n">
        <v>1</v>
      </c>
      <c r="G130" t="n">
        <v>67.15000000000001</v>
      </c>
    </row>
    <row r="131">
      <c r="A131" t="inlineStr">
        <is>
          <t>T1160</t>
        </is>
      </c>
      <c r="B131" s="2" t="n">
        <v>45858</v>
      </c>
      <c r="C131" t="inlineStr">
        <is>
          <t>SALE</t>
        </is>
      </c>
      <c r="D131" t="inlineStr">
        <is>
          <t>CHAIR-FLD</t>
        </is>
      </c>
      <c r="E131" t="n">
        <v>1</v>
      </c>
      <c r="G131" t="n">
        <v>49</v>
      </c>
    </row>
    <row r="132">
      <c r="A132" t="inlineStr">
        <is>
          <t>T1161</t>
        </is>
      </c>
      <c r="B132" s="2" t="n">
        <v>45858</v>
      </c>
      <c r="C132" t="inlineStr">
        <is>
          <t>SALE</t>
        </is>
      </c>
      <c r="D132" t="inlineStr">
        <is>
          <t>FILTER-H2O</t>
        </is>
      </c>
      <c r="E132" t="n">
        <v>1</v>
      </c>
      <c r="G132" t="n">
        <v>75.65000000000001</v>
      </c>
    </row>
    <row r="133">
      <c r="A133" t="inlineStr">
        <is>
          <t>T1162</t>
        </is>
      </c>
      <c r="B133" s="2" t="n">
        <v>45858</v>
      </c>
      <c r="C133" t="inlineStr">
        <is>
          <t>RECEIPT</t>
        </is>
      </c>
      <c r="D133" t="inlineStr">
        <is>
          <t xml:space="preserve"> Bottle-1L</t>
        </is>
      </c>
      <c r="E133" t="n">
        <v>112</v>
      </c>
      <c r="F133" t="n">
        <v>6.1</v>
      </c>
    </row>
    <row r="134">
      <c r="A134" t="inlineStr">
        <is>
          <t>T1164</t>
        </is>
      </c>
      <c r="B134" s="2" t="n">
        <v>45859</v>
      </c>
      <c r="C134" t="inlineStr">
        <is>
          <t>SALE</t>
        </is>
      </c>
      <c r="D134" t="inlineStr">
        <is>
          <t>TENT-2P</t>
        </is>
      </c>
      <c r="E134" t="n">
        <v>3</v>
      </c>
      <c r="G134" t="n">
        <v>189</v>
      </c>
    </row>
    <row r="135">
      <c r="A135" t="inlineStr">
        <is>
          <t>T1165</t>
        </is>
      </c>
      <c r="B135" s="2" t="n">
        <v>45859</v>
      </c>
      <c r="C135" t="inlineStr">
        <is>
          <t>SALE</t>
        </is>
      </c>
      <c r="D135" t="inlineStr">
        <is>
          <t>BAG-SUM</t>
        </is>
      </c>
      <c r="E135" t="n">
        <v>3</v>
      </c>
      <c r="G135" t="n">
        <v>69</v>
      </c>
    </row>
    <row r="136">
      <c r="A136" t="inlineStr">
        <is>
          <t>T1166</t>
        </is>
      </c>
      <c r="B136" s="2" t="n">
        <v>45859</v>
      </c>
      <c r="C136" t="inlineStr">
        <is>
          <t>SALE</t>
        </is>
      </c>
      <c r="D136" t="inlineStr">
        <is>
          <t>BAG-WIN</t>
        </is>
      </c>
      <c r="E136" t="n">
        <v>2</v>
      </c>
      <c r="G136" t="n">
        <v>159</v>
      </c>
    </row>
    <row r="137">
      <c r="A137" t="inlineStr">
        <is>
          <t>T1167</t>
        </is>
      </c>
      <c r="B137" s="2" t="n">
        <v>45859</v>
      </c>
      <c r="C137" t="inlineStr">
        <is>
          <t>SALE</t>
        </is>
      </c>
      <c r="D137" t="inlineStr">
        <is>
          <t>LAMP-LED</t>
        </is>
      </c>
      <c r="E137" t="n">
        <v>8</v>
      </c>
      <c r="G137" t="n">
        <v>29</v>
      </c>
    </row>
    <row r="138">
      <c r="A138" t="inlineStr">
        <is>
          <t>T1169</t>
        </is>
      </c>
      <c r="B138" s="2" t="n">
        <v>45859</v>
      </c>
      <c r="C138" t="inlineStr">
        <is>
          <t>SALE</t>
        </is>
      </c>
      <c r="D138" t="inlineStr">
        <is>
          <t>PACK-35</t>
        </is>
      </c>
      <c r="E138" t="n">
        <v>4</v>
      </c>
      <c r="G138" t="n">
        <v>71.09999999999999</v>
      </c>
    </row>
    <row r="139">
      <c r="A139" t="inlineStr">
        <is>
          <t>T1171</t>
        </is>
      </c>
      <c r="B139" s="2" t="n">
        <v>45859</v>
      </c>
      <c r="C139" t="inlineStr">
        <is>
          <t>SALE</t>
        </is>
      </c>
      <c r="D139" t="inlineStr">
        <is>
          <t>BOTTLE-1L</t>
        </is>
      </c>
      <c r="E139" t="n">
        <v>8</v>
      </c>
      <c r="G139" t="n">
        <v>15.3</v>
      </c>
    </row>
    <row r="140">
      <c r="A140" t="inlineStr">
        <is>
          <t>T1172</t>
        </is>
      </c>
      <c r="B140" s="2" t="n">
        <v>45859</v>
      </c>
      <c r="C140" t="inlineStr">
        <is>
          <t>SALE</t>
        </is>
      </c>
      <c r="D140" t="inlineStr">
        <is>
          <t>CHAIR-FLD</t>
        </is>
      </c>
      <c r="E140" t="n">
        <v>1</v>
      </c>
      <c r="G140" t="n">
        <v>49</v>
      </c>
    </row>
    <row r="141">
      <c r="A141" t="inlineStr">
        <is>
          <t>T1173</t>
        </is>
      </c>
      <c r="B141" s="2" t="n">
        <v>45859</v>
      </c>
      <c r="C141" t="inlineStr">
        <is>
          <t>SALE</t>
        </is>
      </c>
      <c r="D141" t="inlineStr">
        <is>
          <t>filter-h2o</t>
        </is>
      </c>
      <c r="E141" t="n">
        <v>2</v>
      </c>
      <c r="G141" t="n">
        <v>75.65000000000001</v>
      </c>
    </row>
    <row r="142">
      <c r="A142" t="inlineStr">
        <is>
          <t>T1174</t>
        </is>
      </c>
      <c r="B142" s="2" t="n">
        <v>45859</v>
      </c>
      <c r="C142" t="inlineStr">
        <is>
          <t>RECEIPT</t>
        </is>
      </c>
      <c r="D142" t="inlineStr">
        <is>
          <t>TENT-2P</t>
        </is>
      </c>
      <c r="E142" t="n">
        <v>40</v>
      </c>
      <c r="F142" t="n">
        <v>88</v>
      </c>
    </row>
    <row r="143">
      <c r="A143" t="inlineStr">
        <is>
          <t>T1175</t>
        </is>
      </c>
      <c r="B143" s="2" t="n">
        <v>45859</v>
      </c>
      <c r="C143" t="inlineStr">
        <is>
          <t>RECEIPT</t>
        </is>
      </c>
      <c r="D143" t="inlineStr">
        <is>
          <t>TENT-4P</t>
        </is>
      </c>
      <c r="E143" t="n">
        <v>10</v>
      </c>
      <c r="F143" t="n">
        <v>142.5</v>
      </c>
    </row>
    <row r="144">
      <c r="A144" t="inlineStr">
        <is>
          <t>T1176</t>
        </is>
      </c>
      <c r="B144" s="2" t="n">
        <v>45859</v>
      </c>
      <c r="C144" t="inlineStr">
        <is>
          <t>RECEIPT</t>
        </is>
      </c>
      <c r="D144" t="inlineStr">
        <is>
          <t>CHAIR-FLD</t>
        </is>
      </c>
      <c r="E144" t="n">
        <v>15</v>
      </c>
      <c r="F144" t="n">
        <v>22.4</v>
      </c>
    </row>
    <row r="145">
      <c r="A145" t="inlineStr">
        <is>
          <t>T1177</t>
        </is>
      </c>
      <c r="B145" s="2" t="n">
        <v>45860</v>
      </c>
      <c r="C145" t="inlineStr">
        <is>
          <t>SALE</t>
        </is>
      </c>
      <c r="D145" t="inlineStr">
        <is>
          <t>TENT-2P</t>
        </is>
      </c>
      <c r="E145" t="n">
        <v>4</v>
      </c>
      <c r="G145" t="n">
        <v>189</v>
      </c>
    </row>
    <row r="146">
      <c r="A146" t="inlineStr">
        <is>
          <t>T1178</t>
        </is>
      </c>
      <c r="B146" s="2" t="n">
        <v>45860</v>
      </c>
      <c r="C146" t="inlineStr">
        <is>
          <t>SALE</t>
        </is>
      </c>
      <c r="D146" t="inlineStr">
        <is>
          <t>bag-sum</t>
        </is>
      </c>
      <c r="E146" t="n">
        <v>2</v>
      </c>
      <c r="G146" t="n">
        <v>69</v>
      </c>
    </row>
    <row r="147">
      <c r="A147" t="inlineStr">
        <is>
          <t>T1179</t>
        </is>
      </c>
      <c r="B147" s="2" t="n">
        <v>45860</v>
      </c>
      <c r="C147" t="inlineStr">
        <is>
          <t>SALE</t>
        </is>
      </c>
      <c r="D147" t="inlineStr">
        <is>
          <t>PAD-FOAM</t>
        </is>
      </c>
      <c r="E147" t="n">
        <v>4</v>
      </c>
      <c r="G147" t="n">
        <v>24</v>
      </c>
    </row>
    <row r="148">
      <c r="A148" t="inlineStr">
        <is>
          <t>T1180</t>
        </is>
      </c>
      <c r="B148" s="2" t="n">
        <v>45860</v>
      </c>
      <c r="C148" t="inlineStr">
        <is>
          <t>SALE</t>
        </is>
      </c>
      <c r="D148" t="inlineStr">
        <is>
          <t>LAMP-LED</t>
        </is>
      </c>
      <c r="E148" t="n">
        <v>4</v>
      </c>
      <c r="G148" t="n">
        <v>29</v>
      </c>
    </row>
    <row r="149">
      <c r="A149" t="inlineStr">
        <is>
          <t>T1182</t>
        </is>
      </c>
      <c r="B149" s="2" t="n">
        <v>45860</v>
      </c>
      <c r="C149" t="inlineStr">
        <is>
          <t>SALE</t>
        </is>
      </c>
      <c r="D149" t="inlineStr">
        <is>
          <t>PACK-35</t>
        </is>
      </c>
      <c r="E149" t="n">
        <v>4</v>
      </c>
      <c r="G149" t="n">
        <v>79</v>
      </c>
    </row>
    <row r="150">
      <c r="A150" t="inlineStr">
        <is>
          <t>T1184</t>
        </is>
      </c>
      <c r="B150" s="2" t="n">
        <v>45860</v>
      </c>
      <c r="C150" t="inlineStr">
        <is>
          <t>SALE</t>
        </is>
      </c>
      <c r="D150" t="inlineStr">
        <is>
          <t>PACK-65</t>
        </is>
      </c>
      <c r="E150" t="n">
        <v>1</v>
      </c>
      <c r="G150" t="n">
        <v>197.1</v>
      </c>
    </row>
    <row r="151">
      <c r="A151" t="inlineStr">
        <is>
          <t>T1186</t>
        </is>
      </c>
      <c r="B151" s="2" t="n">
        <v>45860</v>
      </c>
      <c r="C151" t="inlineStr">
        <is>
          <t>SALE</t>
        </is>
      </c>
      <c r="D151" t="inlineStr">
        <is>
          <t>BOTTLE-1L</t>
        </is>
      </c>
      <c r="E151" t="n">
        <v>8</v>
      </c>
      <c r="G151" t="n">
        <v>18</v>
      </c>
    </row>
    <row r="152">
      <c r="A152" t="inlineStr">
        <is>
          <t>T1187</t>
        </is>
      </c>
      <c r="B152" s="2" t="n">
        <v>45860</v>
      </c>
      <c r="C152" t="inlineStr">
        <is>
          <t>SALE</t>
        </is>
      </c>
      <c r="D152" t="inlineStr">
        <is>
          <t>CHAIR-FLD</t>
        </is>
      </c>
      <c r="E152" t="n">
        <v>4</v>
      </c>
      <c r="G152" t="n">
        <v>49</v>
      </c>
    </row>
    <row r="153">
      <c r="A153" t="inlineStr">
        <is>
          <t>T1188</t>
        </is>
      </c>
      <c r="B153" s="2" t="n">
        <v>45860</v>
      </c>
      <c r="C153" t="inlineStr">
        <is>
          <t>RECEIPT</t>
        </is>
      </c>
      <c r="D153" t="inlineStr">
        <is>
          <t>BAG-WIN</t>
        </is>
      </c>
      <c r="E153" t="n">
        <v>22</v>
      </c>
      <c r="F153" t="n">
        <v>74</v>
      </c>
    </row>
    <row r="154">
      <c r="A154" t="inlineStr">
        <is>
          <t>T1190</t>
        </is>
      </c>
      <c r="B154" s="2" t="n">
        <v>45861</v>
      </c>
      <c r="C154" t="inlineStr">
        <is>
          <t>SALE</t>
        </is>
      </c>
      <c r="D154" t="inlineStr">
        <is>
          <t>TENT-2P</t>
        </is>
      </c>
      <c r="E154" t="n">
        <v>1</v>
      </c>
      <c r="G154" t="n">
        <v>160.65</v>
      </c>
    </row>
    <row r="155">
      <c r="A155" t="inlineStr">
        <is>
          <t>T1191</t>
        </is>
      </c>
      <c r="B155" s="2" t="n">
        <v>45861</v>
      </c>
      <c r="C155" t="inlineStr">
        <is>
          <t>SALE</t>
        </is>
      </c>
      <c r="D155" t="inlineStr">
        <is>
          <t>TENT-4P</t>
        </is>
      </c>
      <c r="E155" t="n">
        <v>1</v>
      </c>
      <c r="G155" t="n">
        <v>269.1</v>
      </c>
    </row>
    <row r="156">
      <c r="A156" t="inlineStr">
        <is>
          <t>T1192</t>
        </is>
      </c>
      <c r="B156" s="2" t="n">
        <v>45861</v>
      </c>
      <c r="C156" t="inlineStr">
        <is>
          <t>SALE</t>
        </is>
      </c>
      <c r="D156" t="inlineStr">
        <is>
          <t>pad-foam</t>
        </is>
      </c>
      <c r="E156" t="n">
        <v>4</v>
      </c>
      <c r="G156" t="n">
        <v>21.6</v>
      </c>
    </row>
    <row r="157">
      <c r="A157" t="inlineStr">
        <is>
          <t>T1194</t>
        </is>
      </c>
      <c r="B157" s="2" t="n">
        <v>45861</v>
      </c>
      <c r="C157" t="inlineStr">
        <is>
          <t>SALE</t>
        </is>
      </c>
      <c r="D157" t="inlineStr">
        <is>
          <t>PACK-35</t>
        </is>
      </c>
      <c r="E157" t="n">
        <v>2</v>
      </c>
      <c r="G157" t="n">
        <v>79</v>
      </c>
    </row>
    <row r="158">
      <c r="A158" t="inlineStr">
        <is>
          <t>T1195</t>
        </is>
      </c>
      <c r="B158" s="2" t="n">
        <v>45861</v>
      </c>
      <c r="C158" t="inlineStr">
        <is>
          <t>SALE</t>
        </is>
      </c>
      <c r="D158" t="inlineStr">
        <is>
          <t>PACK-65</t>
        </is>
      </c>
      <c r="E158" t="n">
        <v>2</v>
      </c>
      <c r="G158" t="n">
        <v>186.15</v>
      </c>
    </row>
    <row r="159">
      <c r="A159" t="inlineStr">
        <is>
          <t>T1196</t>
        </is>
      </c>
      <c r="B159" s="2" t="n">
        <v>45862</v>
      </c>
      <c r="C159" t="inlineStr">
        <is>
          <t>SALE</t>
        </is>
      </c>
      <c r="D159" t="inlineStr">
        <is>
          <t xml:space="preserve">TENT-2P </t>
        </is>
      </c>
      <c r="E159" t="n">
        <v>2</v>
      </c>
      <c r="G159" t="n">
        <v>189</v>
      </c>
    </row>
    <row r="160">
      <c r="A160" t="inlineStr">
        <is>
          <t>T1197</t>
        </is>
      </c>
      <c r="B160" s="2" t="n">
        <v>45862</v>
      </c>
      <c r="C160" t="inlineStr">
        <is>
          <t>SALE</t>
        </is>
      </c>
      <c r="D160" t="inlineStr">
        <is>
          <t>STOVE-GAS</t>
        </is>
      </c>
      <c r="E160" t="n">
        <v>3</v>
      </c>
      <c r="G160" t="n">
        <v>50.15</v>
      </c>
    </row>
    <row r="161">
      <c r="A161" t="inlineStr">
        <is>
          <t>T1198</t>
        </is>
      </c>
      <c r="B161" s="2" t="n">
        <v>45862</v>
      </c>
      <c r="C161" t="inlineStr">
        <is>
          <t>SALE</t>
        </is>
      </c>
      <c r="D161" t="inlineStr">
        <is>
          <t>PACK-65</t>
        </is>
      </c>
      <c r="E161" t="n">
        <v>2</v>
      </c>
      <c r="G161" t="n">
        <v>186.15</v>
      </c>
    </row>
    <row r="162">
      <c r="A162" t="inlineStr">
        <is>
          <t>T1199</t>
        </is>
      </c>
      <c r="B162" s="2" t="n">
        <v>45862</v>
      </c>
      <c r="C162" t="inlineStr">
        <is>
          <t>SALE</t>
        </is>
      </c>
      <c r="D162" t="inlineStr">
        <is>
          <t>BOTTLE-1L</t>
        </is>
      </c>
      <c r="E162" t="n">
        <v>4</v>
      </c>
      <c r="G162" t="n">
        <v>16.2</v>
      </c>
    </row>
    <row r="163">
      <c r="A163" t="inlineStr">
        <is>
          <t>T1200</t>
        </is>
      </c>
      <c r="B163" s="2" t="n">
        <v>45862</v>
      </c>
      <c r="C163" t="inlineStr">
        <is>
          <t>SALE</t>
        </is>
      </c>
      <c r="D163" t="inlineStr">
        <is>
          <t>CHAIR-FLD</t>
        </is>
      </c>
      <c r="E163" t="n">
        <v>2</v>
      </c>
      <c r="G163" t="n">
        <v>49</v>
      </c>
    </row>
    <row r="164">
      <c r="A164" t="inlineStr">
        <is>
          <t>T1201</t>
        </is>
      </c>
      <c r="B164" s="2" t="n">
        <v>45863</v>
      </c>
      <c r="C164" t="inlineStr">
        <is>
          <t>SALE</t>
        </is>
      </c>
      <c r="D164" t="inlineStr">
        <is>
          <t>TENT-2P</t>
        </is>
      </c>
      <c r="E164" t="n">
        <v>1</v>
      </c>
      <c r="G164" t="n">
        <v>189</v>
      </c>
    </row>
    <row r="165">
      <c r="A165" t="inlineStr">
        <is>
          <t>T1202</t>
        </is>
      </c>
      <c r="B165" s="2" t="n">
        <v>45863</v>
      </c>
      <c r="C165" t="inlineStr">
        <is>
          <t>SALE</t>
        </is>
      </c>
      <c r="D165" t="inlineStr">
        <is>
          <t>TENT-4P</t>
        </is>
      </c>
      <c r="E165" t="n">
        <v>2</v>
      </c>
      <c r="G165" t="n">
        <v>269.1</v>
      </c>
    </row>
    <row r="166">
      <c r="A166" t="inlineStr">
        <is>
          <t>T1204</t>
        </is>
      </c>
      <c r="B166" s="2" t="n">
        <v>45863</v>
      </c>
      <c r="C166" t="inlineStr">
        <is>
          <t>SALE</t>
        </is>
      </c>
      <c r="D166" t="inlineStr">
        <is>
          <t>STOVE-GAS</t>
        </is>
      </c>
      <c r="E166" t="n">
        <v>2</v>
      </c>
      <c r="G166" t="n">
        <v>59</v>
      </c>
    </row>
    <row r="167">
      <c r="A167" t="inlineStr">
        <is>
          <t>T1206</t>
        </is>
      </c>
      <c r="B167" s="2" t="n">
        <v>45863</v>
      </c>
      <c r="C167" t="inlineStr">
        <is>
          <t>SALE</t>
        </is>
      </c>
      <c r="D167" t="inlineStr">
        <is>
          <t>LAMP-LED</t>
        </is>
      </c>
      <c r="E167" t="n">
        <v>8</v>
      </c>
      <c r="G167" t="n">
        <v>24.65</v>
      </c>
    </row>
    <row r="168">
      <c r="A168" t="inlineStr">
        <is>
          <t>T1208</t>
        </is>
      </c>
      <c r="B168" s="2" t="n">
        <v>45863</v>
      </c>
      <c r="C168" t="inlineStr">
        <is>
          <t>SALE</t>
        </is>
      </c>
      <c r="D168" t="inlineStr">
        <is>
          <t>PACK-65</t>
        </is>
      </c>
      <c r="E168" t="n">
        <v>1</v>
      </c>
      <c r="G168" t="n">
        <v>219</v>
      </c>
    </row>
    <row r="169">
      <c r="A169" t="inlineStr">
        <is>
          <t>T1209</t>
        </is>
      </c>
      <c r="B169" s="2" t="n">
        <v>45863</v>
      </c>
      <c r="C169" t="inlineStr">
        <is>
          <t>SALE</t>
        </is>
      </c>
      <c r="D169" t="inlineStr">
        <is>
          <t>BOTTLE-1L</t>
        </is>
      </c>
      <c r="E169" t="n">
        <v>8</v>
      </c>
      <c r="G169" t="n">
        <v>18</v>
      </c>
    </row>
    <row r="170">
      <c r="A170" t="inlineStr">
        <is>
          <t>T1210</t>
        </is>
      </c>
      <c r="B170" s="2" t="n">
        <v>45863</v>
      </c>
      <c r="C170" t="inlineStr">
        <is>
          <t>SALE</t>
        </is>
      </c>
      <c r="D170" t="inlineStr">
        <is>
          <t>CHAIR-FLD</t>
        </is>
      </c>
      <c r="E170" t="n">
        <v>4</v>
      </c>
      <c r="G170" t="n">
        <v>49</v>
      </c>
    </row>
    <row r="171">
      <c r="A171" t="inlineStr">
        <is>
          <t>T1211</t>
        </is>
      </c>
      <c r="B171" s="2" t="n">
        <v>45863</v>
      </c>
      <c r="C171" t="inlineStr">
        <is>
          <t>EXPENSE</t>
        </is>
      </c>
      <c r="I171" t="inlineStr">
        <is>
          <t>Shipping</t>
        </is>
      </c>
      <c r="J171" t="n">
        <v>324.59</v>
      </c>
    </row>
    <row r="172">
      <c r="A172" t="inlineStr">
        <is>
          <t>T1212</t>
        </is>
      </c>
      <c r="B172" s="2" t="n">
        <v>45864</v>
      </c>
      <c r="C172" t="inlineStr">
        <is>
          <t>SALE</t>
        </is>
      </c>
      <c r="D172" t="inlineStr">
        <is>
          <t>TENT-2P</t>
        </is>
      </c>
      <c r="E172" t="n">
        <v>3</v>
      </c>
      <c r="G172" t="n">
        <v>170.1</v>
      </c>
    </row>
    <row r="173">
      <c r="A173" t="inlineStr">
        <is>
          <t>T1213</t>
        </is>
      </c>
      <c r="B173" s="2" t="n">
        <v>45864</v>
      </c>
      <c r="C173" t="inlineStr">
        <is>
          <t>SALE</t>
        </is>
      </c>
      <c r="D173" t="inlineStr">
        <is>
          <t>TENT-4P</t>
        </is>
      </c>
      <c r="E173" t="n">
        <v>1</v>
      </c>
      <c r="G173" t="n">
        <v>299</v>
      </c>
    </row>
    <row r="174">
      <c r="A174" t="inlineStr">
        <is>
          <t>T1214</t>
        </is>
      </c>
      <c r="B174" s="2" t="n">
        <v>45864</v>
      </c>
      <c r="C174" t="inlineStr">
        <is>
          <t>SALE</t>
        </is>
      </c>
      <c r="D174" t="inlineStr">
        <is>
          <t>BAG-SUM</t>
        </is>
      </c>
      <c r="E174" t="n">
        <v>2</v>
      </c>
      <c r="G174" t="n">
        <v>58.65</v>
      </c>
    </row>
    <row r="175">
      <c r="A175" t="inlineStr">
        <is>
          <t>T1215</t>
        </is>
      </c>
      <c r="B175" s="2" t="n">
        <v>45864</v>
      </c>
      <c r="C175" t="inlineStr">
        <is>
          <t>SALE</t>
        </is>
      </c>
      <c r="D175" t="inlineStr">
        <is>
          <t>PAD-FOAM</t>
        </is>
      </c>
      <c r="E175" t="n">
        <v>4</v>
      </c>
      <c r="G175" t="n">
        <v>21.6</v>
      </c>
    </row>
    <row r="176">
      <c r="A176" t="inlineStr">
        <is>
          <t>T1216</t>
        </is>
      </c>
      <c r="B176" s="2" t="n">
        <v>45864</v>
      </c>
      <c r="C176" t="inlineStr">
        <is>
          <t>SALE</t>
        </is>
      </c>
      <c r="D176" t="inlineStr">
        <is>
          <t>LAMP-LED</t>
        </is>
      </c>
      <c r="E176" t="n">
        <v>4</v>
      </c>
      <c r="G176" t="n">
        <v>29</v>
      </c>
    </row>
    <row r="177">
      <c r="A177" t="inlineStr">
        <is>
          <t>T1217</t>
        </is>
      </c>
      <c r="B177" s="2" t="n">
        <v>45864</v>
      </c>
      <c r="C177" t="inlineStr">
        <is>
          <t>SALE</t>
        </is>
      </c>
      <c r="D177" t="inlineStr">
        <is>
          <t>PACK-35</t>
        </is>
      </c>
      <c r="E177" t="n">
        <v>2</v>
      </c>
      <c r="G177" t="n">
        <v>79</v>
      </c>
    </row>
    <row r="178">
      <c r="A178" t="inlineStr">
        <is>
          <t>T1218</t>
        </is>
      </c>
      <c r="B178" s="2" t="n">
        <v>45864</v>
      </c>
      <c r="C178" t="inlineStr">
        <is>
          <t>SALE</t>
        </is>
      </c>
      <c r="D178" t="inlineStr">
        <is>
          <t>PACK-65</t>
        </is>
      </c>
      <c r="E178" t="n">
        <v>4</v>
      </c>
      <c r="G178" t="n">
        <v>219</v>
      </c>
    </row>
    <row r="179">
      <c r="A179" t="inlineStr">
        <is>
          <t>T1219</t>
        </is>
      </c>
      <c r="B179" s="2" t="n">
        <v>45864</v>
      </c>
      <c r="C179" t="inlineStr">
        <is>
          <t>SALE</t>
        </is>
      </c>
      <c r="D179" t="inlineStr">
        <is>
          <t>BOTTLE-1L</t>
        </is>
      </c>
      <c r="E179" t="n">
        <v>4</v>
      </c>
      <c r="G179" t="n">
        <v>15.3</v>
      </c>
    </row>
    <row r="180">
      <c r="A180" t="inlineStr">
        <is>
          <t>T1221</t>
        </is>
      </c>
      <c r="B180" s="2" t="n">
        <v>45864</v>
      </c>
      <c r="C180" t="inlineStr">
        <is>
          <t>SALE</t>
        </is>
      </c>
      <c r="D180" t="inlineStr">
        <is>
          <t>CHAIR-FLD</t>
        </is>
      </c>
      <c r="E180" t="n">
        <v>2</v>
      </c>
      <c r="G180" t="n">
        <v>49</v>
      </c>
    </row>
    <row r="181">
      <c r="A181" t="inlineStr">
        <is>
          <t>T1222</t>
        </is>
      </c>
      <c r="B181" s="2" t="n">
        <v>45864</v>
      </c>
      <c r="C181" t="inlineStr">
        <is>
          <t>SALE</t>
        </is>
      </c>
      <c r="D181" t="inlineStr">
        <is>
          <t>FILTER-H2O</t>
        </is>
      </c>
      <c r="E181" t="n">
        <v>2</v>
      </c>
      <c r="G181" t="n">
        <v>89</v>
      </c>
    </row>
    <row r="182">
      <c r="A182" t="inlineStr">
        <is>
          <t>T1223</t>
        </is>
      </c>
      <c r="B182" s="2" t="n">
        <v>45864</v>
      </c>
      <c r="C182" t="inlineStr">
        <is>
          <t>RETURN</t>
        </is>
      </c>
      <c r="D182" t="inlineStr">
        <is>
          <t>BAG-SUM</t>
        </is>
      </c>
      <c r="E182" t="n">
        <v>1</v>
      </c>
      <c r="G182" t="n">
        <v>69</v>
      </c>
      <c r="H182" t="inlineStr">
        <is>
          <t>damaged</t>
        </is>
      </c>
    </row>
    <row r="183">
      <c r="A183" t="inlineStr">
        <is>
          <t>T1224</t>
        </is>
      </c>
      <c r="B183" s="2" t="n">
        <v>45865</v>
      </c>
      <c r="C183" t="inlineStr">
        <is>
          <t>SALE</t>
        </is>
      </c>
      <c r="D183" t="inlineStr">
        <is>
          <t>PAD-FOAM</t>
        </is>
      </c>
      <c r="E183" t="n">
        <v>4</v>
      </c>
      <c r="G183" t="n">
        <v>24</v>
      </c>
    </row>
    <row r="184">
      <c r="A184" t="inlineStr">
        <is>
          <t>T1226</t>
        </is>
      </c>
      <c r="B184" s="2" t="n">
        <v>45865</v>
      </c>
      <c r="C184" t="inlineStr">
        <is>
          <t>SALE</t>
        </is>
      </c>
      <c r="D184" t="inlineStr">
        <is>
          <t>STOVE-GAS</t>
        </is>
      </c>
      <c r="E184" t="n">
        <v>2</v>
      </c>
      <c r="G184" t="n">
        <v>59</v>
      </c>
    </row>
    <row r="185">
      <c r="A185" t="inlineStr">
        <is>
          <t>T1227</t>
        </is>
      </c>
      <c r="B185" s="2" t="n">
        <v>45865</v>
      </c>
      <c r="C185" t="inlineStr">
        <is>
          <t>SALE</t>
        </is>
      </c>
      <c r="D185" t="inlineStr">
        <is>
          <t>FILTER-H2O</t>
        </is>
      </c>
      <c r="E185" t="n">
        <v>3</v>
      </c>
      <c r="G185" t="n">
        <v>89</v>
      </c>
    </row>
    <row r="186">
      <c r="A186" t="inlineStr">
        <is>
          <t>T1228</t>
        </is>
      </c>
      <c r="B186" s="2" t="n">
        <v>45865</v>
      </c>
      <c r="C186" t="inlineStr">
        <is>
          <t>RECEIPT</t>
        </is>
      </c>
      <c r="D186" t="inlineStr">
        <is>
          <t>CHAIR-FLD</t>
        </is>
      </c>
      <c r="E186" t="n">
        <v>22</v>
      </c>
      <c r="F186" t="n">
        <v>22.4</v>
      </c>
    </row>
    <row r="187">
      <c r="A187" t="inlineStr">
        <is>
          <t>T1229</t>
        </is>
      </c>
      <c r="B187" s="2" t="n">
        <v>45866</v>
      </c>
      <c r="C187" t="inlineStr">
        <is>
          <t>SALE</t>
        </is>
      </c>
      <c r="D187" t="inlineStr">
        <is>
          <t>TENT-4P</t>
        </is>
      </c>
      <c r="E187" t="n">
        <v>1</v>
      </c>
      <c r="G187" t="n">
        <v>299</v>
      </c>
    </row>
    <row r="188">
      <c r="A188" t="inlineStr">
        <is>
          <t>T1230</t>
        </is>
      </c>
      <c r="B188" s="2" t="n">
        <v>45866</v>
      </c>
      <c r="C188" t="inlineStr">
        <is>
          <t>SALE</t>
        </is>
      </c>
      <c r="D188" t="inlineStr">
        <is>
          <t xml:space="preserve">BAG-SUM </t>
        </is>
      </c>
      <c r="E188" t="n">
        <v>3</v>
      </c>
      <c r="G188" t="n">
        <v>69</v>
      </c>
    </row>
    <row r="189">
      <c r="A189" t="inlineStr">
        <is>
          <t>T1231</t>
        </is>
      </c>
      <c r="B189" s="2" t="n">
        <v>45866</v>
      </c>
      <c r="C189" t="inlineStr">
        <is>
          <t>SALE</t>
        </is>
      </c>
      <c r="D189" t="inlineStr">
        <is>
          <t>STOVE-GAS</t>
        </is>
      </c>
      <c r="E189" t="n">
        <v>1</v>
      </c>
      <c r="G189" t="n">
        <v>59</v>
      </c>
    </row>
    <row r="190">
      <c r="A190" t="inlineStr">
        <is>
          <t>T1233</t>
        </is>
      </c>
      <c r="B190" s="2" t="n">
        <v>45866</v>
      </c>
      <c r="C190" t="inlineStr">
        <is>
          <t>SALE</t>
        </is>
      </c>
      <c r="D190" t="inlineStr">
        <is>
          <t>LAMP-LED</t>
        </is>
      </c>
      <c r="E190" t="n">
        <v>8</v>
      </c>
      <c r="G190" t="n">
        <v>29</v>
      </c>
    </row>
    <row r="191">
      <c r="A191" t="inlineStr">
        <is>
          <t>T1234</t>
        </is>
      </c>
      <c r="B191" s="2" t="n">
        <v>45866</v>
      </c>
      <c r="C191" t="inlineStr">
        <is>
          <t>SALE</t>
        </is>
      </c>
      <c r="D191" t="inlineStr">
        <is>
          <t>PACK-35</t>
        </is>
      </c>
      <c r="E191" t="n">
        <v>2</v>
      </c>
      <c r="G191" t="n">
        <v>79</v>
      </c>
    </row>
    <row r="192">
      <c r="A192" t="inlineStr">
        <is>
          <t>T1236</t>
        </is>
      </c>
      <c r="B192" s="2" t="n">
        <v>45866</v>
      </c>
      <c r="C192" t="inlineStr">
        <is>
          <t>SALE</t>
        </is>
      </c>
      <c r="D192" t="inlineStr">
        <is>
          <t>CHAIR-FLD</t>
        </is>
      </c>
      <c r="E192" t="n">
        <v>1</v>
      </c>
      <c r="G192" t="n">
        <v>44.1</v>
      </c>
    </row>
    <row r="193">
      <c r="A193" t="inlineStr">
        <is>
          <t>T1238</t>
        </is>
      </c>
      <c r="B193" s="2" t="n">
        <v>45866</v>
      </c>
      <c r="C193" t="inlineStr">
        <is>
          <t>SALE</t>
        </is>
      </c>
      <c r="D193" t="inlineStr">
        <is>
          <t>FILTER-H2O</t>
        </is>
      </c>
      <c r="E193" t="n">
        <v>4</v>
      </c>
      <c r="G193" t="n">
        <v>75.65000000000001</v>
      </c>
    </row>
    <row r="194">
      <c r="A194" t="inlineStr">
        <is>
          <t>T1240</t>
        </is>
      </c>
      <c r="B194" s="2" t="n">
        <v>45866</v>
      </c>
      <c r="C194" t="inlineStr">
        <is>
          <t>EXPENSE</t>
        </is>
      </c>
      <c r="I194" t="inlineStr">
        <is>
          <t>Wages</t>
        </is>
      </c>
      <c r="J194" t="n">
        <v>4213.89</v>
      </c>
    </row>
    <row r="195">
      <c r="A195" t="inlineStr">
        <is>
          <t>T1242</t>
        </is>
      </c>
      <c r="B195" s="2" t="n">
        <v>45867</v>
      </c>
      <c r="C195" t="inlineStr">
        <is>
          <t>SALE</t>
        </is>
      </c>
      <c r="D195" t="inlineStr">
        <is>
          <t>TENT-2P</t>
        </is>
      </c>
      <c r="E195" t="n">
        <v>4</v>
      </c>
      <c r="G195" t="n">
        <v>189</v>
      </c>
    </row>
    <row r="196">
      <c r="A196" t="inlineStr">
        <is>
          <t>T1243</t>
        </is>
      </c>
      <c r="B196" s="2" t="n">
        <v>45867</v>
      </c>
      <c r="C196" t="inlineStr">
        <is>
          <t>SALE</t>
        </is>
      </c>
      <c r="D196" t="inlineStr">
        <is>
          <t>TENT-4P</t>
        </is>
      </c>
      <c r="E196" t="n">
        <v>2</v>
      </c>
      <c r="G196" t="n">
        <v>269.1</v>
      </c>
    </row>
    <row r="197">
      <c r="A197" t="inlineStr">
        <is>
          <t>T1245</t>
        </is>
      </c>
      <c r="B197" s="2" t="n">
        <v>45867</v>
      </c>
      <c r="C197" t="inlineStr">
        <is>
          <t>SALE</t>
        </is>
      </c>
      <c r="D197" t="inlineStr">
        <is>
          <t>PAD-FOAM</t>
        </is>
      </c>
      <c r="E197" t="n">
        <v>4</v>
      </c>
      <c r="G197" t="n">
        <v>20.4</v>
      </c>
    </row>
    <row r="198">
      <c r="A198" t="inlineStr">
        <is>
          <t>T1246</t>
        </is>
      </c>
      <c r="B198" s="2" t="n">
        <v>45867</v>
      </c>
      <c r="C198" t="inlineStr">
        <is>
          <t>SALE</t>
        </is>
      </c>
      <c r="D198" t="inlineStr">
        <is>
          <t>LAMP-LED</t>
        </is>
      </c>
      <c r="E198" t="n">
        <v>4</v>
      </c>
      <c r="G198" t="n">
        <v>29</v>
      </c>
    </row>
    <row r="199">
      <c r="A199" t="inlineStr">
        <is>
          <t>T1247</t>
        </is>
      </c>
      <c r="B199" s="2" t="n">
        <v>45867</v>
      </c>
      <c r="C199" t="inlineStr">
        <is>
          <t>SALE</t>
        </is>
      </c>
      <c r="D199" t="inlineStr">
        <is>
          <t>PACK-35</t>
        </is>
      </c>
      <c r="E199" t="n">
        <v>1</v>
      </c>
      <c r="G199" t="n">
        <v>79</v>
      </c>
    </row>
    <row r="200">
      <c r="A200" t="inlineStr">
        <is>
          <t>T1248</t>
        </is>
      </c>
      <c r="B200" s="2" t="n">
        <v>45867</v>
      </c>
      <c r="C200" t="inlineStr">
        <is>
          <t>SALE</t>
        </is>
      </c>
      <c r="D200" t="inlineStr">
        <is>
          <t>CHAIR-FLD</t>
        </is>
      </c>
      <c r="E200" t="n">
        <v>4</v>
      </c>
      <c r="G200" t="n">
        <v>44.1</v>
      </c>
    </row>
    <row r="201">
      <c r="A201" t="inlineStr">
        <is>
          <t>T1249</t>
        </is>
      </c>
      <c r="B201" s="2" t="n">
        <v>45867</v>
      </c>
      <c r="C201" t="inlineStr">
        <is>
          <t>SALE</t>
        </is>
      </c>
      <c r="D201" t="inlineStr">
        <is>
          <t>FILTER-H2O</t>
        </is>
      </c>
      <c r="E201" t="n">
        <v>1</v>
      </c>
      <c r="G201" t="n">
        <v>89</v>
      </c>
    </row>
    <row r="202">
      <c r="A202" t="inlineStr">
        <is>
          <t>T1250</t>
        </is>
      </c>
      <c r="B202" s="2" t="n">
        <v>45868</v>
      </c>
      <c r="C202" t="inlineStr">
        <is>
          <t>SALE</t>
        </is>
      </c>
      <c r="D202" t="inlineStr">
        <is>
          <t xml:space="preserve">BAG-SUM </t>
        </is>
      </c>
      <c r="E202" t="n">
        <v>3</v>
      </c>
      <c r="G202" t="n">
        <v>58.65</v>
      </c>
    </row>
    <row r="203">
      <c r="A203" t="inlineStr">
        <is>
          <t>T1251</t>
        </is>
      </c>
      <c r="B203" s="2" t="n">
        <v>45868</v>
      </c>
      <c r="C203" t="inlineStr">
        <is>
          <t>SALE</t>
        </is>
      </c>
      <c r="D203" t="inlineStr">
        <is>
          <t>BAG-WIN</t>
        </is>
      </c>
      <c r="E203" t="n">
        <v>1</v>
      </c>
      <c r="G203" t="n">
        <v>159</v>
      </c>
    </row>
    <row r="204">
      <c r="A204" t="inlineStr">
        <is>
          <t>T1252</t>
        </is>
      </c>
      <c r="B204" s="2" t="n">
        <v>45868</v>
      </c>
      <c r="C204" t="inlineStr">
        <is>
          <t>SALE</t>
        </is>
      </c>
      <c r="D204" t="inlineStr">
        <is>
          <t>LAMP-LED</t>
        </is>
      </c>
      <c r="E204" t="n">
        <v>4</v>
      </c>
      <c r="G204" t="n">
        <v>26.1</v>
      </c>
    </row>
    <row r="205">
      <c r="A205" t="inlineStr">
        <is>
          <t>T1253</t>
        </is>
      </c>
      <c r="B205" s="2" t="n">
        <v>45868</v>
      </c>
      <c r="C205" t="inlineStr">
        <is>
          <t>RECEIPT</t>
        </is>
      </c>
      <c r="D205" t="inlineStr">
        <is>
          <t>BOTTLE-1L</t>
        </is>
      </c>
      <c r="E205" t="n">
        <v>112</v>
      </c>
      <c r="F205" t="n">
        <v>6.1</v>
      </c>
    </row>
    <row r="206">
      <c r="A206" t="inlineStr">
        <is>
          <t>T1255</t>
        </is>
      </c>
      <c r="B206" s="2" t="n">
        <v>45868</v>
      </c>
      <c r="C206" t="inlineStr">
        <is>
          <t>RETURN</t>
        </is>
      </c>
      <c r="D206" t="inlineStr">
        <is>
          <t>BOTTLE-1L</t>
        </is>
      </c>
      <c r="E206" t="n">
        <v>1</v>
      </c>
      <c r="G206" t="n">
        <v>18</v>
      </c>
      <c r="H206" t="inlineStr">
        <is>
          <t>resellable</t>
        </is>
      </c>
    </row>
    <row r="207">
      <c r="A207" t="inlineStr">
        <is>
          <t>T1256</t>
        </is>
      </c>
      <c r="B207" s="2" t="n">
        <v>45869</v>
      </c>
      <c r="C207" t="inlineStr">
        <is>
          <t>SALE</t>
        </is>
      </c>
      <c r="D207" t="inlineStr">
        <is>
          <t>BAG-WIN</t>
        </is>
      </c>
      <c r="E207" t="n">
        <v>1</v>
      </c>
      <c r="G207" t="n">
        <v>135.15</v>
      </c>
    </row>
    <row r="208">
      <c r="A208" t="inlineStr">
        <is>
          <t>T1257</t>
        </is>
      </c>
      <c r="B208" s="2" t="n">
        <v>45869</v>
      </c>
      <c r="C208" t="inlineStr">
        <is>
          <t>SALE</t>
        </is>
      </c>
      <c r="D208" t="inlineStr">
        <is>
          <t>PAD-FOAM</t>
        </is>
      </c>
      <c r="E208" t="n">
        <v>8</v>
      </c>
      <c r="G208" t="n">
        <v>24</v>
      </c>
    </row>
    <row r="209">
      <c r="A209" t="inlineStr">
        <is>
          <t>T1258</t>
        </is>
      </c>
      <c r="B209" s="2" t="n">
        <v>45869</v>
      </c>
      <c r="C209" t="inlineStr">
        <is>
          <t>SALE</t>
        </is>
      </c>
      <c r="D209" t="inlineStr">
        <is>
          <t>STOVE-GAS</t>
        </is>
      </c>
      <c r="E209" t="n">
        <v>2</v>
      </c>
      <c r="G209" t="n">
        <v>59</v>
      </c>
    </row>
    <row r="210">
      <c r="A210" t="inlineStr">
        <is>
          <t>T1259</t>
        </is>
      </c>
      <c r="B210" s="2" t="n">
        <v>45869</v>
      </c>
      <c r="C210" t="inlineStr">
        <is>
          <t>SALE</t>
        </is>
      </c>
      <c r="D210" t="inlineStr">
        <is>
          <t>LAMP-LED</t>
        </is>
      </c>
      <c r="E210" t="n">
        <v>4</v>
      </c>
      <c r="G210" t="n">
        <v>24.65</v>
      </c>
    </row>
    <row r="211">
      <c r="A211" t="inlineStr">
        <is>
          <t>T1260</t>
        </is>
      </c>
      <c r="B211" s="2" t="n">
        <v>45869</v>
      </c>
      <c r="C211" t="inlineStr">
        <is>
          <t>SALE</t>
        </is>
      </c>
      <c r="D211" t="inlineStr">
        <is>
          <t>PACK-35</t>
        </is>
      </c>
      <c r="E211" t="n">
        <v>4</v>
      </c>
      <c r="G211" t="n">
        <v>79</v>
      </c>
    </row>
    <row r="212">
      <c r="A212" t="inlineStr">
        <is>
          <t>T1261</t>
        </is>
      </c>
      <c r="B212" s="2" t="n">
        <v>45869</v>
      </c>
      <c r="C212" t="inlineStr">
        <is>
          <t>SALE</t>
        </is>
      </c>
      <c r="D212" t="inlineStr">
        <is>
          <t>BOTTLE-1L</t>
        </is>
      </c>
      <c r="E212" t="n">
        <v>4</v>
      </c>
      <c r="G212" t="n">
        <v>18</v>
      </c>
    </row>
    <row r="213">
      <c r="A213" t="inlineStr">
        <is>
          <t>T1263</t>
        </is>
      </c>
      <c r="B213" s="2" t="n">
        <v>45869</v>
      </c>
      <c r="C213" t="inlineStr">
        <is>
          <t>WRITEOFF</t>
        </is>
      </c>
      <c r="D213" t="inlineStr">
        <is>
          <t>PACK-35</t>
        </is>
      </c>
      <c r="E213" t="n">
        <v>2</v>
      </c>
      <c r="K213" t="inlineStr">
        <is>
          <t>missing in count</t>
        </is>
      </c>
    </row>
    <row r="214">
      <c r="A214" t="inlineStr">
        <is>
          <t>T1264</t>
        </is>
      </c>
      <c r="B214" s="2" t="n">
        <v>45870</v>
      </c>
      <c r="C214" t="inlineStr">
        <is>
          <t>SALE</t>
        </is>
      </c>
      <c r="D214" t="inlineStr">
        <is>
          <t>BAG-SUM</t>
        </is>
      </c>
      <c r="E214" t="n">
        <v>3</v>
      </c>
      <c r="G214" t="n">
        <v>62.1</v>
      </c>
    </row>
    <row r="215">
      <c r="A215" t="inlineStr">
        <is>
          <t>T1265</t>
        </is>
      </c>
      <c r="B215" s="2" t="n">
        <v>45870</v>
      </c>
      <c r="C215" t="inlineStr">
        <is>
          <t>SALE</t>
        </is>
      </c>
      <c r="D215" t="inlineStr">
        <is>
          <t>PAD-FOAM</t>
        </is>
      </c>
      <c r="E215" t="n">
        <v>4</v>
      </c>
      <c r="G215" t="n">
        <v>20.4</v>
      </c>
    </row>
    <row r="216">
      <c r="A216" t="inlineStr">
        <is>
          <t>T1266</t>
        </is>
      </c>
      <c r="B216" s="2" t="n">
        <v>45870</v>
      </c>
      <c r="C216" t="inlineStr">
        <is>
          <t>SALE</t>
        </is>
      </c>
      <c r="D216" t="inlineStr">
        <is>
          <t>BOTTLE-1L</t>
        </is>
      </c>
      <c r="E216" t="n">
        <v>4</v>
      </c>
      <c r="G216" t="n">
        <v>18</v>
      </c>
    </row>
    <row r="217">
      <c r="A217" t="inlineStr">
        <is>
          <t>T1268</t>
        </is>
      </c>
      <c r="B217" s="2" t="n">
        <v>45870</v>
      </c>
      <c r="C217" t="inlineStr">
        <is>
          <t>SALE</t>
        </is>
      </c>
      <c r="D217" t="inlineStr">
        <is>
          <t>CHAIR-FLD</t>
        </is>
      </c>
      <c r="E217" t="n">
        <v>2</v>
      </c>
      <c r="G217" t="n">
        <v>49</v>
      </c>
    </row>
    <row r="218">
      <c r="A218" t="inlineStr">
        <is>
          <t>T1269</t>
        </is>
      </c>
      <c r="B218" s="2" t="n">
        <v>45870</v>
      </c>
      <c r="C218" t="inlineStr">
        <is>
          <t>EXPENSE</t>
        </is>
      </c>
      <c r="I218" t="inlineStr">
        <is>
          <t>Rent</t>
        </is>
      </c>
      <c r="J218" t="n">
        <v>3200</v>
      </c>
    </row>
    <row r="219">
      <c r="A219" t="inlineStr">
        <is>
          <t>T1271</t>
        </is>
      </c>
      <c r="B219" s="2" t="n">
        <v>45870</v>
      </c>
      <c r="C219" t="inlineStr">
        <is>
          <t>EXPENSE</t>
        </is>
      </c>
      <c r="I219" t="inlineStr">
        <is>
          <t>Shipping</t>
        </is>
      </c>
      <c r="J219" t="n">
        <v>239.56</v>
      </c>
    </row>
    <row r="220">
      <c r="A220" t="inlineStr">
        <is>
          <t>T1272</t>
        </is>
      </c>
      <c r="B220" s="2" t="n">
        <v>45871</v>
      </c>
      <c r="C220" t="inlineStr">
        <is>
          <t>SALE</t>
        </is>
      </c>
      <c r="D220" t="inlineStr">
        <is>
          <t>BAG-SUM</t>
        </is>
      </c>
      <c r="E220" t="n">
        <v>2</v>
      </c>
      <c r="G220" t="n">
        <v>62.1</v>
      </c>
    </row>
    <row r="221">
      <c r="A221" t="inlineStr">
        <is>
          <t>T1273</t>
        </is>
      </c>
      <c r="B221" s="2" t="n">
        <v>45871</v>
      </c>
      <c r="C221" t="inlineStr">
        <is>
          <t>SALE</t>
        </is>
      </c>
      <c r="D221" t="inlineStr">
        <is>
          <t>PACK-35</t>
        </is>
      </c>
      <c r="E221" t="n">
        <v>2</v>
      </c>
      <c r="G221" t="n">
        <v>67.15000000000001</v>
      </c>
    </row>
    <row r="222">
      <c r="A222" t="inlineStr">
        <is>
          <t>T1275</t>
        </is>
      </c>
      <c r="B222" s="2" t="n">
        <v>45871</v>
      </c>
      <c r="C222" t="inlineStr">
        <is>
          <t>SALE</t>
        </is>
      </c>
      <c r="D222" t="inlineStr">
        <is>
          <t>PACK-65</t>
        </is>
      </c>
      <c r="E222" t="n">
        <v>2</v>
      </c>
      <c r="G222" t="n">
        <v>219</v>
      </c>
    </row>
    <row r="223">
      <c r="A223" t="inlineStr">
        <is>
          <t>T1276</t>
        </is>
      </c>
      <c r="B223" s="2" t="n">
        <v>45871</v>
      </c>
      <c r="C223" t="inlineStr">
        <is>
          <t>SALE</t>
        </is>
      </c>
      <c r="D223" t="inlineStr">
        <is>
          <t>CHAIR-FLD</t>
        </is>
      </c>
      <c r="E223" t="n">
        <v>1</v>
      </c>
      <c r="G223" t="n">
        <v>49</v>
      </c>
    </row>
    <row r="224">
      <c r="A224" t="inlineStr">
        <is>
          <t>T1277</t>
        </is>
      </c>
      <c r="B224" s="2" t="n">
        <v>45871</v>
      </c>
      <c r="C224" t="inlineStr">
        <is>
          <t>SALE</t>
        </is>
      </c>
      <c r="D224" t="inlineStr">
        <is>
          <t>FILTER-H2O</t>
        </is>
      </c>
      <c r="E224" t="n">
        <v>2</v>
      </c>
      <c r="G224" t="n">
        <v>89</v>
      </c>
    </row>
    <row r="225">
      <c r="A225" t="inlineStr">
        <is>
          <t>T1278</t>
        </is>
      </c>
      <c r="B225" s="2" t="n">
        <v>45872</v>
      </c>
      <c r="C225" t="inlineStr">
        <is>
          <t>SALE</t>
        </is>
      </c>
      <c r="D225" t="inlineStr">
        <is>
          <t>TENT-4P</t>
        </is>
      </c>
      <c r="E225" t="n">
        <v>1</v>
      </c>
      <c r="G225" t="n">
        <v>299</v>
      </c>
    </row>
    <row r="226">
      <c r="A226" t="inlineStr">
        <is>
          <t>T1280</t>
        </is>
      </c>
      <c r="B226" s="2" t="n">
        <v>45872</v>
      </c>
      <c r="C226" t="inlineStr">
        <is>
          <t>SALE</t>
        </is>
      </c>
      <c r="D226" t="inlineStr">
        <is>
          <t>BAG-WIN</t>
        </is>
      </c>
      <c r="E226" t="n">
        <v>1</v>
      </c>
      <c r="G226" t="n">
        <v>159</v>
      </c>
    </row>
    <row r="227">
      <c r="A227" t="inlineStr">
        <is>
          <t>T1281</t>
        </is>
      </c>
      <c r="B227" s="2" t="n">
        <v>45872</v>
      </c>
      <c r="C227" t="inlineStr">
        <is>
          <t>SALE</t>
        </is>
      </c>
      <c r="D227" t="inlineStr">
        <is>
          <t>PAD-FOAM</t>
        </is>
      </c>
      <c r="E227" t="n">
        <v>2</v>
      </c>
      <c r="G227" t="n">
        <v>24</v>
      </c>
    </row>
    <row r="228">
      <c r="A228" t="inlineStr">
        <is>
          <t>T1282</t>
        </is>
      </c>
      <c r="B228" s="2" t="n">
        <v>45872</v>
      </c>
      <c r="C228" t="inlineStr">
        <is>
          <t>SALE</t>
        </is>
      </c>
      <c r="D228" t="inlineStr">
        <is>
          <t>LAMP-LED</t>
        </is>
      </c>
      <c r="E228" t="n">
        <v>4</v>
      </c>
      <c r="G228" t="n">
        <v>24.65</v>
      </c>
    </row>
    <row r="229">
      <c r="A229" t="inlineStr">
        <is>
          <t>T1284</t>
        </is>
      </c>
      <c r="B229" s="2" t="n">
        <v>45872</v>
      </c>
      <c r="C229" t="inlineStr">
        <is>
          <t>SALE</t>
        </is>
      </c>
      <c r="D229" t="inlineStr">
        <is>
          <t>PACK-35</t>
        </is>
      </c>
      <c r="E229" t="n">
        <v>1</v>
      </c>
      <c r="G229" t="n">
        <v>67.15000000000001</v>
      </c>
    </row>
    <row r="230">
      <c r="A230" t="inlineStr">
        <is>
          <t>T1285</t>
        </is>
      </c>
      <c r="B230" s="2" t="n">
        <v>45872</v>
      </c>
      <c r="C230" t="inlineStr">
        <is>
          <t>SALE</t>
        </is>
      </c>
      <c r="D230" t="inlineStr">
        <is>
          <t>BOTTLE-1L</t>
        </is>
      </c>
      <c r="E230" t="n">
        <v>4</v>
      </c>
      <c r="G230" t="n">
        <v>18</v>
      </c>
    </row>
    <row r="231">
      <c r="A231" t="inlineStr">
        <is>
          <t>T1286</t>
        </is>
      </c>
      <c r="B231" s="2" t="n">
        <v>45872</v>
      </c>
      <c r="C231" t="inlineStr">
        <is>
          <t>SALE</t>
        </is>
      </c>
      <c r="D231" t="inlineStr">
        <is>
          <t>CHAIR-FLD</t>
        </is>
      </c>
      <c r="E231" t="n">
        <v>2</v>
      </c>
      <c r="G231" t="n">
        <v>49</v>
      </c>
    </row>
    <row r="232">
      <c r="A232" t="inlineStr">
        <is>
          <t>T1288</t>
        </is>
      </c>
      <c r="B232" s="2" t="n">
        <v>45873</v>
      </c>
      <c r="C232" t="inlineStr">
        <is>
          <t>SALE</t>
        </is>
      </c>
      <c r="D232" t="inlineStr">
        <is>
          <t>TENT-2P</t>
        </is>
      </c>
      <c r="E232" t="n">
        <v>2</v>
      </c>
      <c r="G232" t="n">
        <v>160.65</v>
      </c>
    </row>
    <row r="233">
      <c r="A233" t="inlineStr">
        <is>
          <t>T1289</t>
        </is>
      </c>
      <c r="B233" s="2" t="n">
        <v>45873</v>
      </c>
      <c r="C233" t="inlineStr">
        <is>
          <t>SALE</t>
        </is>
      </c>
      <c r="D233" t="inlineStr">
        <is>
          <t>BAG-WIN</t>
        </is>
      </c>
      <c r="E233" t="n">
        <v>2</v>
      </c>
      <c r="G233" t="n">
        <v>159</v>
      </c>
    </row>
    <row r="234">
      <c r="A234" t="inlineStr">
        <is>
          <t>T1290</t>
        </is>
      </c>
      <c r="B234" s="2" t="n">
        <v>45873</v>
      </c>
      <c r="C234" t="inlineStr">
        <is>
          <t>SALE</t>
        </is>
      </c>
      <c r="D234" t="inlineStr">
        <is>
          <t>PAD-FOAM</t>
        </is>
      </c>
      <c r="E234" t="n">
        <v>2</v>
      </c>
      <c r="G234" t="n">
        <v>20.4</v>
      </c>
    </row>
    <row r="235">
      <c r="A235" t="inlineStr">
        <is>
          <t>T1291</t>
        </is>
      </c>
      <c r="B235" s="2" t="n">
        <v>45873</v>
      </c>
      <c r="C235" t="inlineStr">
        <is>
          <t>SALE</t>
        </is>
      </c>
      <c r="D235" t="inlineStr">
        <is>
          <t>LAMP-LED</t>
        </is>
      </c>
      <c r="E235" t="n">
        <v>6</v>
      </c>
      <c r="G235" t="n">
        <v>24.65</v>
      </c>
    </row>
    <row r="236">
      <c r="A236" t="inlineStr">
        <is>
          <t>T1292</t>
        </is>
      </c>
      <c r="B236" s="2" t="n">
        <v>45873</v>
      </c>
      <c r="C236" t="inlineStr">
        <is>
          <t>SALE</t>
        </is>
      </c>
      <c r="D236" t="inlineStr">
        <is>
          <t>PACK-35</t>
        </is>
      </c>
      <c r="E236" t="n">
        <v>8</v>
      </c>
      <c r="G236" t="n">
        <v>79</v>
      </c>
    </row>
    <row r="237">
      <c r="A237" t="inlineStr">
        <is>
          <t>T1293</t>
        </is>
      </c>
      <c r="B237" s="2" t="n">
        <v>45873</v>
      </c>
      <c r="C237" t="inlineStr">
        <is>
          <t>SALE</t>
        </is>
      </c>
      <c r="D237" t="inlineStr">
        <is>
          <t>BOTTLE-1L</t>
        </is>
      </c>
      <c r="E237" t="n">
        <v>4</v>
      </c>
      <c r="G237" t="n">
        <v>18</v>
      </c>
    </row>
    <row r="238">
      <c r="A238" t="inlineStr">
        <is>
          <t>T1294</t>
        </is>
      </c>
      <c r="B238" s="2" t="n">
        <v>45874</v>
      </c>
      <c r="C238" t="inlineStr">
        <is>
          <t>SALE</t>
        </is>
      </c>
      <c r="D238" t="inlineStr">
        <is>
          <t>TENT-4P</t>
        </is>
      </c>
      <c r="E238" t="n">
        <v>1</v>
      </c>
      <c r="G238" t="n">
        <v>299</v>
      </c>
    </row>
    <row r="239">
      <c r="A239" t="inlineStr">
        <is>
          <t>T1295</t>
        </is>
      </c>
      <c r="B239" s="2" t="n">
        <v>45874</v>
      </c>
      <c r="C239" t="inlineStr">
        <is>
          <t>SALE</t>
        </is>
      </c>
      <c r="D239" t="inlineStr">
        <is>
          <t>BAG-SUM</t>
        </is>
      </c>
      <c r="E239" t="n">
        <v>1</v>
      </c>
      <c r="G239" t="n">
        <v>69</v>
      </c>
    </row>
    <row r="240">
      <c r="A240" t="inlineStr">
        <is>
          <t>T1296</t>
        </is>
      </c>
      <c r="B240" s="2" t="n">
        <v>45874</v>
      </c>
      <c r="C240" t="inlineStr">
        <is>
          <t>SALE</t>
        </is>
      </c>
      <c r="D240" t="inlineStr">
        <is>
          <t>BAG-WIN</t>
        </is>
      </c>
      <c r="E240" t="n">
        <v>1</v>
      </c>
      <c r="G240" t="n">
        <v>159</v>
      </c>
    </row>
    <row r="241">
      <c r="A241" t="inlineStr">
        <is>
          <t>T1298</t>
        </is>
      </c>
      <c r="B241" s="2" t="n">
        <v>45874</v>
      </c>
      <c r="C241" t="inlineStr">
        <is>
          <t>SALE</t>
        </is>
      </c>
      <c r="D241" t="inlineStr">
        <is>
          <t>PAD-FOAM</t>
        </is>
      </c>
      <c r="E241" t="n">
        <v>3</v>
      </c>
      <c r="G241" t="n">
        <v>24</v>
      </c>
    </row>
    <row r="242">
      <c r="A242" t="inlineStr">
        <is>
          <t>T1299</t>
        </is>
      </c>
      <c r="B242" s="2" t="n">
        <v>45874</v>
      </c>
      <c r="C242" t="inlineStr">
        <is>
          <t>SALE</t>
        </is>
      </c>
      <c r="D242" t="inlineStr">
        <is>
          <t>STOVE-GAS</t>
        </is>
      </c>
      <c r="E242" t="n">
        <v>2</v>
      </c>
      <c r="G242" t="n">
        <v>53.1</v>
      </c>
    </row>
    <row r="243">
      <c r="A243" t="inlineStr">
        <is>
          <t>T1301</t>
        </is>
      </c>
      <c r="B243" s="2" t="n">
        <v>45874</v>
      </c>
      <c r="C243" t="inlineStr">
        <is>
          <t>SALE</t>
        </is>
      </c>
      <c r="D243" t="inlineStr">
        <is>
          <t>LAMP-LED</t>
        </is>
      </c>
      <c r="E243" t="n">
        <v>4</v>
      </c>
      <c r="G243" t="n">
        <v>24.65</v>
      </c>
    </row>
    <row r="244">
      <c r="A244" t="inlineStr">
        <is>
          <t>T1302</t>
        </is>
      </c>
      <c r="B244" s="2" t="n">
        <v>45874</v>
      </c>
      <c r="C244" t="inlineStr">
        <is>
          <t>SALE</t>
        </is>
      </c>
      <c r="D244" t="inlineStr">
        <is>
          <t>BOTTLE-1L</t>
        </is>
      </c>
      <c r="E244" t="n">
        <v>8</v>
      </c>
      <c r="G244" t="n">
        <v>18</v>
      </c>
    </row>
    <row r="245">
      <c r="A245" t="inlineStr">
        <is>
          <t>T1303</t>
        </is>
      </c>
      <c r="B245" s="2" t="n">
        <v>45874</v>
      </c>
      <c r="C245" t="inlineStr">
        <is>
          <t>RECEIPT</t>
        </is>
      </c>
      <c r="D245" t="inlineStr">
        <is>
          <t>BOTTLE-1L</t>
        </is>
      </c>
      <c r="E245" t="n">
        <v>150</v>
      </c>
      <c r="F245" t="n">
        <v>6.1</v>
      </c>
    </row>
    <row r="246">
      <c r="A246" t="inlineStr">
        <is>
          <t>T1304</t>
        </is>
      </c>
      <c r="B246" s="2" t="n">
        <v>45875</v>
      </c>
      <c r="C246" t="inlineStr">
        <is>
          <t>SALE</t>
        </is>
      </c>
      <c r="D246" t="inlineStr">
        <is>
          <t>tent-2p</t>
        </is>
      </c>
      <c r="E246" t="n">
        <v>4</v>
      </c>
      <c r="G246" t="n">
        <v>189</v>
      </c>
    </row>
    <row r="247">
      <c r="A247" t="inlineStr">
        <is>
          <t>T1305</t>
        </is>
      </c>
      <c r="B247" s="2" t="n">
        <v>45875</v>
      </c>
      <c r="C247" t="inlineStr">
        <is>
          <t>SALE</t>
        </is>
      </c>
      <c r="D247" t="inlineStr">
        <is>
          <t>TENT-4P</t>
        </is>
      </c>
      <c r="E247" t="n">
        <v>1</v>
      </c>
      <c r="G247" t="n">
        <v>299</v>
      </c>
    </row>
    <row r="248">
      <c r="A248" t="inlineStr">
        <is>
          <t>T1306</t>
        </is>
      </c>
      <c r="B248" s="2" t="n">
        <v>45875</v>
      </c>
      <c r="C248" t="inlineStr">
        <is>
          <t>SALE</t>
        </is>
      </c>
      <c r="D248" t="inlineStr">
        <is>
          <t xml:space="preserve"> Bag-Sum</t>
        </is>
      </c>
      <c r="E248" t="n">
        <v>2</v>
      </c>
      <c r="G248" t="n">
        <v>69</v>
      </c>
    </row>
    <row r="249">
      <c r="A249" t="inlineStr">
        <is>
          <t>T1308</t>
        </is>
      </c>
      <c r="B249" s="2" t="n">
        <v>45875</v>
      </c>
      <c r="C249" t="inlineStr">
        <is>
          <t>SALE</t>
        </is>
      </c>
      <c r="D249" t="inlineStr">
        <is>
          <t>BAG-WIN</t>
        </is>
      </c>
      <c r="E249" t="n">
        <v>1</v>
      </c>
      <c r="G249" t="n">
        <v>143.1</v>
      </c>
    </row>
    <row r="250">
      <c r="A250" t="inlineStr">
        <is>
          <t>T1310</t>
        </is>
      </c>
      <c r="B250" s="2" t="n">
        <v>45875</v>
      </c>
      <c r="C250" t="inlineStr">
        <is>
          <t>SALE</t>
        </is>
      </c>
      <c r="D250" t="inlineStr">
        <is>
          <t>STOVE-GAS</t>
        </is>
      </c>
      <c r="E250" t="n">
        <v>1</v>
      </c>
      <c r="G250" t="n">
        <v>59</v>
      </c>
    </row>
    <row r="251">
      <c r="A251" t="inlineStr">
        <is>
          <t>T1311</t>
        </is>
      </c>
      <c r="B251" s="2" t="n">
        <v>45875</v>
      </c>
      <c r="C251" t="inlineStr">
        <is>
          <t>SALE</t>
        </is>
      </c>
      <c r="D251" t="inlineStr">
        <is>
          <t>LAMP-LED</t>
        </is>
      </c>
      <c r="E251" t="n">
        <v>8</v>
      </c>
      <c r="G251" t="n">
        <v>24.65</v>
      </c>
    </row>
    <row r="252">
      <c r="A252" t="inlineStr">
        <is>
          <t>T1312</t>
        </is>
      </c>
      <c r="B252" s="2" t="n">
        <v>45875</v>
      </c>
      <c r="C252" t="inlineStr">
        <is>
          <t>SALE</t>
        </is>
      </c>
      <c r="D252" t="inlineStr">
        <is>
          <t>PACK-35</t>
        </is>
      </c>
      <c r="E252" t="n">
        <v>6</v>
      </c>
      <c r="G252" t="n">
        <v>79</v>
      </c>
    </row>
    <row r="253">
      <c r="A253" t="inlineStr">
        <is>
          <t>T1313</t>
        </is>
      </c>
      <c r="B253" s="2" t="n">
        <v>45875</v>
      </c>
      <c r="C253" t="inlineStr">
        <is>
          <t>SALE</t>
        </is>
      </c>
      <c r="D253" t="inlineStr">
        <is>
          <t>BOTTLE-1L</t>
        </is>
      </c>
      <c r="E253" t="n">
        <v>8</v>
      </c>
      <c r="G253" t="n">
        <v>18</v>
      </c>
    </row>
    <row r="254">
      <c r="A254" t="inlineStr">
        <is>
          <t>T1314</t>
        </is>
      </c>
      <c r="B254" s="2" t="n">
        <v>45875</v>
      </c>
      <c r="C254" t="inlineStr">
        <is>
          <t>SALE</t>
        </is>
      </c>
      <c r="D254" t="inlineStr">
        <is>
          <t>CHAIR-FLD</t>
        </is>
      </c>
      <c r="E254" t="n">
        <v>2</v>
      </c>
      <c r="G254" t="n">
        <v>49</v>
      </c>
    </row>
    <row r="255">
      <c r="A255" t="inlineStr">
        <is>
          <t>T1315</t>
        </is>
      </c>
      <c r="B255" s="2" t="n">
        <v>45875</v>
      </c>
      <c r="C255" t="inlineStr">
        <is>
          <t>SALE</t>
        </is>
      </c>
      <c r="D255" t="inlineStr">
        <is>
          <t>FILTER-H2O</t>
        </is>
      </c>
      <c r="E255" t="n">
        <v>2</v>
      </c>
      <c r="G255" t="n">
        <v>89</v>
      </c>
    </row>
    <row r="256">
      <c r="A256" t="inlineStr">
        <is>
          <t>T1316</t>
        </is>
      </c>
      <c r="B256" s="2" t="n">
        <v>45875</v>
      </c>
      <c r="C256" t="inlineStr">
        <is>
          <t>RECEIPT</t>
        </is>
      </c>
      <c r="D256" t="inlineStr">
        <is>
          <t>PAD-FOAM</t>
        </is>
      </c>
      <c r="E256" t="n">
        <v>60</v>
      </c>
      <c r="F256" t="n">
        <v>9.4</v>
      </c>
    </row>
    <row r="257">
      <c r="A257" t="inlineStr">
        <is>
          <t>T1317</t>
        </is>
      </c>
      <c r="B257" s="2" t="n">
        <v>45876</v>
      </c>
      <c r="C257" t="inlineStr">
        <is>
          <t>SALE</t>
        </is>
      </c>
      <c r="D257" t="inlineStr">
        <is>
          <t>LAMP-LED</t>
        </is>
      </c>
      <c r="E257" t="n">
        <v>2</v>
      </c>
      <c r="G257" t="n">
        <v>29</v>
      </c>
    </row>
    <row r="258">
      <c r="A258" t="inlineStr">
        <is>
          <t>T1319</t>
        </is>
      </c>
      <c r="B258" s="2" t="n">
        <v>45876</v>
      </c>
      <c r="C258" t="inlineStr">
        <is>
          <t>SALE</t>
        </is>
      </c>
      <c r="D258" t="inlineStr">
        <is>
          <t>PACK-35</t>
        </is>
      </c>
      <c r="E258" t="n">
        <v>1</v>
      </c>
      <c r="G258" t="n">
        <v>67.15000000000001</v>
      </c>
    </row>
    <row r="259">
      <c r="A259" t="inlineStr">
        <is>
          <t>T1320</t>
        </is>
      </c>
      <c r="B259" s="2" t="n">
        <v>45876</v>
      </c>
      <c r="C259" t="inlineStr">
        <is>
          <t>SALE</t>
        </is>
      </c>
      <c r="D259" t="inlineStr">
        <is>
          <t>chair-fld</t>
        </is>
      </c>
      <c r="E259" t="n">
        <v>1</v>
      </c>
      <c r="G259" t="n">
        <v>49</v>
      </c>
    </row>
    <row r="260">
      <c r="A260" t="inlineStr">
        <is>
          <t>T1321</t>
        </is>
      </c>
      <c r="B260" s="2" t="n">
        <v>45876</v>
      </c>
      <c r="C260" t="inlineStr">
        <is>
          <t>RECEIPT</t>
        </is>
      </c>
      <c r="D260" t="inlineStr">
        <is>
          <t>PACK-35</t>
        </is>
      </c>
      <c r="E260" t="n">
        <v>20</v>
      </c>
      <c r="F260" t="n">
        <v>36</v>
      </c>
    </row>
    <row r="261">
      <c r="A261" t="inlineStr">
        <is>
          <t>T1322</t>
        </is>
      </c>
      <c r="B261" s="2" t="n">
        <v>45877</v>
      </c>
      <c r="C261" t="inlineStr">
        <is>
          <t>SALE</t>
        </is>
      </c>
      <c r="D261" t="inlineStr">
        <is>
          <t>TENT-4P</t>
        </is>
      </c>
      <c r="E261" t="n">
        <v>2</v>
      </c>
      <c r="G261" t="n">
        <v>254.15</v>
      </c>
    </row>
    <row r="262">
      <c r="A262" t="inlineStr">
        <is>
          <t>T1324</t>
        </is>
      </c>
      <c r="B262" s="2" t="n">
        <v>45877</v>
      </c>
      <c r="C262" t="inlineStr">
        <is>
          <t>SALE</t>
        </is>
      </c>
      <c r="D262" t="inlineStr">
        <is>
          <t>PAD-FOAM</t>
        </is>
      </c>
      <c r="E262" t="n">
        <v>8</v>
      </c>
      <c r="G262" t="n">
        <v>24</v>
      </c>
    </row>
    <row r="263">
      <c r="A263" t="inlineStr">
        <is>
          <t>T1325</t>
        </is>
      </c>
      <c r="B263" s="2" t="n">
        <v>45877</v>
      </c>
      <c r="C263" t="inlineStr">
        <is>
          <t>SALE</t>
        </is>
      </c>
      <c r="D263" t="inlineStr">
        <is>
          <t>LAMP-LED</t>
        </is>
      </c>
      <c r="E263" t="n">
        <v>4</v>
      </c>
      <c r="G263" t="n">
        <v>29</v>
      </c>
    </row>
    <row r="264">
      <c r="A264" t="inlineStr">
        <is>
          <t>T1326</t>
        </is>
      </c>
      <c r="B264" s="2" t="n">
        <v>45877</v>
      </c>
      <c r="C264" t="inlineStr">
        <is>
          <t>SALE</t>
        </is>
      </c>
      <c r="D264" t="inlineStr">
        <is>
          <t>PACK-35</t>
        </is>
      </c>
      <c r="E264" t="n">
        <v>1</v>
      </c>
      <c r="G264" t="n">
        <v>79</v>
      </c>
    </row>
    <row r="265">
      <c r="A265" t="inlineStr">
        <is>
          <t>T1327</t>
        </is>
      </c>
      <c r="B265" s="2" t="n">
        <v>45877</v>
      </c>
      <c r="C265" t="inlineStr">
        <is>
          <t>SALE</t>
        </is>
      </c>
      <c r="D265" t="inlineStr">
        <is>
          <t>BOTTLE-1L</t>
        </is>
      </c>
      <c r="E265" t="n">
        <v>4</v>
      </c>
      <c r="G265" t="n">
        <v>18</v>
      </c>
    </row>
    <row r="266">
      <c r="A266" t="inlineStr">
        <is>
          <t>T1328</t>
        </is>
      </c>
      <c r="B266" s="2" t="n">
        <v>45877</v>
      </c>
      <c r="C266" t="inlineStr">
        <is>
          <t>RECEIPT</t>
        </is>
      </c>
      <c r="D266" t="inlineStr">
        <is>
          <t>LAMP-LED</t>
        </is>
      </c>
      <c r="E266" t="n">
        <v>100</v>
      </c>
      <c r="F266" t="n">
        <v>11.6</v>
      </c>
    </row>
    <row r="267">
      <c r="A267" t="inlineStr">
        <is>
          <t>T1329</t>
        </is>
      </c>
      <c r="B267" s="2" t="n">
        <v>45877</v>
      </c>
      <c r="C267" t="inlineStr">
        <is>
          <t>EXPENSE</t>
        </is>
      </c>
      <c r="I267" t="inlineStr">
        <is>
          <t>Shipping</t>
        </is>
      </c>
      <c r="J267" t="n">
        <v>255.52</v>
      </c>
    </row>
    <row r="268">
      <c r="A268" t="inlineStr">
        <is>
          <t>T1330</t>
        </is>
      </c>
      <c r="B268" s="2" t="n">
        <v>45878</v>
      </c>
      <c r="C268" t="inlineStr">
        <is>
          <t>SALE</t>
        </is>
      </c>
      <c r="D268" t="inlineStr">
        <is>
          <t>TENT-2P</t>
        </is>
      </c>
      <c r="E268" t="n">
        <v>3</v>
      </c>
      <c r="G268" t="n">
        <v>170.1</v>
      </c>
    </row>
    <row r="269">
      <c r="A269" t="inlineStr">
        <is>
          <t>T1331</t>
        </is>
      </c>
      <c r="B269" s="2" t="n">
        <v>45878</v>
      </c>
      <c r="C269" t="inlineStr">
        <is>
          <t>SALE</t>
        </is>
      </c>
      <c r="D269" t="inlineStr">
        <is>
          <t>PAD-FOAM</t>
        </is>
      </c>
      <c r="E269" t="n">
        <v>2</v>
      </c>
      <c r="G269" t="n">
        <v>24</v>
      </c>
    </row>
    <row r="270">
      <c r="A270" t="inlineStr">
        <is>
          <t>T1333</t>
        </is>
      </c>
      <c r="B270" s="2" t="n">
        <v>45878</v>
      </c>
      <c r="C270" t="inlineStr">
        <is>
          <t>SALE</t>
        </is>
      </c>
      <c r="D270" t="inlineStr">
        <is>
          <t>LAMP-LED</t>
        </is>
      </c>
      <c r="E270" t="n">
        <v>4</v>
      </c>
      <c r="G270" t="n">
        <v>29</v>
      </c>
    </row>
    <row r="271">
      <c r="A271" t="inlineStr">
        <is>
          <t>T1334</t>
        </is>
      </c>
      <c r="B271" s="2" t="n">
        <v>45878</v>
      </c>
      <c r="C271" t="inlineStr">
        <is>
          <t>SALE</t>
        </is>
      </c>
      <c r="D271" t="inlineStr">
        <is>
          <t>PACK-35</t>
        </is>
      </c>
      <c r="E271" t="n">
        <v>1</v>
      </c>
      <c r="G271" t="n">
        <v>79</v>
      </c>
    </row>
    <row r="272">
      <c r="A272" t="inlineStr">
        <is>
          <t>T1336</t>
        </is>
      </c>
      <c r="B272" s="2" t="n">
        <v>45878</v>
      </c>
      <c r="C272" t="inlineStr">
        <is>
          <t>SALE</t>
        </is>
      </c>
      <c r="D272" t="inlineStr">
        <is>
          <t>BOTTLE-1L</t>
        </is>
      </c>
      <c r="E272" t="n">
        <v>8</v>
      </c>
      <c r="G272" t="n">
        <v>18</v>
      </c>
    </row>
    <row r="273">
      <c r="A273" t="inlineStr">
        <is>
          <t>T1337</t>
        </is>
      </c>
      <c r="B273" s="2" t="n">
        <v>45878</v>
      </c>
      <c r="C273" t="inlineStr">
        <is>
          <t>SALE</t>
        </is>
      </c>
      <c r="D273" t="inlineStr">
        <is>
          <t>CHAIR-FLD</t>
        </is>
      </c>
      <c r="E273" t="n">
        <v>2</v>
      </c>
      <c r="G273" t="n">
        <v>49</v>
      </c>
    </row>
    <row r="274">
      <c r="A274" t="inlineStr">
        <is>
          <t>T1339</t>
        </is>
      </c>
      <c r="B274" s="2" t="n">
        <v>45879</v>
      </c>
      <c r="C274" t="inlineStr">
        <is>
          <t>SALE</t>
        </is>
      </c>
      <c r="D274" t="inlineStr">
        <is>
          <t>BAG-SUM</t>
        </is>
      </c>
      <c r="E274" t="n">
        <v>3</v>
      </c>
      <c r="G274" t="n">
        <v>69</v>
      </c>
    </row>
    <row r="275">
      <c r="A275" t="inlineStr">
        <is>
          <t>T1341</t>
        </is>
      </c>
      <c r="B275" s="2" t="n">
        <v>45879</v>
      </c>
      <c r="C275" t="inlineStr">
        <is>
          <t>SALE</t>
        </is>
      </c>
      <c r="D275" t="inlineStr">
        <is>
          <t xml:space="preserve">STOVE-GAS </t>
        </is>
      </c>
      <c r="E275" t="n">
        <v>2</v>
      </c>
      <c r="G275" t="n">
        <v>53.1</v>
      </c>
    </row>
    <row r="276">
      <c r="A276" t="inlineStr">
        <is>
          <t>T1342</t>
        </is>
      </c>
      <c r="B276" s="2" t="n">
        <v>45879</v>
      </c>
      <c r="C276" t="inlineStr">
        <is>
          <t>SALE</t>
        </is>
      </c>
      <c r="D276" t="inlineStr">
        <is>
          <t>LAMP-LED</t>
        </is>
      </c>
      <c r="E276" t="n">
        <v>4</v>
      </c>
      <c r="G276" t="n">
        <v>29</v>
      </c>
    </row>
    <row r="277">
      <c r="A277" t="inlineStr">
        <is>
          <t>T1344</t>
        </is>
      </c>
      <c r="B277" s="2" t="n">
        <v>45879</v>
      </c>
      <c r="C277" t="inlineStr">
        <is>
          <t>SALE</t>
        </is>
      </c>
      <c r="D277" t="inlineStr">
        <is>
          <t>PACK-65</t>
        </is>
      </c>
      <c r="E277" t="n">
        <v>1</v>
      </c>
      <c r="G277" t="n">
        <v>219</v>
      </c>
    </row>
    <row r="278">
      <c r="A278" t="inlineStr">
        <is>
          <t>T1345</t>
        </is>
      </c>
      <c r="B278" s="2" t="n">
        <v>45879</v>
      </c>
      <c r="C278" t="inlineStr">
        <is>
          <t>SALE</t>
        </is>
      </c>
      <c r="D278" t="inlineStr">
        <is>
          <t xml:space="preserve"> Filter-H2O</t>
        </is>
      </c>
      <c r="E278" t="n">
        <v>1</v>
      </c>
      <c r="G278" t="n">
        <v>89</v>
      </c>
    </row>
    <row r="279">
      <c r="A279" t="inlineStr">
        <is>
          <t>T1346</t>
        </is>
      </c>
      <c r="B279" s="2" t="n">
        <v>45880</v>
      </c>
      <c r="C279" t="inlineStr">
        <is>
          <t>SALE</t>
        </is>
      </c>
      <c r="D279" t="inlineStr">
        <is>
          <t>TENT-2P</t>
        </is>
      </c>
      <c r="E279" t="n">
        <v>2</v>
      </c>
      <c r="G279" t="n">
        <v>189</v>
      </c>
    </row>
    <row r="280">
      <c r="A280" t="inlineStr">
        <is>
          <t>T1347</t>
        </is>
      </c>
      <c r="B280" s="2" t="n">
        <v>45880</v>
      </c>
      <c r="C280" t="inlineStr">
        <is>
          <t>SALE</t>
        </is>
      </c>
      <c r="D280" t="inlineStr">
        <is>
          <t>TENT-4P</t>
        </is>
      </c>
      <c r="E280" t="n">
        <v>1</v>
      </c>
      <c r="G280" t="n">
        <v>254.15</v>
      </c>
    </row>
    <row r="281">
      <c r="A281" t="inlineStr">
        <is>
          <t>T1348</t>
        </is>
      </c>
      <c r="B281" s="2" t="n">
        <v>45880</v>
      </c>
      <c r="C281" t="inlineStr">
        <is>
          <t>SALE</t>
        </is>
      </c>
      <c r="D281" t="inlineStr">
        <is>
          <t>BAG-SUM</t>
        </is>
      </c>
      <c r="E281" t="n">
        <v>6</v>
      </c>
      <c r="G281" t="n">
        <v>62.1</v>
      </c>
    </row>
    <row r="282">
      <c r="A282" t="inlineStr">
        <is>
          <t>T1349</t>
        </is>
      </c>
      <c r="B282" s="2" t="n">
        <v>45880</v>
      </c>
      <c r="C282" t="inlineStr">
        <is>
          <t>SALE</t>
        </is>
      </c>
      <c r="D282" t="inlineStr">
        <is>
          <t>BAG-WIN</t>
        </is>
      </c>
      <c r="E282" t="n">
        <v>1</v>
      </c>
      <c r="G282" t="n">
        <v>159</v>
      </c>
    </row>
    <row r="283">
      <c r="A283" t="inlineStr">
        <is>
          <t>T1350</t>
        </is>
      </c>
      <c r="B283" s="2" t="n">
        <v>45880</v>
      </c>
      <c r="C283" t="inlineStr">
        <is>
          <t>SALE</t>
        </is>
      </c>
      <c r="D283" t="inlineStr">
        <is>
          <t>LAMP-LED</t>
        </is>
      </c>
      <c r="E283" t="n">
        <v>8</v>
      </c>
      <c r="G283" t="n">
        <v>29</v>
      </c>
    </row>
    <row r="284">
      <c r="A284" t="inlineStr">
        <is>
          <t>T1352</t>
        </is>
      </c>
      <c r="B284" s="2" t="n">
        <v>45880</v>
      </c>
      <c r="C284" t="inlineStr">
        <is>
          <t>SALE</t>
        </is>
      </c>
      <c r="D284" t="inlineStr">
        <is>
          <t>PACK-35</t>
        </is>
      </c>
      <c r="E284" t="n">
        <v>3</v>
      </c>
      <c r="G284" t="n">
        <v>79</v>
      </c>
    </row>
    <row r="285">
      <c r="A285" t="inlineStr">
        <is>
          <t>T1354</t>
        </is>
      </c>
      <c r="B285" s="2" t="n">
        <v>45880</v>
      </c>
      <c r="C285" t="inlineStr">
        <is>
          <t>SALE</t>
        </is>
      </c>
      <c r="D285" t="inlineStr">
        <is>
          <t>BOTTLE-1L</t>
        </is>
      </c>
      <c r="E285" t="n">
        <v>8</v>
      </c>
      <c r="G285" t="n">
        <v>15.3</v>
      </c>
    </row>
    <row r="286">
      <c r="A286" t="inlineStr">
        <is>
          <t>T1355</t>
        </is>
      </c>
      <c r="B286" s="2" t="n">
        <v>45880</v>
      </c>
      <c r="C286" t="inlineStr">
        <is>
          <t>SALE</t>
        </is>
      </c>
      <c r="D286" t="inlineStr">
        <is>
          <t>CHAIR-FLD</t>
        </is>
      </c>
      <c r="E286" t="n">
        <v>1</v>
      </c>
      <c r="G286" t="n">
        <v>41.65</v>
      </c>
    </row>
    <row r="287">
      <c r="A287" t="inlineStr">
        <is>
          <t>T1356</t>
        </is>
      </c>
      <c r="B287" s="2" t="n">
        <v>45880</v>
      </c>
      <c r="C287" t="inlineStr">
        <is>
          <t>RECEIPT</t>
        </is>
      </c>
      <c r="D287" t="inlineStr">
        <is>
          <t>PACK-35</t>
        </is>
      </c>
      <c r="E287" t="n">
        <v>20</v>
      </c>
      <c r="F287" t="n">
        <v>38.88</v>
      </c>
    </row>
    <row r="288">
      <c r="A288" t="inlineStr">
        <is>
          <t>T1357</t>
        </is>
      </c>
      <c r="B288" s="2" t="n">
        <v>45881</v>
      </c>
      <c r="C288" t="inlineStr">
        <is>
          <t>SALE</t>
        </is>
      </c>
      <c r="D288" t="inlineStr">
        <is>
          <t>TENT-2P</t>
        </is>
      </c>
      <c r="E288" t="n">
        <v>1</v>
      </c>
      <c r="G288" t="n">
        <v>170.1</v>
      </c>
    </row>
    <row r="289">
      <c r="A289" t="inlineStr">
        <is>
          <t>T1358</t>
        </is>
      </c>
      <c r="B289" s="2" t="n">
        <v>45881</v>
      </c>
      <c r="C289" t="inlineStr">
        <is>
          <t>SALE</t>
        </is>
      </c>
      <c r="D289" t="inlineStr">
        <is>
          <t>TENT-4P</t>
        </is>
      </c>
      <c r="E289" t="n">
        <v>2</v>
      </c>
      <c r="G289" t="n">
        <v>299</v>
      </c>
    </row>
    <row r="290">
      <c r="A290" t="inlineStr">
        <is>
          <t>T1360</t>
        </is>
      </c>
      <c r="B290" s="2" t="n">
        <v>45881</v>
      </c>
      <c r="C290" t="inlineStr">
        <is>
          <t>SALE</t>
        </is>
      </c>
      <c r="D290" t="inlineStr">
        <is>
          <t>stove-gas</t>
        </is>
      </c>
      <c r="E290" t="n">
        <v>6</v>
      </c>
      <c r="G290" t="n">
        <v>50.15</v>
      </c>
    </row>
    <row r="291">
      <c r="A291" t="inlineStr">
        <is>
          <t>T1361</t>
        </is>
      </c>
      <c r="B291" s="2" t="n">
        <v>45881</v>
      </c>
      <c r="C291" t="inlineStr">
        <is>
          <t>SALE</t>
        </is>
      </c>
      <c r="D291" t="inlineStr">
        <is>
          <t>LAMP-LED</t>
        </is>
      </c>
      <c r="E291" t="n">
        <v>3</v>
      </c>
      <c r="G291" t="n">
        <v>24.65</v>
      </c>
    </row>
    <row r="292">
      <c r="A292" t="inlineStr">
        <is>
          <t>T1362</t>
        </is>
      </c>
      <c r="B292" s="2" t="n">
        <v>45881</v>
      </c>
      <c r="C292" t="inlineStr">
        <is>
          <t>SALE</t>
        </is>
      </c>
      <c r="D292" t="inlineStr">
        <is>
          <t>PACK-35</t>
        </is>
      </c>
      <c r="E292" t="n">
        <v>4</v>
      </c>
      <c r="G292" t="n">
        <v>79</v>
      </c>
    </row>
    <row r="293">
      <c r="A293" t="inlineStr">
        <is>
          <t>T1363</t>
        </is>
      </c>
      <c r="B293" s="2" t="n">
        <v>45881</v>
      </c>
      <c r="C293" t="inlineStr">
        <is>
          <t>SALE</t>
        </is>
      </c>
      <c r="D293" t="inlineStr">
        <is>
          <t>CHAIR-FLD</t>
        </is>
      </c>
      <c r="E293" t="n">
        <v>2</v>
      </c>
      <c r="G293" t="n">
        <v>44.1</v>
      </c>
    </row>
    <row r="294">
      <c r="A294" t="inlineStr">
        <is>
          <t>T1365</t>
        </is>
      </c>
      <c r="B294" s="2" t="n">
        <v>45881</v>
      </c>
      <c r="C294" t="inlineStr">
        <is>
          <t>SALE</t>
        </is>
      </c>
      <c r="D294" t="inlineStr">
        <is>
          <t>FILTER-H2O</t>
        </is>
      </c>
      <c r="E294" t="n">
        <v>1</v>
      </c>
      <c r="G294" t="n">
        <v>89</v>
      </c>
    </row>
    <row r="295">
      <c r="A295" t="inlineStr">
        <is>
          <t>T1366</t>
        </is>
      </c>
      <c r="B295" s="2" t="n">
        <v>45881</v>
      </c>
      <c r="C295" t="inlineStr">
        <is>
          <t>RECEIPT</t>
        </is>
      </c>
      <c r="D295" t="inlineStr">
        <is>
          <t>FILTER-H2O</t>
        </is>
      </c>
      <c r="E295" t="n">
        <v>18</v>
      </c>
      <c r="F295" t="n">
        <v>41</v>
      </c>
    </row>
    <row r="296">
      <c r="A296" t="inlineStr">
        <is>
          <t>T1368</t>
        </is>
      </c>
      <c r="B296" s="2" t="n">
        <v>45882</v>
      </c>
      <c r="C296" t="inlineStr">
        <is>
          <t>SALE</t>
        </is>
      </c>
      <c r="D296" t="inlineStr">
        <is>
          <t>TENT-2P</t>
        </is>
      </c>
      <c r="E296" t="n">
        <v>4</v>
      </c>
      <c r="G296" t="n">
        <v>189</v>
      </c>
    </row>
    <row r="297">
      <c r="A297" t="inlineStr">
        <is>
          <t>T1370</t>
        </is>
      </c>
      <c r="B297" s="2" t="n">
        <v>45882</v>
      </c>
      <c r="C297" t="inlineStr">
        <is>
          <t>SALE</t>
        </is>
      </c>
      <c r="D297" t="inlineStr">
        <is>
          <t>TENT-4P</t>
        </is>
      </c>
      <c r="E297" t="n">
        <v>2</v>
      </c>
      <c r="G297" t="n">
        <v>299</v>
      </c>
    </row>
    <row r="298">
      <c r="A298" t="inlineStr">
        <is>
          <t>T1372</t>
        </is>
      </c>
      <c r="B298" s="2" t="n">
        <v>45882</v>
      </c>
      <c r="C298" t="inlineStr">
        <is>
          <t>SALE</t>
        </is>
      </c>
      <c r="D298" t="inlineStr">
        <is>
          <t>BAG-SUM</t>
        </is>
      </c>
      <c r="E298" t="n">
        <v>2</v>
      </c>
      <c r="G298" t="n">
        <v>62.1</v>
      </c>
    </row>
    <row r="299">
      <c r="A299" t="inlineStr">
        <is>
          <t>T1374</t>
        </is>
      </c>
      <c r="B299" s="2" t="n">
        <v>45882</v>
      </c>
      <c r="C299" t="inlineStr">
        <is>
          <t>SALE</t>
        </is>
      </c>
      <c r="D299" t="inlineStr">
        <is>
          <t>PAD-FOAM</t>
        </is>
      </c>
      <c r="E299" t="n">
        <v>4</v>
      </c>
      <c r="G299" t="n">
        <v>24</v>
      </c>
    </row>
    <row r="300">
      <c r="A300" t="inlineStr">
        <is>
          <t>T1376</t>
        </is>
      </c>
      <c r="B300" s="2" t="n">
        <v>45882</v>
      </c>
      <c r="C300" t="inlineStr">
        <is>
          <t>SALE</t>
        </is>
      </c>
      <c r="D300" t="inlineStr">
        <is>
          <t>STOVE-GAS</t>
        </is>
      </c>
      <c r="E300" t="n">
        <v>4</v>
      </c>
      <c r="G300" t="n">
        <v>59</v>
      </c>
    </row>
    <row r="301">
      <c r="A301" t="inlineStr">
        <is>
          <t>T1377</t>
        </is>
      </c>
      <c r="B301" s="2" t="n">
        <v>45882</v>
      </c>
      <c r="C301" t="inlineStr">
        <is>
          <t>SALE</t>
        </is>
      </c>
      <c r="D301" t="inlineStr">
        <is>
          <t>PACK-35</t>
        </is>
      </c>
      <c r="E301" t="n">
        <v>3</v>
      </c>
      <c r="G301" t="n">
        <v>71.09999999999999</v>
      </c>
    </row>
    <row r="302">
      <c r="A302" t="inlineStr">
        <is>
          <t>T1378</t>
        </is>
      </c>
      <c r="B302" s="2" t="n">
        <v>45882</v>
      </c>
      <c r="C302" t="inlineStr">
        <is>
          <t>SALE</t>
        </is>
      </c>
      <c r="D302" t="inlineStr">
        <is>
          <t>BOTTLE-1L</t>
        </is>
      </c>
      <c r="E302" t="n">
        <v>4</v>
      </c>
      <c r="G302" t="n">
        <v>16.2</v>
      </c>
    </row>
    <row r="303">
      <c r="A303" t="inlineStr">
        <is>
          <t>T1380</t>
        </is>
      </c>
      <c r="B303" s="2" t="n">
        <v>45882</v>
      </c>
      <c r="C303" t="inlineStr">
        <is>
          <t>RECEIPT</t>
        </is>
      </c>
      <c r="D303" t="inlineStr">
        <is>
          <t>TENT-2P</t>
        </is>
      </c>
      <c r="E303" t="n">
        <v>20</v>
      </c>
      <c r="F303" t="n">
        <v>95.04000000000001</v>
      </c>
    </row>
    <row r="304">
      <c r="A304" t="inlineStr">
        <is>
          <t>T1381</t>
        </is>
      </c>
      <c r="B304" s="2" t="n">
        <v>45883</v>
      </c>
      <c r="C304" t="inlineStr">
        <is>
          <t>SALE</t>
        </is>
      </c>
      <c r="D304" t="inlineStr">
        <is>
          <t>TENT-2P</t>
        </is>
      </c>
      <c r="E304" t="n">
        <v>1</v>
      </c>
      <c r="G304" t="n">
        <v>189</v>
      </c>
    </row>
    <row r="305">
      <c r="A305" t="inlineStr">
        <is>
          <t>T1382</t>
        </is>
      </c>
      <c r="B305" s="2" t="n">
        <v>45883</v>
      </c>
      <c r="C305" t="inlineStr">
        <is>
          <t>SALE</t>
        </is>
      </c>
      <c r="D305" t="inlineStr">
        <is>
          <t>PAD-FOAM</t>
        </is>
      </c>
      <c r="E305" t="n">
        <v>2</v>
      </c>
      <c r="G305" t="n">
        <v>24</v>
      </c>
    </row>
    <row r="306">
      <c r="A306" t="inlineStr">
        <is>
          <t>T1383</t>
        </is>
      </c>
      <c r="B306" s="2" t="n">
        <v>45883</v>
      </c>
      <c r="C306" t="inlineStr">
        <is>
          <t>SALE</t>
        </is>
      </c>
      <c r="D306" t="inlineStr">
        <is>
          <t>STOVE-GAS</t>
        </is>
      </c>
      <c r="E306" t="n">
        <v>2</v>
      </c>
      <c r="G306" t="n">
        <v>59</v>
      </c>
    </row>
    <row r="307">
      <c r="A307" t="inlineStr">
        <is>
          <t>T1384</t>
        </is>
      </c>
      <c r="B307" s="2" t="n">
        <v>45883</v>
      </c>
      <c r="C307" t="inlineStr">
        <is>
          <t>SALE</t>
        </is>
      </c>
      <c r="D307" t="inlineStr">
        <is>
          <t>PACK-35</t>
        </is>
      </c>
      <c r="E307" t="n">
        <v>1</v>
      </c>
      <c r="G307" t="n">
        <v>67.15000000000001</v>
      </c>
    </row>
    <row r="308">
      <c r="A308" t="inlineStr">
        <is>
          <t>T1385</t>
        </is>
      </c>
      <c r="B308" s="2" t="n">
        <v>45883</v>
      </c>
      <c r="C308" t="inlineStr">
        <is>
          <t>SALE</t>
        </is>
      </c>
      <c r="D308" t="inlineStr">
        <is>
          <t>PACK-65</t>
        </is>
      </c>
      <c r="E308" t="n">
        <v>2</v>
      </c>
      <c r="G308" t="n">
        <v>186.15</v>
      </c>
    </row>
    <row r="309">
      <c r="A309" t="inlineStr">
        <is>
          <t>T1387</t>
        </is>
      </c>
      <c r="B309" s="2" t="n">
        <v>45883</v>
      </c>
      <c r="C309" t="inlineStr">
        <is>
          <t>SALE</t>
        </is>
      </c>
      <c r="D309" t="inlineStr">
        <is>
          <t>BOTTLE-1L</t>
        </is>
      </c>
      <c r="E309" t="n">
        <v>8</v>
      </c>
      <c r="G309" t="n">
        <v>18</v>
      </c>
    </row>
    <row r="310">
      <c r="A310" t="inlineStr">
        <is>
          <t>T1388</t>
        </is>
      </c>
      <c r="B310" s="2" t="n">
        <v>45883</v>
      </c>
      <c r="C310" t="inlineStr">
        <is>
          <t>RECEIPT</t>
        </is>
      </c>
      <c r="D310" t="inlineStr">
        <is>
          <t xml:space="preserve">BOTTLE-1L </t>
        </is>
      </c>
      <c r="E310" t="n">
        <v>75</v>
      </c>
      <c r="F310" t="n">
        <v>6.59</v>
      </c>
    </row>
    <row r="311">
      <c r="A311" t="inlineStr">
        <is>
          <t>T1389</t>
        </is>
      </c>
      <c r="B311" s="2" t="n">
        <v>45884</v>
      </c>
      <c r="C311" t="inlineStr">
        <is>
          <t>SALE</t>
        </is>
      </c>
      <c r="D311" t="inlineStr">
        <is>
          <t>TENT-4P</t>
        </is>
      </c>
      <c r="E311" t="n">
        <v>4</v>
      </c>
      <c r="G311" t="n">
        <v>254.15</v>
      </c>
    </row>
    <row r="312">
      <c r="A312" t="inlineStr">
        <is>
          <t>T1391</t>
        </is>
      </c>
      <c r="B312" s="2" t="n">
        <v>45884</v>
      </c>
      <c r="C312" t="inlineStr">
        <is>
          <t>SALE</t>
        </is>
      </c>
      <c r="D312" t="inlineStr">
        <is>
          <t>BAG-SUM</t>
        </is>
      </c>
      <c r="E312" t="n">
        <v>2</v>
      </c>
      <c r="G312" t="n">
        <v>69</v>
      </c>
    </row>
    <row r="313">
      <c r="A313" t="inlineStr">
        <is>
          <t>T1392</t>
        </is>
      </c>
      <c r="B313" s="2" t="n">
        <v>45884</v>
      </c>
      <c r="C313" t="inlineStr">
        <is>
          <t>SALE</t>
        </is>
      </c>
      <c r="D313" t="inlineStr">
        <is>
          <t>PACK-65</t>
        </is>
      </c>
      <c r="E313" t="n">
        <v>1</v>
      </c>
      <c r="G313" t="n">
        <v>219</v>
      </c>
    </row>
    <row r="314">
      <c r="A314" t="inlineStr">
        <is>
          <t>T1393</t>
        </is>
      </c>
      <c r="B314" s="2" t="n">
        <v>45884</v>
      </c>
      <c r="C314" t="inlineStr">
        <is>
          <t>SALE</t>
        </is>
      </c>
      <c r="D314" t="inlineStr">
        <is>
          <t xml:space="preserve">BOTTLE-1L </t>
        </is>
      </c>
      <c r="E314" t="n">
        <v>8</v>
      </c>
      <c r="G314" t="n">
        <v>18</v>
      </c>
    </row>
    <row r="315">
      <c r="A315" t="inlineStr">
        <is>
          <t>T1394</t>
        </is>
      </c>
      <c r="B315" s="2" t="n">
        <v>45884</v>
      </c>
      <c r="C315" t="inlineStr">
        <is>
          <t>SALE</t>
        </is>
      </c>
      <c r="D315" t="inlineStr">
        <is>
          <t>CHAIR-FLD</t>
        </is>
      </c>
      <c r="E315" t="n">
        <v>1</v>
      </c>
      <c r="G315" t="n">
        <v>49</v>
      </c>
    </row>
    <row r="316">
      <c r="A316" t="inlineStr">
        <is>
          <t>T1395</t>
        </is>
      </c>
      <c r="B316" s="2" t="n">
        <v>45884</v>
      </c>
      <c r="C316" t="inlineStr">
        <is>
          <t>SALE</t>
        </is>
      </c>
      <c r="D316" t="inlineStr">
        <is>
          <t>FILTER-H2O</t>
        </is>
      </c>
      <c r="E316" t="n">
        <v>2</v>
      </c>
      <c r="G316" t="n">
        <v>89</v>
      </c>
    </row>
    <row r="317">
      <c r="A317" t="inlineStr">
        <is>
          <t>T1396</t>
        </is>
      </c>
      <c r="B317" s="2" t="n">
        <v>45884</v>
      </c>
      <c r="C317" t="inlineStr">
        <is>
          <t>RECEIPT</t>
        </is>
      </c>
      <c r="D317" t="inlineStr">
        <is>
          <t>PAD-FOAM</t>
        </is>
      </c>
      <c r="E317" t="n">
        <v>80</v>
      </c>
      <c r="F317" t="n">
        <v>9.4</v>
      </c>
    </row>
    <row r="318">
      <c r="A318" t="inlineStr">
        <is>
          <t>T1397</t>
        </is>
      </c>
      <c r="B318" s="2" t="n">
        <v>45884</v>
      </c>
      <c r="C318" t="inlineStr">
        <is>
          <t>EXPENSE</t>
        </is>
      </c>
      <c r="I318" t="inlineStr">
        <is>
          <t>Wages</t>
        </is>
      </c>
      <c r="J318" t="n">
        <v>4283.78</v>
      </c>
    </row>
    <row r="319">
      <c r="A319" t="inlineStr">
        <is>
          <t>T1398</t>
        </is>
      </c>
      <c r="B319" s="2" t="n">
        <v>45884</v>
      </c>
      <c r="C319" t="inlineStr">
        <is>
          <t>EXPENSE</t>
        </is>
      </c>
      <c r="I319" t="inlineStr">
        <is>
          <t>Shipping</t>
        </is>
      </c>
      <c r="J319" t="n">
        <v>188.24</v>
      </c>
    </row>
    <row r="320">
      <c r="A320" t="inlineStr">
        <is>
          <t>T1399</t>
        </is>
      </c>
      <c r="B320" s="2" t="n">
        <v>45885</v>
      </c>
      <c r="C320" t="inlineStr">
        <is>
          <t>SALE</t>
        </is>
      </c>
      <c r="D320" t="inlineStr">
        <is>
          <t>TENT-2P</t>
        </is>
      </c>
      <c r="E320" t="n">
        <v>2</v>
      </c>
      <c r="G320" t="n">
        <v>170.1</v>
      </c>
    </row>
    <row r="321">
      <c r="A321" t="inlineStr">
        <is>
          <t>T1400</t>
        </is>
      </c>
      <c r="B321" s="2" t="n">
        <v>45885</v>
      </c>
      <c r="C321" t="inlineStr">
        <is>
          <t>SALE</t>
        </is>
      </c>
      <c r="D321" t="inlineStr">
        <is>
          <t>BAG-SUM</t>
        </is>
      </c>
      <c r="E321" t="n">
        <v>4</v>
      </c>
      <c r="G321" t="n">
        <v>69</v>
      </c>
    </row>
    <row r="322">
      <c r="A322" t="inlineStr">
        <is>
          <t>T1402</t>
        </is>
      </c>
      <c r="B322" s="2" t="n">
        <v>45885</v>
      </c>
      <c r="C322" t="inlineStr">
        <is>
          <t>SALE</t>
        </is>
      </c>
      <c r="D322" t="inlineStr">
        <is>
          <t>PAD-FOAM</t>
        </is>
      </c>
      <c r="E322" t="n">
        <v>2</v>
      </c>
      <c r="G322" t="n">
        <v>24</v>
      </c>
    </row>
    <row r="323">
      <c r="A323" t="inlineStr">
        <is>
          <t>T1403</t>
        </is>
      </c>
      <c r="B323" s="2" t="n">
        <v>45885</v>
      </c>
      <c r="C323" t="inlineStr">
        <is>
          <t>SALE</t>
        </is>
      </c>
      <c r="D323" t="inlineStr">
        <is>
          <t>LAMP-LED</t>
        </is>
      </c>
      <c r="E323" t="n">
        <v>8</v>
      </c>
      <c r="G323" t="n">
        <v>29</v>
      </c>
    </row>
    <row r="324">
      <c r="A324" t="inlineStr">
        <is>
          <t>T1404</t>
        </is>
      </c>
      <c r="B324" s="2" t="n">
        <v>45885</v>
      </c>
      <c r="C324" t="inlineStr">
        <is>
          <t>SALE</t>
        </is>
      </c>
      <c r="D324" t="inlineStr">
        <is>
          <t>filter-h2o</t>
        </is>
      </c>
      <c r="E324" t="n">
        <v>1</v>
      </c>
      <c r="G324" t="n">
        <v>80.09999999999999</v>
      </c>
    </row>
    <row r="325">
      <c r="A325" t="inlineStr">
        <is>
          <t>T1405</t>
        </is>
      </c>
      <c r="B325" s="2" t="n">
        <v>45885</v>
      </c>
      <c r="C325" t="inlineStr">
        <is>
          <t>RECEIPT</t>
        </is>
      </c>
      <c r="D325" t="inlineStr">
        <is>
          <t>TENT-2P</t>
        </is>
      </c>
      <c r="E325" t="n">
        <v>30</v>
      </c>
      <c r="F325" t="n">
        <v>98.84</v>
      </c>
    </row>
    <row r="326">
      <c r="A326" t="inlineStr">
        <is>
          <t>T1407</t>
        </is>
      </c>
      <c r="B326" s="2" t="n">
        <v>45885</v>
      </c>
      <c r="C326" t="inlineStr">
        <is>
          <t>RECEIPT</t>
        </is>
      </c>
      <c r="D326" t="inlineStr">
        <is>
          <t>PAD-FOAM</t>
        </is>
      </c>
      <c r="E326" t="n">
        <v>80</v>
      </c>
      <c r="F326" t="n">
        <v>10.15</v>
      </c>
    </row>
    <row r="327">
      <c r="A327" t="inlineStr">
        <is>
          <t>T1408</t>
        </is>
      </c>
      <c r="B327" s="2" t="n">
        <v>45885</v>
      </c>
      <c r="C327" t="inlineStr">
        <is>
          <t>RECEIPT</t>
        </is>
      </c>
      <c r="D327" t="inlineStr">
        <is>
          <t>BOTTLE-1L</t>
        </is>
      </c>
      <c r="E327" t="n">
        <v>112</v>
      </c>
      <c r="F327" t="n">
        <v>6.85</v>
      </c>
    </row>
    <row r="328">
      <c r="A328" t="inlineStr">
        <is>
          <t>T1410</t>
        </is>
      </c>
      <c r="B328" s="2" t="n">
        <v>45886</v>
      </c>
      <c r="C328" t="inlineStr">
        <is>
          <t>SALE</t>
        </is>
      </c>
      <c r="D328" t="inlineStr">
        <is>
          <t>TENT-2P</t>
        </is>
      </c>
      <c r="E328" t="n">
        <v>1</v>
      </c>
      <c r="G328" t="n">
        <v>189</v>
      </c>
    </row>
    <row r="329">
      <c r="A329" t="inlineStr">
        <is>
          <t>T1411</t>
        </is>
      </c>
      <c r="B329" s="2" t="n">
        <v>45886</v>
      </c>
      <c r="C329" t="inlineStr">
        <is>
          <t>SALE</t>
        </is>
      </c>
      <c r="D329" t="inlineStr">
        <is>
          <t>BAG-WIN</t>
        </is>
      </c>
      <c r="E329" t="n">
        <v>1</v>
      </c>
      <c r="G329" t="n">
        <v>159</v>
      </c>
    </row>
    <row r="330">
      <c r="A330" t="inlineStr">
        <is>
          <t>T1412</t>
        </is>
      </c>
      <c r="B330" s="2" t="n">
        <v>45886</v>
      </c>
      <c r="C330" t="inlineStr">
        <is>
          <t>SALE</t>
        </is>
      </c>
      <c r="D330" t="inlineStr">
        <is>
          <t>PAD-FOAM</t>
        </is>
      </c>
      <c r="E330" t="n">
        <v>8</v>
      </c>
      <c r="G330" t="n">
        <v>24</v>
      </c>
    </row>
    <row r="331">
      <c r="A331" t="inlineStr">
        <is>
          <t>T1413</t>
        </is>
      </c>
      <c r="B331" s="2" t="n">
        <v>45886</v>
      </c>
      <c r="C331" t="inlineStr">
        <is>
          <t>SALE</t>
        </is>
      </c>
      <c r="D331" t="inlineStr">
        <is>
          <t>PACK-65</t>
        </is>
      </c>
      <c r="E331" t="n">
        <v>2</v>
      </c>
      <c r="G331" t="n">
        <v>219</v>
      </c>
    </row>
    <row r="332">
      <c r="A332" t="inlineStr">
        <is>
          <t>T1414</t>
        </is>
      </c>
      <c r="B332" s="2" t="n">
        <v>45886</v>
      </c>
      <c r="C332" t="inlineStr">
        <is>
          <t>SALE</t>
        </is>
      </c>
      <c r="D332" t="inlineStr">
        <is>
          <t>FILTER-H2O</t>
        </is>
      </c>
      <c r="E332" t="n">
        <v>1</v>
      </c>
      <c r="G332" t="n">
        <v>80.09999999999999</v>
      </c>
    </row>
    <row r="333">
      <c r="A333" t="inlineStr">
        <is>
          <t>T1415</t>
        </is>
      </c>
      <c r="B333" s="2" t="n">
        <v>45887</v>
      </c>
      <c r="C333" t="inlineStr">
        <is>
          <t>SALE</t>
        </is>
      </c>
      <c r="D333" t="inlineStr">
        <is>
          <t>tent-4p</t>
        </is>
      </c>
      <c r="E333" t="n">
        <v>1</v>
      </c>
      <c r="G333" t="n">
        <v>299</v>
      </c>
    </row>
    <row r="334">
      <c r="A334" t="inlineStr">
        <is>
          <t>T1416</t>
        </is>
      </c>
      <c r="B334" s="2" t="n">
        <v>45887</v>
      </c>
      <c r="C334" t="inlineStr">
        <is>
          <t>SALE</t>
        </is>
      </c>
      <c r="D334" t="inlineStr">
        <is>
          <t>BAG-WIN</t>
        </is>
      </c>
      <c r="E334" t="n">
        <v>1</v>
      </c>
      <c r="G334" t="n">
        <v>135.15</v>
      </c>
    </row>
    <row r="335">
      <c r="A335" t="inlineStr">
        <is>
          <t>T1417</t>
        </is>
      </c>
      <c r="B335" s="2" t="n">
        <v>45887</v>
      </c>
      <c r="C335" t="inlineStr">
        <is>
          <t>SALE</t>
        </is>
      </c>
      <c r="D335" t="inlineStr">
        <is>
          <t>STOVE-GAS</t>
        </is>
      </c>
      <c r="E335" t="n">
        <v>3</v>
      </c>
      <c r="G335" t="n">
        <v>59</v>
      </c>
    </row>
    <row r="336">
      <c r="A336" t="inlineStr">
        <is>
          <t>T1419</t>
        </is>
      </c>
      <c r="B336" s="2" t="n">
        <v>45887</v>
      </c>
      <c r="C336" t="inlineStr">
        <is>
          <t>RETURN</t>
        </is>
      </c>
      <c r="D336" t="inlineStr">
        <is>
          <t>CHAIR-FLD</t>
        </is>
      </c>
      <c r="E336" t="n">
        <v>1</v>
      </c>
      <c r="G336" t="n">
        <v>49</v>
      </c>
      <c r="H336" t="inlineStr">
        <is>
          <t>resellable</t>
        </is>
      </c>
    </row>
    <row r="337">
      <c r="A337" t="inlineStr">
        <is>
          <t>T1420</t>
        </is>
      </c>
      <c r="B337" s="2" t="n">
        <v>45888</v>
      </c>
      <c r="C337" t="inlineStr">
        <is>
          <t>SALE</t>
        </is>
      </c>
      <c r="D337" t="inlineStr">
        <is>
          <t>TENT-4P</t>
        </is>
      </c>
      <c r="E337" t="n">
        <v>1</v>
      </c>
      <c r="G337" t="n">
        <v>299</v>
      </c>
    </row>
    <row r="338">
      <c r="A338" t="inlineStr">
        <is>
          <t>T1421</t>
        </is>
      </c>
      <c r="B338" s="2" t="n">
        <v>45888</v>
      </c>
      <c r="C338" t="inlineStr">
        <is>
          <t>SALE</t>
        </is>
      </c>
      <c r="D338" t="inlineStr">
        <is>
          <t>PAD-FOAM</t>
        </is>
      </c>
      <c r="E338" t="n">
        <v>4</v>
      </c>
      <c r="G338" t="n">
        <v>20.4</v>
      </c>
    </row>
    <row r="339">
      <c r="A339" t="inlineStr">
        <is>
          <t>T1423</t>
        </is>
      </c>
      <c r="B339" s="2" t="n">
        <v>45888</v>
      </c>
      <c r="C339" t="inlineStr">
        <is>
          <t>SALE</t>
        </is>
      </c>
      <c r="D339" t="inlineStr">
        <is>
          <t>LAMP-LED</t>
        </is>
      </c>
      <c r="E339" t="n">
        <v>4</v>
      </c>
      <c r="G339" t="n">
        <v>29</v>
      </c>
    </row>
    <row r="340">
      <c r="A340" t="inlineStr">
        <is>
          <t>T1425</t>
        </is>
      </c>
      <c r="B340" s="2" t="n">
        <v>45888</v>
      </c>
      <c r="C340" t="inlineStr">
        <is>
          <t>SALE</t>
        </is>
      </c>
      <c r="D340" t="inlineStr">
        <is>
          <t>PACK-65</t>
        </is>
      </c>
      <c r="E340" t="n">
        <v>1</v>
      </c>
      <c r="G340" t="n">
        <v>219</v>
      </c>
    </row>
    <row r="341">
      <c r="A341" t="inlineStr">
        <is>
          <t>T1426</t>
        </is>
      </c>
      <c r="B341" s="2" t="n">
        <v>45888</v>
      </c>
      <c r="C341" t="inlineStr">
        <is>
          <t>SALE</t>
        </is>
      </c>
      <c r="D341" t="inlineStr">
        <is>
          <t>CHAIR-FLD</t>
        </is>
      </c>
      <c r="E341" t="n">
        <v>1</v>
      </c>
      <c r="G341" t="n">
        <v>44.1</v>
      </c>
    </row>
    <row r="342">
      <c r="A342" t="inlineStr">
        <is>
          <t>T1428</t>
        </is>
      </c>
      <c r="B342" s="2" t="n">
        <v>45888</v>
      </c>
      <c r="C342" t="inlineStr">
        <is>
          <t>RETURN</t>
        </is>
      </c>
      <c r="D342" t="inlineStr">
        <is>
          <t>PACK-35</t>
        </is>
      </c>
      <c r="E342" t="n">
        <v>1</v>
      </c>
      <c r="G342" t="n">
        <v>79</v>
      </c>
      <c r="H342" t="inlineStr">
        <is>
          <t>resellable</t>
        </is>
      </c>
    </row>
    <row r="343">
      <c r="A343" t="inlineStr">
        <is>
          <t>T1429</t>
        </is>
      </c>
      <c r="B343" s="2" t="n">
        <v>45889</v>
      </c>
      <c r="C343" t="inlineStr">
        <is>
          <t>SALE</t>
        </is>
      </c>
      <c r="D343" t="inlineStr">
        <is>
          <t>TENT-2P</t>
        </is>
      </c>
      <c r="E343" t="n">
        <v>4</v>
      </c>
      <c r="G343" t="n">
        <v>170.1</v>
      </c>
    </row>
    <row r="344">
      <c r="A344" t="inlineStr">
        <is>
          <t>T1430</t>
        </is>
      </c>
      <c r="B344" s="2" t="n">
        <v>45889</v>
      </c>
      <c r="C344" t="inlineStr">
        <is>
          <t>SALE</t>
        </is>
      </c>
      <c r="D344" t="inlineStr">
        <is>
          <t>PAD-FOAM</t>
        </is>
      </c>
      <c r="E344" t="n">
        <v>2</v>
      </c>
      <c r="G344" t="n">
        <v>24</v>
      </c>
    </row>
    <row r="345">
      <c r="A345" t="inlineStr">
        <is>
          <t>T1431</t>
        </is>
      </c>
      <c r="B345" s="2" t="n">
        <v>45889</v>
      </c>
      <c r="C345" t="inlineStr">
        <is>
          <t>SALE</t>
        </is>
      </c>
      <c r="D345" t="inlineStr">
        <is>
          <t>CHAIR-FLD</t>
        </is>
      </c>
      <c r="E345" t="n">
        <v>1</v>
      </c>
      <c r="G345" t="n">
        <v>41.65</v>
      </c>
    </row>
    <row r="346">
      <c r="A346" t="inlineStr">
        <is>
          <t>T1432</t>
        </is>
      </c>
      <c r="B346" s="2" t="n">
        <v>45889</v>
      </c>
      <c r="C346" t="inlineStr">
        <is>
          <t>RECEIPT</t>
        </is>
      </c>
      <c r="D346" t="inlineStr">
        <is>
          <t>BAG-SUM</t>
        </is>
      </c>
      <c r="E346" t="n">
        <v>45</v>
      </c>
      <c r="F346" t="n">
        <v>33.12</v>
      </c>
    </row>
    <row r="347">
      <c r="A347" t="inlineStr">
        <is>
          <t>T1433</t>
        </is>
      </c>
      <c r="B347" s="2" t="n">
        <v>45890</v>
      </c>
      <c r="C347" t="inlineStr">
        <is>
          <t>SALE</t>
        </is>
      </c>
      <c r="D347" t="inlineStr">
        <is>
          <t>TENT-2P</t>
        </is>
      </c>
      <c r="E347" t="n">
        <v>1</v>
      </c>
      <c r="G347" t="n">
        <v>170.1</v>
      </c>
    </row>
    <row r="348">
      <c r="A348" t="inlineStr">
        <is>
          <t>T1435</t>
        </is>
      </c>
      <c r="B348" s="2" t="n">
        <v>45890</v>
      </c>
      <c r="C348" t="inlineStr">
        <is>
          <t>SALE</t>
        </is>
      </c>
      <c r="D348" t="inlineStr">
        <is>
          <t>LAMP-LED</t>
        </is>
      </c>
      <c r="E348" t="n">
        <v>3</v>
      </c>
      <c r="G348" t="n">
        <v>26.1</v>
      </c>
    </row>
    <row r="349">
      <c r="A349" t="inlineStr">
        <is>
          <t>T1436</t>
        </is>
      </c>
      <c r="B349" s="2" t="n">
        <v>45890</v>
      </c>
      <c r="C349" t="inlineStr">
        <is>
          <t>SALE</t>
        </is>
      </c>
      <c r="D349" t="inlineStr">
        <is>
          <t>CHAIR-FLD</t>
        </is>
      </c>
      <c r="E349" t="n">
        <v>1</v>
      </c>
      <c r="G349" t="n">
        <v>49</v>
      </c>
    </row>
    <row r="350">
      <c r="A350" t="inlineStr">
        <is>
          <t>T1438</t>
        </is>
      </c>
      <c r="B350" s="2" t="n">
        <v>45891</v>
      </c>
      <c r="C350" t="inlineStr">
        <is>
          <t>SALE</t>
        </is>
      </c>
      <c r="D350" t="inlineStr">
        <is>
          <t>TENT-4P</t>
        </is>
      </c>
      <c r="E350" t="n">
        <v>1</v>
      </c>
      <c r="G350" t="n">
        <v>269.1</v>
      </c>
    </row>
    <row r="351">
      <c r="A351" t="inlineStr">
        <is>
          <t>T1439</t>
        </is>
      </c>
      <c r="B351" s="2" t="n">
        <v>45891</v>
      </c>
      <c r="C351" t="inlineStr">
        <is>
          <t>SALE</t>
        </is>
      </c>
      <c r="D351" t="inlineStr">
        <is>
          <t>BAG-SUM</t>
        </is>
      </c>
      <c r="E351" t="n">
        <v>3</v>
      </c>
      <c r="G351" t="n">
        <v>62.1</v>
      </c>
    </row>
    <row r="352">
      <c r="A352" t="inlineStr">
        <is>
          <t>T1441</t>
        </is>
      </c>
      <c r="B352" s="2" t="n">
        <v>45891</v>
      </c>
      <c r="C352" t="inlineStr">
        <is>
          <t>SALE</t>
        </is>
      </c>
      <c r="D352" t="inlineStr">
        <is>
          <t>bag-win</t>
        </is>
      </c>
      <c r="E352" t="n">
        <v>1</v>
      </c>
      <c r="G352" t="n">
        <v>159</v>
      </c>
    </row>
    <row r="353">
      <c r="A353" t="inlineStr">
        <is>
          <t>T1442</t>
        </is>
      </c>
      <c r="B353" s="2" t="n">
        <v>45891</v>
      </c>
      <c r="C353" t="inlineStr">
        <is>
          <t>SALE</t>
        </is>
      </c>
      <c r="D353" t="inlineStr">
        <is>
          <t>PAD-FOAM</t>
        </is>
      </c>
      <c r="E353" t="n">
        <v>4</v>
      </c>
      <c r="G353" t="n">
        <v>20.4</v>
      </c>
    </row>
    <row r="354">
      <c r="A354" t="inlineStr">
        <is>
          <t>T1443</t>
        </is>
      </c>
      <c r="B354" s="2" t="n">
        <v>45891</v>
      </c>
      <c r="C354" t="inlineStr">
        <is>
          <t>SALE</t>
        </is>
      </c>
      <c r="D354" t="inlineStr">
        <is>
          <t>CHAIR-FLD</t>
        </is>
      </c>
      <c r="E354" t="n">
        <v>1</v>
      </c>
      <c r="G354" t="n">
        <v>49</v>
      </c>
    </row>
    <row r="355">
      <c r="A355" t="inlineStr">
        <is>
          <t>T1444</t>
        </is>
      </c>
      <c r="B355" s="2" t="n">
        <v>45891</v>
      </c>
      <c r="C355" t="inlineStr">
        <is>
          <t>RECEIPT</t>
        </is>
      </c>
      <c r="D355" t="inlineStr">
        <is>
          <t>TENT-2P</t>
        </is>
      </c>
      <c r="E355" t="n">
        <v>20</v>
      </c>
      <c r="F355" t="n">
        <v>98.84</v>
      </c>
    </row>
    <row r="356">
      <c r="A356" t="inlineStr">
        <is>
          <t>T1446</t>
        </is>
      </c>
      <c r="B356" s="2" t="n">
        <v>45891</v>
      </c>
      <c r="C356" t="inlineStr">
        <is>
          <t>RECEIPT</t>
        </is>
      </c>
      <c r="D356" t="inlineStr">
        <is>
          <t>LAMP-LED</t>
        </is>
      </c>
      <c r="E356" t="n">
        <v>100</v>
      </c>
      <c r="F356" t="n">
        <v>11.6</v>
      </c>
    </row>
    <row r="357">
      <c r="A357" t="inlineStr">
        <is>
          <t>T1448</t>
        </is>
      </c>
      <c r="B357" s="2" t="n">
        <v>45891</v>
      </c>
      <c r="C357" t="inlineStr">
        <is>
          <t>EXPENSE</t>
        </is>
      </c>
      <c r="I357" t="inlineStr">
        <is>
          <t>Shipping</t>
        </is>
      </c>
      <c r="J357" t="n">
        <v>402.42</v>
      </c>
    </row>
    <row r="358">
      <c r="A358" t="inlineStr">
        <is>
          <t>T1449</t>
        </is>
      </c>
      <c r="B358" s="2" t="n">
        <v>45892</v>
      </c>
      <c r="C358" t="inlineStr">
        <is>
          <t>SALE</t>
        </is>
      </c>
      <c r="D358" t="inlineStr">
        <is>
          <t>PAD-FOAM</t>
        </is>
      </c>
      <c r="E358" t="n">
        <v>2</v>
      </c>
      <c r="G358" t="n">
        <v>24</v>
      </c>
    </row>
    <row r="359">
      <c r="A359" t="inlineStr">
        <is>
          <t>T1450</t>
        </is>
      </c>
      <c r="B359" s="2" t="n">
        <v>45892</v>
      </c>
      <c r="C359" t="inlineStr">
        <is>
          <t>SALE</t>
        </is>
      </c>
      <c r="D359" t="inlineStr">
        <is>
          <t>LAMP-LED</t>
        </is>
      </c>
      <c r="E359" t="n">
        <v>4</v>
      </c>
      <c r="G359" t="n">
        <v>29</v>
      </c>
    </row>
    <row r="360">
      <c r="A360" t="inlineStr">
        <is>
          <t>T1452</t>
        </is>
      </c>
      <c r="B360" s="2" t="n">
        <v>45892</v>
      </c>
      <c r="C360" t="inlineStr">
        <is>
          <t>SALE</t>
        </is>
      </c>
      <c r="D360" t="inlineStr">
        <is>
          <t>CHAIR-FLD</t>
        </is>
      </c>
      <c r="E360" t="n">
        <v>1</v>
      </c>
      <c r="G360" t="n">
        <v>44.1</v>
      </c>
    </row>
    <row r="361">
      <c r="A361" t="inlineStr">
        <is>
          <t>T1453</t>
        </is>
      </c>
      <c r="B361" s="2" t="n">
        <v>45892</v>
      </c>
      <c r="C361" t="inlineStr">
        <is>
          <t>SALE</t>
        </is>
      </c>
      <c r="D361" t="inlineStr">
        <is>
          <t>FILTER-H2O</t>
        </is>
      </c>
      <c r="E361" t="n">
        <v>1</v>
      </c>
      <c r="G361" t="n">
        <v>89</v>
      </c>
    </row>
    <row r="362">
      <c r="A362" t="inlineStr">
        <is>
          <t>T1454</t>
        </is>
      </c>
      <c r="B362" s="2" t="n">
        <v>45893</v>
      </c>
      <c r="C362" t="inlineStr">
        <is>
          <t>SALE</t>
        </is>
      </c>
      <c r="D362" t="inlineStr">
        <is>
          <t>TENT-2P</t>
        </is>
      </c>
      <c r="E362" t="n">
        <v>4</v>
      </c>
      <c r="G362" t="n">
        <v>160.65</v>
      </c>
    </row>
    <row r="363">
      <c r="A363" t="inlineStr">
        <is>
          <t>T1455</t>
        </is>
      </c>
      <c r="B363" s="2" t="n">
        <v>45893</v>
      </c>
      <c r="C363" t="inlineStr">
        <is>
          <t>SALE</t>
        </is>
      </c>
      <c r="D363" t="inlineStr">
        <is>
          <t>TENT-4P</t>
        </is>
      </c>
      <c r="E363" t="n">
        <v>2</v>
      </c>
      <c r="G363" t="n">
        <v>254.15</v>
      </c>
    </row>
    <row r="364">
      <c r="A364" t="inlineStr">
        <is>
          <t>T1456</t>
        </is>
      </c>
      <c r="B364" s="2" t="n">
        <v>45893</v>
      </c>
      <c r="C364" t="inlineStr">
        <is>
          <t>SALE</t>
        </is>
      </c>
      <c r="D364" t="inlineStr">
        <is>
          <t>PAD-FOAM</t>
        </is>
      </c>
      <c r="E364" t="n">
        <v>6</v>
      </c>
      <c r="G364" t="n">
        <v>21.6</v>
      </c>
    </row>
    <row r="365">
      <c r="A365" t="inlineStr">
        <is>
          <t>T1458</t>
        </is>
      </c>
      <c r="B365" s="2" t="n">
        <v>45893</v>
      </c>
      <c r="C365" t="inlineStr">
        <is>
          <t>SALE</t>
        </is>
      </c>
      <c r="D365" t="inlineStr">
        <is>
          <t>STOVE-GAS</t>
        </is>
      </c>
      <c r="E365" t="n">
        <v>2</v>
      </c>
      <c r="G365" t="n">
        <v>53.1</v>
      </c>
    </row>
    <row r="366">
      <c r="A366" t="inlineStr">
        <is>
          <t>T1459</t>
        </is>
      </c>
      <c r="B366" s="2" t="n">
        <v>45893</v>
      </c>
      <c r="C366" t="inlineStr">
        <is>
          <t>SALE</t>
        </is>
      </c>
      <c r="D366" t="inlineStr">
        <is>
          <t>BOTTLE-1L</t>
        </is>
      </c>
      <c r="E366" t="n">
        <v>8</v>
      </c>
      <c r="G366" t="n">
        <v>15.3</v>
      </c>
    </row>
    <row r="367">
      <c r="A367" t="inlineStr">
        <is>
          <t>T1459</t>
        </is>
      </c>
      <c r="B367" s="2" t="n">
        <v>45893</v>
      </c>
      <c r="C367" t="inlineStr">
        <is>
          <t>SALE</t>
        </is>
      </c>
      <c r="D367" t="inlineStr">
        <is>
          <t>BOTTLE-1L</t>
        </is>
      </c>
      <c r="E367" t="n">
        <v>8</v>
      </c>
      <c r="G367" t="n">
        <v>15.3</v>
      </c>
    </row>
    <row r="368">
      <c r="A368" t="inlineStr">
        <is>
          <t>T1460</t>
        </is>
      </c>
      <c r="B368" s="2" t="n">
        <v>45893</v>
      </c>
      <c r="C368" t="inlineStr">
        <is>
          <t>SALE</t>
        </is>
      </c>
      <c r="D368" t="inlineStr">
        <is>
          <t>CHAIR-FLD</t>
        </is>
      </c>
      <c r="E368" t="n">
        <v>3</v>
      </c>
      <c r="G368" t="n">
        <v>49</v>
      </c>
    </row>
    <row r="369">
      <c r="A369" t="inlineStr">
        <is>
          <t>T1462</t>
        </is>
      </c>
      <c r="B369" s="2" t="n">
        <v>45893</v>
      </c>
      <c r="C369" t="inlineStr">
        <is>
          <t>SALE</t>
        </is>
      </c>
      <c r="D369" t="inlineStr">
        <is>
          <t>FILTER-H2O</t>
        </is>
      </c>
      <c r="E369" t="n">
        <v>1</v>
      </c>
      <c r="G369" t="n">
        <v>89</v>
      </c>
    </row>
    <row r="370">
      <c r="A370" t="inlineStr">
        <is>
          <t>T1464</t>
        </is>
      </c>
      <c r="B370" s="2" t="n">
        <v>45894</v>
      </c>
      <c r="C370" t="inlineStr">
        <is>
          <t>SALE</t>
        </is>
      </c>
      <c r="D370" t="inlineStr">
        <is>
          <t>BAG-SUM</t>
        </is>
      </c>
      <c r="E370" t="n">
        <v>1</v>
      </c>
      <c r="G370" t="n">
        <v>69</v>
      </c>
    </row>
    <row r="371">
      <c r="A371" t="inlineStr">
        <is>
          <t>T1465</t>
        </is>
      </c>
      <c r="B371" s="2" t="n">
        <v>45894</v>
      </c>
      <c r="C371" t="inlineStr">
        <is>
          <t>SALE</t>
        </is>
      </c>
      <c r="D371" t="inlineStr">
        <is>
          <t>BAG-WIN</t>
        </is>
      </c>
      <c r="E371" t="n">
        <v>2</v>
      </c>
      <c r="G371" t="n">
        <v>143.1</v>
      </c>
    </row>
    <row r="372">
      <c r="A372" t="inlineStr">
        <is>
          <t>T1466</t>
        </is>
      </c>
      <c r="B372" s="2" t="n">
        <v>45894</v>
      </c>
      <c r="C372" t="inlineStr">
        <is>
          <t>SALE</t>
        </is>
      </c>
      <c r="D372" t="inlineStr">
        <is>
          <t>LAMP-LED</t>
        </is>
      </c>
      <c r="E372" t="n">
        <v>3</v>
      </c>
      <c r="G372" t="n">
        <v>29</v>
      </c>
    </row>
    <row r="373">
      <c r="A373" t="inlineStr">
        <is>
          <t>T1467</t>
        </is>
      </c>
      <c r="B373" s="2" t="n">
        <v>45894</v>
      </c>
      <c r="C373" t="inlineStr">
        <is>
          <t>SALE</t>
        </is>
      </c>
      <c r="D373" t="inlineStr">
        <is>
          <t>PACK-35</t>
        </is>
      </c>
      <c r="E373" t="n">
        <v>3</v>
      </c>
      <c r="G373" t="n">
        <v>79</v>
      </c>
    </row>
    <row r="374">
      <c r="A374" t="inlineStr">
        <is>
          <t>T1468</t>
        </is>
      </c>
      <c r="B374" s="2" t="n">
        <v>45894</v>
      </c>
      <c r="C374" t="inlineStr">
        <is>
          <t>SALE</t>
        </is>
      </c>
      <c r="D374" t="inlineStr">
        <is>
          <t>CHAIR-FLD</t>
        </is>
      </c>
      <c r="E374" t="n">
        <v>1</v>
      </c>
      <c r="G374" t="n">
        <v>41.65</v>
      </c>
    </row>
    <row r="375">
      <c r="A375" t="inlineStr">
        <is>
          <t>T1469</t>
        </is>
      </c>
      <c r="B375" s="2" t="n">
        <v>45895</v>
      </c>
      <c r="C375" t="inlineStr">
        <is>
          <t>SALE</t>
        </is>
      </c>
      <c r="D375" t="inlineStr">
        <is>
          <t>TENT-2P</t>
        </is>
      </c>
      <c r="E375" t="n">
        <v>1</v>
      </c>
      <c r="G375" t="n">
        <v>160.65</v>
      </c>
    </row>
    <row r="376">
      <c r="A376" t="inlineStr">
        <is>
          <t>T1470</t>
        </is>
      </c>
      <c r="B376" s="2" t="n">
        <v>45895</v>
      </c>
      <c r="C376" t="inlineStr">
        <is>
          <t>SALE</t>
        </is>
      </c>
      <c r="D376" t="inlineStr">
        <is>
          <t>BAG-SUM</t>
        </is>
      </c>
      <c r="E376" t="n">
        <v>2</v>
      </c>
      <c r="G376" t="n">
        <v>62.1</v>
      </c>
    </row>
    <row r="377">
      <c r="A377" t="inlineStr">
        <is>
          <t>T1471</t>
        </is>
      </c>
      <c r="B377" s="2" t="n">
        <v>45895</v>
      </c>
      <c r="C377" t="inlineStr">
        <is>
          <t>SALE</t>
        </is>
      </c>
      <c r="D377" t="inlineStr">
        <is>
          <t>PAD-FOAM</t>
        </is>
      </c>
      <c r="E377" t="n">
        <v>3</v>
      </c>
      <c r="G377" t="n">
        <v>21.6</v>
      </c>
    </row>
    <row r="378">
      <c r="A378" t="inlineStr">
        <is>
          <t>T1472</t>
        </is>
      </c>
      <c r="B378" s="2" t="n">
        <v>45895</v>
      </c>
      <c r="C378" t="inlineStr">
        <is>
          <t>SALE</t>
        </is>
      </c>
      <c r="D378" t="inlineStr">
        <is>
          <t>PACK-35</t>
        </is>
      </c>
      <c r="E378" t="n">
        <v>4</v>
      </c>
      <c r="G378" t="n">
        <v>67.15000000000001</v>
      </c>
    </row>
    <row r="379">
      <c r="A379" t="inlineStr">
        <is>
          <t>T1473</t>
        </is>
      </c>
      <c r="B379" s="2" t="n">
        <v>45896</v>
      </c>
      <c r="C379" t="inlineStr">
        <is>
          <t>SALE</t>
        </is>
      </c>
      <c r="D379" t="inlineStr">
        <is>
          <t>TENT-4P</t>
        </is>
      </c>
      <c r="E379" t="n">
        <v>2</v>
      </c>
      <c r="G379" t="n">
        <v>269.1</v>
      </c>
    </row>
    <row r="380">
      <c r="A380" t="inlineStr">
        <is>
          <t>T1474</t>
        </is>
      </c>
      <c r="B380" s="2" t="n">
        <v>45896</v>
      </c>
      <c r="C380" t="inlineStr">
        <is>
          <t>SALE</t>
        </is>
      </c>
      <c r="D380" t="inlineStr">
        <is>
          <t>BAG-SUM</t>
        </is>
      </c>
      <c r="E380" t="n">
        <v>3</v>
      </c>
      <c r="G380" t="n">
        <v>62.1</v>
      </c>
    </row>
    <row r="381">
      <c r="A381" t="inlineStr">
        <is>
          <t>T1475</t>
        </is>
      </c>
      <c r="B381" s="2" t="n">
        <v>45896</v>
      </c>
      <c r="C381" t="inlineStr">
        <is>
          <t>SALE</t>
        </is>
      </c>
      <c r="D381" t="inlineStr">
        <is>
          <t>LAMP-LED</t>
        </is>
      </c>
      <c r="E381" t="n">
        <v>6</v>
      </c>
      <c r="G381" t="n">
        <v>29</v>
      </c>
    </row>
    <row r="382">
      <c r="A382" t="inlineStr">
        <is>
          <t>T1477</t>
        </is>
      </c>
      <c r="B382" s="2" t="n">
        <v>45896</v>
      </c>
      <c r="C382" t="inlineStr">
        <is>
          <t>SALE</t>
        </is>
      </c>
      <c r="D382" t="inlineStr">
        <is>
          <t>PACK-35</t>
        </is>
      </c>
      <c r="E382" t="n">
        <v>2</v>
      </c>
      <c r="G382" t="n">
        <v>67.15000000000001</v>
      </c>
    </row>
    <row r="383">
      <c r="A383" t="inlineStr">
        <is>
          <t>T1478</t>
        </is>
      </c>
      <c r="B383" s="2" t="n">
        <v>45896</v>
      </c>
      <c r="C383" t="inlineStr">
        <is>
          <t>SALE</t>
        </is>
      </c>
      <c r="D383" t="inlineStr">
        <is>
          <t>PACK-65</t>
        </is>
      </c>
      <c r="E383" t="n">
        <v>1</v>
      </c>
      <c r="G383" t="n">
        <v>219</v>
      </c>
    </row>
    <row r="384">
      <c r="A384" t="inlineStr">
        <is>
          <t>T1479</t>
        </is>
      </c>
      <c r="B384" s="2" t="n">
        <v>45896</v>
      </c>
      <c r="C384" t="inlineStr">
        <is>
          <t>SALE</t>
        </is>
      </c>
      <c r="D384" t="inlineStr">
        <is>
          <t>BOTTLE-1L</t>
        </is>
      </c>
      <c r="E384" t="n">
        <v>8</v>
      </c>
      <c r="G384" t="n">
        <v>16.2</v>
      </c>
    </row>
    <row r="385">
      <c r="A385" t="inlineStr">
        <is>
          <t>T1480</t>
        </is>
      </c>
      <c r="B385" s="2" t="n">
        <v>45896</v>
      </c>
      <c r="C385" t="inlineStr">
        <is>
          <t>SALE</t>
        </is>
      </c>
      <c r="D385" t="inlineStr">
        <is>
          <t>CHAIR-FLD</t>
        </is>
      </c>
      <c r="E385" t="n">
        <v>1</v>
      </c>
      <c r="G385" t="n">
        <v>49</v>
      </c>
    </row>
    <row r="386">
      <c r="A386" t="inlineStr">
        <is>
          <t>T1482</t>
        </is>
      </c>
      <c r="B386" s="2" t="n">
        <v>45896</v>
      </c>
      <c r="C386" t="inlineStr">
        <is>
          <t>RECEIPT</t>
        </is>
      </c>
      <c r="D386" t="inlineStr">
        <is>
          <t>PACK-65</t>
        </is>
      </c>
      <c r="E386" t="n">
        <v>10</v>
      </c>
      <c r="F386" t="n">
        <v>97</v>
      </c>
    </row>
    <row r="387">
      <c r="A387" t="inlineStr">
        <is>
          <t>T1483</t>
        </is>
      </c>
      <c r="B387" s="2" t="n">
        <v>45897</v>
      </c>
      <c r="C387" t="inlineStr">
        <is>
          <t>SALE</t>
        </is>
      </c>
      <c r="D387" t="inlineStr">
        <is>
          <t>BAG-WIN</t>
        </is>
      </c>
      <c r="E387" t="n">
        <v>1</v>
      </c>
      <c r="G387" t="n">
        <v>159</v>
      </c>
    </row>
    <row r="388">
      <c r="A388" t="inlineStr">
        <is>
          <t>T1484</t>
        </is>
      </c>
      <c r="B388" s="2" t="n">
        <v>45897</v>
      </c>
      <c r="C388" t="inlineStr">
        <is>
          <t>SALE</t>
        </is>
      </c>
      <c r="D388" t="inlineStr">
        <is>
          <t>PAD-FOAM</t>
        </is>
      </c>
      <c r="E388" t="n">
        <v>3</v>
      </c>
      <c r="G388" t="n">
        <v>20.4</v>
      </c>
    </row>
    <row r="389">
      <c r="A389" t="inlineStr">
        <is>
          <t>T1485</t>
        </is>
      </c>
      <c r="B389" s="2" t="n">
        <v>45897</v>
      </c>
      <c r="C389" t="inlineStr">
        <is>
          <t>SALE</t>
        </is>
      </c>
      <c r="D389" t="inlineStr">
        <is>
          <t>LAMP-LED</t>
        </is>
      </c>
      <c r="E389" t="n">
        <v>4</v>
      </c>
      <c r="G389" t="n">
        <v>26.1</v>
      </c>
    </row>
    <row r="390">
      <c r="A390" t="inlineStr">
        <is>
          <t>T1486</t>
        </is>
      </c>
      <c r="B390" s="2" t="n">
        <v>45897</v>
      </c>
      <c r="C390" t="inlineStr">
        <is>
          <t>SALE</t>
        </is>
      </c>
      <c r="D390" t="inlineStr">
        <is>
          <t>PACK-35</t>
        </is>
      </c>
      <c r="E390" t="n">
        <v>1</v>
      </c>
      <c r="G390" t="n">
        <v>79</v>
      </c>
    </row>
    <row r="391">
      <c r="A391" t="inlineStr">
        <is>
          <t>T1487</t>
        </is>
      </c>
      <c r="B391" s="2" t="n">
        <v>45897</v>
      </c>
      <c r="C391" t="inlineStr">
        <is>
          <t>SALE</t>
        </is>
      </c>
      <c r="D391" t="inlineStr">
        <is>
          <t>PACK-65</t>
        </is>
      </c>
      <c r="E391" t="n">
        <v>2</v>
      </c>
      <c r="G391" t="n">
        <v>219</v>
      </c>
    </row>
    <row r="392">
      <c r="A392" t="inlineStr">
        <is>
          <t>T1488</t>
        </is>
      </c>
      <c r="B392" s="2" t="n">
        <v>45897</v>
      </c>
      <c r="C392" t="inlineStr">
        <is>
          <t>SALE</t>
        </is>
      </c>
      <c r="D392" t="inlineStr">
        <is>
          <t>FILTER-H2O</t>
        </is>
      </c>
      <c r="E392" t="n">
        <v>1</v>
      </c>
      <c r="G392" t="n">
        <v>80.09999999999999</v>
      </c>
    </row>
    <row r="393">
      <c r="A393" t="inlineStr">
        <is>
          <t>T1489</t>
        </is>
      </c>
      <c r="B393" s="2" t="n">
        <v>45897</v>
      </c>
      <c r="C393" t="inlineStr">
        <is>
          <t>EXPENSE</t>
        </is>
      </c>
      <c r="I393" t="inlineStr">
        <is>
          <t>Wages</t>
        </is>
      </c>
      <c r="J393" t="n">
        <v>3917.98</v>
      </c>
    </row>
    <row r="394">
      <c r="A394" t="inlineStr">
        <is>
          <t>T1490</t>
        </is>
      </c>
      <c r="B394" s="2" t="n">
        <v>45898</v>
      </c>
      <c r="C394" t="inlineStr">
        <is>
          <t>SALE</t>
        </is>
      </c>
      <c r="D394" t="inlineStr">
        <is>
          <t>TENT-2P</t>
        </is>
      </c>
      <c r="E394" t="n">
        <v>1</v>
      </c>
      <c r="G394" t="n">
        <v>189</v>
      </c>
    </row>
    <row r="395">
      <c r="A395" t="inlineStr">
        <is>
          <t>T1491</t>
        </is>
      </c>
      <c r="B395" s="2" t="n">
        <v>45898</v>
      </c>
      <c r="C395" t="inlineStr">
        <is>
          <t>SALE</t>
        </is>
      </c>
      <c r="D395" t="inlineStr">
        <is>
          <t>LAMP-LED</t>
        </is>
      </c>
      <c r="E395" t="n">
        <v>4</v>
      </c>
      <c r="G395" t="n">
        <v>29</v>
      </c>
    </row>
    <row r="396">
      <c r="A396" t="inlineStr">
        <is>
          <t>T1492</t>
        </is>
      </c>
      <c r="B396" s="2" t="n">
        <v>45898</v>
      </c>
      <c r="C396" t="inlineStr">
        <is>
          <t>SALE</t>
        </is>
      </c>
      <c r="D396" t="inlineStr">
        <is>
          <t>BOTTLE-1L</t>
        </is>
      </c>
      <c r="E396" t="n">
        <v>8</v>
      </c>
      <c r="G396" t="n">
        <v>15.3</v>
      </c>
    </row>
    <row r="397">
      <c r="A397" t="inlineStr">
        <is>
          <t>T1493</t>
        </is>
      </c>
      <c r="B397" s="2" t="n">
        <v>45898</v>
      </c>
      <c r="C397" t="inlineStr">
        <is>
          <t>SALE</t>
        </is>
      </c>
      <c r="D397" t="inlineStr">
        <is>
          <t>FILTER-H2O</t>
        </is>
      </c>
      <c r="E397" t="n">
        <v>1</v>
      </c>
      <c r="G397" t="n">
        <v>89</v>
      </c>
    </row>
    <row r="398">
      <c r="A398" t="inlineStr">
        <is>
          <t>T1495</t>
        </is>
      </c>
      <c r="B398" s="2" t="n">
        <v>45898</v>
      </c>
      <c r="C398" t="inlineStr">
        <is>
          <t>RECEIPT</t>
        </is>
      </c>
      <c r="D398" t="inlineStr">
        <is>
          <t>PACK-65</t>
        </is>
      </c>
      <c r="E398" t="n">
        <v>20</v>
      </c>
      <c r="F398" t="n">
        <v>97</v>
      </c>
    </row>
    <row r="399">
      <c r="A399" t="inlineStr">
        <is>
          <t>T1497</t>
        </is>
      </c>
      <c r="B399" s="2" t="n">
        <v>45898</v>
      </c>
      <c r="C399" t="inlineStr">
        <is>
          <t>EXPENSE</t>
        </is>
      </c>
      <c r="I399" t="inlineStr">
        <is>
          <t>Shipping</t>
        </is>
      </c>
      <c r="J399" t="n">
        <v>217.65</v>
      </c>
    </row>
    <row r="400">
      <c r="A400" t="inlineStr">
        <is>
          <t>T1499</t>
        </is>
      </c>
      <c r="B400" s="2" t="n">
        <v>45899</v>
      </c>
      <c r="C400" t="inlineStr">
        <is>
          <t>SALE</t>
        </is>
      </c>
      <c r="D400" t="inlineStr">
        <is>
          <t>BAG-SUM</t>
        </is>
      </c>
      <c r="E400" t="n">
        <v>4</v>
      </c>
      <c r="G400" t="n">
        <v>69</v>
      </c>
    </row>
    <row r="401">
      <c r="A401" t="inlineStr">
        <is>
          <t>T1501</t>
        </is>
      </c>
      <c r="B401" s="2" t="n">
        <v>45899</v>
      </c>
      <c r="C401" t="inlineStr">
        <is>
          <t>SALE</t>
        </is>
      </c>
      <c r="D401" t="inlineStr">
        <is>
          <t xml:space="preserve">BAG-WIN </t>
        </is>
      </c>
      <c r="E401" t="n">
        <v>2</v>
      </c>
      <c r="G401" t="n">
        <v>159</v>
      </c>
    </row>
    <row r="402">
      <c r="A402" t="inlineStr">
        <is>
          <t>T1502</t>
        </is>
      </c>
      <c r="B402" s="2" t="n">
        <v>45899</v>
      </c>
      <c r="C402" t="inlineStr">
        <is>
          <t>SALE</t>
        </is>
      </c>
      <c r="D402" t="inlineStr">
        <is>
          <t>PACK-35</t>
        </is>
      </c>
      <c r="E402" t="n">
        <v>3</v>
      </c>
      <c r="G402" t="n">
        <v>67.15000000000001</v>
      </c>
    </row>
    <row r="403">
      <c r="A403" t="inlineStr">
        <is>
          <t>T1503</t>
        </is>
      </c>
      <c r="B403" s="2" t="n">
        <v>45899</v>
      </c>
      <c r="C403" t="inlineStr">
        <is>
          <t>SALE</t>
        </is>
      </c>
      <c r="D403" t="inlineStr">
        <is>
          <t>CHAIR-FLD</t>
        </is>
      </c>
      <c r="E403" t="n">
        <v>6</v>
      </c>
      <c r="G403" t="n">
        <v>44.1</v>
      </c>
    </row>
    <row r="404">
      <c r="A404" t="inlineStr">
        <is>
          <t>T1505</t>
        </is>
      </c>
      <c r="B404" s="2" t="n">
        <v>45900</v>
      </c>
      <c r="C404" t="inlineStr">
        <is>
          <t>SALE</t>
        </is>
      </c>
      <c r="D404" t="inlineStr">
        <is>
          <t>TENT-2P</t>
        </is>
      </c>
      <c r="E404" t="n">
        <v>1</v>
      </c>
      <c r="G404" t="n">
        <v>170.1</v>
      </c>
    </row>
    <row r="405">
      <c r="A405" t="inlineStr">
        <is>
          <t>T1506</t>
        </is>
      </c>
      <c r="B405" s="2" t="n">
        <v>45900</v>
      </c>
      <c r="C405" t="inlineStr">
        <is>
          <t>SALE</t>
        </is>
      </c>
      <c r="D405" t="inlineStr">
        <is>
          <t>TENT-4P</t>
        </is>
      </c>
      <c r="E405" t="n">
        <v>2</v>
      </c>
      <c r="G405" t="n">
        <v>254.15</v>
      </c>
    </row>
    <row r="406">
      <c r="A406" t="inlineStr">
        <is>
          <t>T1507</t>
        </is>
      </c>
      <c r="B406" s="2" t="n">
        <v>45900</v>
      </c>
      <c r="C406" t="inlineStr">
        <is>
          <t>SALE</t>
        </is>
      </c>
      <c r="D406" t="inlineStr">
        <is>
          <t>BAG-SUM</t>
        </is>
      </c>
      <c r="E406" t="n">
        <v>3</v>
      </c>
      <c r="G406" t="n">
        <v>69</v>
      </c>
    </row>
    <row r="407">
      <c r="A407" t="inlineStr">
        <is>
          <t>T1508</t>
        </is>
      </c>
      <c r="B407" s="2" t="n">
        <v>45900</v>
      </c>
      <c r="C407" t="inlineStr">
        <is>
          <t>SALE</t>
        </is>
      </c>
      <c r="D407" t="inlineStr">
        <is>
          <t xml:space="preserve">PAD-FOAM </t>
        </is>
      </c>
      <c r="E407" t="n">
        <v>3</v>
      </c>
      <c r="G407" t="n">
        <v>24</v>
      </c>
    </row>
    <row r="408">
      <c r="A408" t="inlineStr">
        <is>
          <t>T1509</t>
        </is>
      </c>
      <c r="B408" s="2" t="n">
        <v>45900</v>
      </c>
      <c r="C408" t="inlineStr">
        <is>
          <t>SALE</t>
        </is>
      </c>
      <c r="D408" t="inlineStr">
        <is>
          <t>LAMP-LED</t>
        </is>
      </c>
      <c r="E408" t="n">
        <v>4</v>
      </c>
      <c r="G408" t="n">
        <v>29</v>
      </c>
    </row>
    <row r="409">
      <c r="A409" t="inlineStr">
        <is>
          <t>T1510</t>
        </is>
      </c>
      <c r="B409" s="2" t="n">
        <v>45900</v>
      </c>
      <c r="C409" t="inlineStr">
        <is>
          <t>SALE</t>
        </is>
      </c>
      <c r="D409" t="inlineStr">
        <is>
          <t>PACK-35</t>
        </is>
      </c>
      <c r="E409" t="n">
        <v>1</v>
      </c>
      <c r="G409" t="n">
        <v>67.15000000000001</v>
      </c>
    </row>
    <row r="410">
      <c r="A410" t="inlineStr">
        <is>
          <t>T1512</t>
        </is>
      </c>
      <c r="B410" s="2" t="n">
        <v>45900</v>
      </c>
      <c r="C410" t="inlineStr">
        <is>
          <t>SALE</t>
        </is>
      </c>
      <c r="D410" t="inlineStr">
        <is>
          <t>PACK-65</t>
        </is>
      </c>
      <c r="E410" t="n">
        <v>1</v>
      </c>
      <c r="G410" t="n">
        <v>197.1</v>
      </c>
    </row>
    <row r="411">
      <c r="A411" t="inlineStr">
        <is>
          <t>T1513</t>
        </is>
      </c>
      <c r="B411" s="2" t="n">
        <v>45900</v>
      </c>
      <c r="C411" t="inlineStr">
        <is>
          <t>RECEIPT</t>
        </is>
      </c>
      <c r="D411" t="inlineStr">
        <is>
          <t>LAMP-LED</t>
        </is>
      </c>
      <c r="E411" t="n">
        <v>100</v>
      </c>
      <c r="F411" t="n">
        <v>12.53</v>
      </c>
    </row>
    <row r="412">
      <c r="A412" t="inlineStr">
        <is>
          <t>T1515</t>
        </is>
      </c>
      <c r="B412" s="2" t="n">
        <v>45900</v>
      </c>
      <c r="C412" t="inlineStr">
        <is>
          <t>RETURN</t>
        </is>
      </c>
      <c r="D412" t="inlineStr">
        <is>
          <t>BOTTLE-1L</t>
        </is>
      </c>
      <c r="E412" t="n">
        <v>1</v>
      </c>
      <c r="G412" t="n">
        <v>18</v>
      </c>
      <c r="H412" t="inlineStr">
        <is>
          <t>damaged</t>
        </is>
      </c>
    </row>
    <row r="413">
      <c r="A413" t="inlineStr">
        <is>
          <t>T1517</t>
        </is>
      </c>
      <c r="B413" s="2" t="n">
        <v>45901</v>
      </c>
      <c r="C413" t="inlineStr">
        <is>
          <t>SALE</t>
        </is>
      </c>
      <c r="D413" t="inlineStr">
        <is>
          <t>TENT-4P</t>
        </is>
      </c>
      <c r="E413" t="n">
        <v>2</v>
      </c>
      <c r="G413" t="n">
        <v>254.15</v>
      </c>
    </row>
    <row r="414">
      <c r="A414" t="inlineStr">
        <is>
          <t>T1518</t>
        </is>
      </c>
      <c r="B414" s="2" t="n">
        <v>45901</v>
      </c>
      <c r="C414" t="inlineStr">
        <is>
          <t>SALE</t>
        </is>
      </c>
      <c r="D414" t="inlineStr">
        <is>
          <t>STOVE-GAS</t>
        </is>
      </c>
      <c r="E414" t="n">
        <v>1</v>
      </c>
      <c r="G414" t="n">
        <v>59</v>
      </c>
    </row>
    <row r="415">
      <c r="A415" t="inlineStr">
        <is>
          <t>T1520</t>
        </is>
      </c>
      <c r="B415" s="2" t="n">
        <v>45901</v>
      </c>
      <c r="C415" t="inlineStr">
        <is>
          <t>SALE</t>
        </is>
      </c>
      <c r="D415" t="inlineStr">
        <is>
          <t>LAMP-LED</t>
        </is>
      </c>
      <c r="E415" t="n">
        <v>4</v>
      </c>
      <c r="G415" t="n">
        <v>29</v>
      </c>
    </row>
    <row r="416">
      <c r="A416" t="inlineStr">
        <is>
          <t>T1522</t>
        </is>
      </c>
      <c r="B416" s="2" t="n">
        <v>45901</v>
      </c>
      <c r="C416" t="inlineStr">
        <is>
          <t>SALE</t>
        </is>
      </c>
      <c r="D416" t="inlineStr">
        <is>
          <t>PACK-65</t>
        </is>
      </c>
      <c r="E416" t="n">
        <v>2</v>
      </c>
      <c r="G416" t="n">
        <v>197.1</v>
      </c>
    </row>
    <row r="417">
      <c r="A417" t="inlineStr">
        <is>
          <t>T1523</t>
        </is>
      </c>
      <c r="B417" s="2" t="n">
        <v>45901</v>
      </c>
      <c r="C417" t="inlineStr">
        <is>
          <t>SALE</t>
        </is>
      </c>
      <c r="D417" t="inlineStr">
        <is>
          <t>BOTTLE-1L</t>
        </is>
      </c>
      <c r="E417" t="n">
        <v>8</v>
      </c>
      <c r="G417" t="n">
        <v>18</v>
      </c>
    </row>
    <row r="418">
      <c r="A418" t="inlineStr">
        <is>
          <t>T1525</t>
        </is>
      </c>
      <c r="B418" s="2" t="n">
        <v>45901</v>
      </c>
      <c r="C418" t="inlineStr">
        <is>
          <t>RECEIPT</t>
        </is>
      </c>
      <c r="D418" t="inlineStr">
        <is>
          <t>FILTER-H2O</t>
        </is>
      </c>
      <c r="E418" t="n">
        <v>18</v>
      </c>
      <c r="F418" t="n">
        <v>42.64</v>
      </c>
    </row>
    <row r="419">
      <c r="A419" t="inlineStr">
        <is>
          <t>T1526</t>
        </is>
      </c>
      <c r="B419" s="2" t="n">
        <v>45901</v>
      </c>
      <c r="C419" t="inlineStr">
        <is>
          <t>EXPENSE</t>
        </is>
      </c>
      <c r="I419" t="inlineStr">
        <is>
          <t>Rent</t>
        </is>
      </c>
      <c r="J419" t="n">
        <v>3200</v>
      </c>
    </row>
    <row r="420">
      <c r="A420" t="inlineStr">
        <is>
          <t>T1527</t>
        </is>
      </c>
      <c r="B420" s="2" t="n">
        <v>45902</v>
      </c>
      <c r="C420" t="inlineStr">
        <is>
          <t>SALE</t>
        </is>
      </c>
      <c r="D420" t="inlineStr">
        <is>
          <t>TENT-4P</t>
        </is>
      </c>
      <c r="E420" t="n">
        <v>2</v>
      </c>
      <c r="G420" t="n">
        <v>254.15</v>
      </c>
    </row>
    <row r="421">
      <c r="A421" t="inlineStr">
        <is>
          <t>T1528</t>
        </is>
      </c>
      <c r="B421" s="2" t="n">
        <v>45902</v>
      </c>
      <c r="C421" t="inlineStr">
        <is>
          <t>SALE</t>
        </is>
      </c>
      <c r="D421" t="inlineStr">
        <is>
          <t>STOVE-GAS</t>
        </is>
      </c>
      <c r="E421" t="n">
        <v>1</v>
      </c>
      <c r="G421" t="n">
        <v>59</v>
      </c>
    </row>
    <row r="422">
      <c r="A422" t="inlineStr">
        <is>
          <t>T1529</t>
        </is>
      </c>
      <c r="B422" s="2" t="n">
        <v>45902</v>
      </c>
      <c r="C422" t="inlineStr">
        <is>
          <t>SALE</t>
        </is>
      </c>
      <c r="D422" t="inlineStr">
        <is>
          <t>LAMP-LED</t>
        </is>
      </c>
      <c r="E422" t="n">
        <v>1</v>
      </c>
      <c r="G422" t="n">
        <v>29</v>
      </c>
    </row>
    <row r="423">
      <c r="A423" t="inlineStr">
        <is>
          <t>T1530</t>
        </is>
      </c>
      <c r="B423" s="2" t="n">
        <v>45902</v>
      </c>
      <c r="C423" t="inlineStr">
        <is>
          <t>SALE</t>
        </is>
      </c>
      <c r="D423" t="inlineStr">
        <is>
          <t>BOTTLE-1L</t>
        </is>
      </c>
      <c r="E423" t="n">
        <v>8</v>
      </c>
      <c r="G423" t="n">
        <v>18</v>
      </c>
    </row>
    <row r="424">
      <c r="A424" t="inlineStr">
        <is>
          <t>T1532</t>
        </is>
      </c>
      <c r="B424" s="2" t="n">
        <v>45902</v>
      </c>
      <c r="C424" t="inlineStr">
        <is>
          <t>SALE</t>
        </is>
      </c>
      <c r="D424" t="inlineStr">
        <is>
          <t>CHAIR-FLD</t>
        </is>
      </c>
      <c r="E424" t="n">
        <v>2</v>
      </c>
      <c r="G424" t="n">
        <v>41.65</v>
      </c>
    </row>
    <row r="425">
      <c r="A425" t="inlineStr">
        <is>
          <t>T1532</t>
        </is>
      </c>
      <c r="B425" s="2" t="n">
        <v>45902</v>
      </c>
      <c r="C425" t="inlineStr">
        <is>
          <t>SALE</t>
        </is>
      </c>
      <c r="D425" t="inlineStr">
        <is>
          <t>CHAIR-FLD</t>
        </is>
      </c>
      <c r="E425" t="n">
        <v>2</v>
      </c>
      <c r="G425" t="n">
        <v>41.65</v>
      </c>
    </row>
    <row r="426">
      <c r="A426" t="inlineStr">
        <is>
          <t>T1533</t>
        </is>
      </c>
      <c r="B426" s="2" t="n">
        <v>45902</v>
      </c>
      <c r="C426" t="inlineStr">
        <is>
          <t>RECEIPT</t>
        </is>
      </c>
      <c r="D426" t="inlineStr">
        <is>
          <t>BOTTLE-1L</t>
        </is>
      </c>
      <c r="E426" t="n">
        <v>75</v>
      </c>
      <c r="F426" t="n">
        <v>7.4</v>
      </c>
    </row>
    <row r="427">
      <c r="A427" t="inlineStr">
        <is>
          <t>T1534</t>
        </is>
      </c>
      <c r="B427" s="2" t="n">
        <v>45903</v>
      </c>
      <c r="C427" t="inlineStr">
        <is>
          <t>SALE</t>
        </is>
      </c>
      <c r="D427" t="inlineStr">
        <is>
          <t>PAD-FOAM</t>
        </is>
      </c>
      <c r="E427" t="n">
        <v>4</v>
      </c>
      <c r="G427" t="n">
        <v>24</v>
      </c>
    </row>
    <row r="428">
      <c r="A428" t="inlineStr">
        <is>
          <t>T1535</t>
        </is>
      </c>
      <c r="B428" s="2" t="n">
        <v>45903</v>
      </c>
      <c r="C428" t="inlineStr">
        <is>
          <t>SALE</t>
        </is>
      </c>
      <c r="D428" t="inlineStr">
        <is>
          <t>STOVE-GAS</t>
        </is>
      </c>
      <c r="E428" t="n">
        <v>2</v>
      </c>
      <c r="G428" t="n">
        <v>53.1</v>
      </c>
    </row>
    <row r="429">
      <c r="A429" t="inlineStr">
        <is>
          <t>T1536</t>
        </is>
      </c>
      <c r="B429" s="2" t="n">
        <v>45903</v>
      </c>
      <c r="C429" t="inlineStr">
        <is>
          <t>SALE</t>
        </is>
      </c>
      <c r="D429" t="inlineStr">
        <is>
          <t>LAMP-LED</t>
        </is>
      </c>
      <c r="E429" t="n">
        <v>2</v>
      </c>
      <c r="G429" t="n">
        <v>29</v>
      </c>
    </row>
    <row r="430">
      <c r="A430" t="inlineStr">
        <is>
          <t>T1537</t>
        </is>
      </c>
      <c r="B430" s="2" t="n">
        <v>45903</v>
      </c>
      <c r="C430" t="inlineStr">
        <is>
          <t>SALE</t>
        </is>
      </c>
      <c r="D430" t="inlineStr">
        <is>
          <t>PACK-35</t>
        </is>
      </c>
      <c r="E430" t="n">
        <v>1</v>
      </c>
      <c r="G430" t="n">
        <v>79</v>
      </c>
    </row>
    <row r="431">
      <c r="A431" t="inlineStr">
        <is>
          <t>T1539</t>
        </is>
      </c>
      <c r="B431" s="2" t="n">
        <v>45903</v>
      </c>
      <c r="C431" t="inlineStr">
        <is>
          <t>SALE</t>
        </is>
      </c>
      <c r="D431" t="inlineStr">
        <is>
          <t>bottle-1l</t>
        </is>
      </c>
      <c r="E431" t="n">
        <v>4</v>
      </c>
      <c r="G431" t="n">
        <v>16.2</v>
      </c>
    </row>
    <row r="432">
      <c r="A432" t="inlineStr">
        <is>
          <t>T1541</t>
        </is>
      </c>
      <c r="B432" s="2" t="n">
        <v>45903</v>
      </c>
      <c r="C432" t="inlineStr">
        <is>
          <t>RECEIPT</t>
        </is>
      </c>
      <c r="D432" t="inlineStr">
        <is>
          <t>TENT-2P</t>
        </is>
      </c>
      <c r="E432" t="n">
        <v>20</v>
      </c>
      <c r="F432" t="n">
        <v>98.84</v>
      </c>
    </row>
    <row r="433">
      <c r="A433" t="inlineStr">
        <is>
          <t>T1542</t>
        </is>
      </c>
      <c r="B433" s="2" t="n">
        <v>45903</v>
      </c>
      <c r="C433" t="inlineStr">
        <is>
          <t>RECEIPT</t>
        </is>
      </c>
      <c r="D433" t="inlineStr">
        <is>
          <t>CHAIR-FLD</t>
        </is>
      </c>
      <c r="E433" t="n">
        <v>22</v>
      </c>
      <c r="F433" t="n">
        <v>24.19</v>
      </c>
    </row>
    <row r="434">
      <c r="A434" t="inlineStr">
        <is>
          <t>T1544</t>
        </is>
      </c>
      <c r="B434" s="2" t="n">
        <v>45904</v>
      </c>
      <c r="C434" t="inlineStr">
        <is>
          <t>SALE</t>
        </is>
      </c>
      <c r="D434" t="inlineStr">
        <is>
          <t>PAD-FOAM</t>
        </is>
      </c>
      <c r="E434" t="n">
        <v>4</v>
      </c>
      <c r="G434" t="n">
        <v>24</v>
      </c>
    </row>
    <row r="435">
      <c r="A435" t="inlineStr">
        <is>
          <t>T1545</t>
        </is>
      </c>
      <c r="B435" s="2" t="n">
        <v>45904</v>
      </c>
      <c r="C435" t="inlineStr">
        <is>
          <t>SALE</t>
        </is>
      </c>
      <c r="D435" t="inlineStr">
        <is>
          <t>STOVE-GAS</t>
        </is>
      </c>
      <c r="E435" t="n">
        <v>4</v>
      </c>
      <c r="G435" t="n">
        <v>59</v>
      </c>
    </row>
    <row r="436">
      <c r="A436" t="inlineStr">
        <is>
          <t>T1547</t>
        </is>
      </c>
      <c r="B436" s="2" t="n">
        <v>45904</v>
      </c>
      <c r="C436" t="inlineStr">
        <is>
          <t>SALE</t>
        </is>
      </c>
      <c r="D436" t="inlineStr">
        <is>
          <t>PACK-35</t>
        </is>
      </c>
      <c r="E436" t="n">
        <v>1</v>
      </c>
      <c r="G436" t="n">
        <v>79</v>
      </c>
    </row>
    <row r="437">
      <c r="A437" t="inlineStr">
        <is>
          <t>T1548</t>
        </is>
      </c>
      <c r="B437" s="2" t="n">
        <v>45904</v>
      </c>
      <c r="C437" t="inlineStr">
        <is>
          <t>SALE</t>
        </is>
      </c>
      <c r="D437" t="inlineStr">
        <is>
          <t>PACK-65</t>
        </is>
      </c>
      <c r="E437" t="n">
        <v>2</v>
      </c>
      <c r="G437" t="n">
        <v>197.1</v>
      </c>
    </row>
    <row r="438">
      <c r="A438" t="inlineStr">
        <is>
          <t>T1550</t>
        </is>
      </c>
      <c r="B438" s="2" t="n">
        <v>45904</v>
      </c>
      <c r="C438" t="inlineStr">
        <is>
          <t>SALE</t>
        </is>
      </c>
      <c r="D438" t="inlineStr">
        <is>
          <t>CHAIR-FLD</t>
        </is>
      </c>
      <c r="E438" t="n">
        <v>1</v>
      </c>
      <c r="G438" t="n">
        <v>44.1</v>
      </c>
    </row>
    <row r="439">
      <c r="A439" t="inlineStr">
        <is>
          <t>T1551</t>
        </is>
      </c>
      <c r="B439" s="2" t="n">
        <v>45905</v>
      </c>
      <c r="C439" t="inlineStr">
        <is>
          <t>SALE</t>
        </is>
      </c>
      <c r="D439" t="inlineStr">
        <is>
          <t>BAG-SUM</t>
        </is>
      </c>
      <c r="E439" t="n">
        <v>1</v>
      </c>
      <c r="G439" t="n">
        <v>58.65</v>
      </c>
    </row>
    <row r="440">
      <c r="A440" t="inlineStr">
        <is>
          <t>T1552</t>
        </is>
      </c>
      <c r="B440" s="2" t="n">
        <v>45905</v>
      </c>
      <c r="C440" t="inlineStr">
        <is>
          <t>SALE</t>
        </is>
      </c>
      <c r="D440" t="inlineStr">
        <is>
          <t>PAD-FOAM</t>
        </is>
      </c>
      <c r="E440" t="n">
        <v>1</v>
      </c>
      <c r="G440" t="n">
        <v>24</v>
      </c>
    </row>
    <row r="441">
      <c r="A441" t="inlineStr">
        <is>
          <t>T1554</t>
        </is>
      </c>
      <c r="B441" s="2" t="n">
        <v>45905</v>
      </c>
      <c r="C441" t="inlineStr">
        <is>
          <t>SALE</t>
        </is>
      </c>
      <c r="D441" t="inlineStr">
        <is>
          <t>BOTTLE-1L</t>
        </is>
      </c>
      <c r="E441" t="n">
        <v>4</v>
      </c>
      <c r="G441" t="n">
        <v>18</v>
      </c>
    </row>
    <row r="442">
      <c r="A442" t="inlineStr">
        <is>
          <t>T1555</t>
        </is>
      </c>
      <c r="B442" s="2" t="n">
        <v>45905</v>
      </c>
      <c r="C442" t="inlineStr">
        <is>
          <t>EXPENSE</t>
        </is>
      </c>
      <c r="I442" t="inlineStr">
        <is>
          <t>Shipping</t>
        </is>
      </c>
      <c r="J442" t="n">
        <v>325.37</v>
      </c>
    </row>
    <row r="443">
      <c r="A443" t="inlineStr">
        <is>
          <t>T1556</t>
        </is>
      </c>
      <c r="B443" s="2" t="n">
        <v>45906</v>
      </c>
      <c r="C443" t="inlineStr">
        <is>
          <t>SALE</t>
        </is>
      </c>
      <c r="D443" t="inlineStr">
        <is>
          <t>TENT-2P</t>
        </is>
      </c>
      <c r="E443" t="n">
        <v>4</v>
      </c>
      <c r="G443" t="n">
        <v>189</v>
      </c>
    </row>
    <row r="444">
      <c r="A444" t="inlineStr">
        <is>
          <t>T1557</t>
        </is>
      </c>
      <c r="B444" s="2" t="n">
        <v>45906</v>
      </c>
      <c r="C444" t="inlineStr">
        <is>
          <t>SALE</t>
        </is>
      </c>
      <c r="D444" t="inlineStr">
        <is>
          <t>BAG-SUM</t>
        </is>
      </c>
      <c r="E444" t="n">
        <v>4</v>
      </c>
      <c r="G444" t="n">
        <v>58.65</v>
      </c>
    </row>
    <row r="445">
      <c r="A445" t="inlineStr">
        <is>
          <t>T1558</t>
        </is>
      </c>
      <c r="B445" s="2" t="n">
        <v>45906</v>
      </c>
      <c r="C445" t="inlineStr">
        <is>
          <t>SALE</t>
        </is>
      </c>
      <c r="D445" t="inlineStr">
        <is>
          <t>PAD-FOAM</t>
        </is>
      </c>
      <c r="E445" t="n">
        <v>3</v>
      </c>
      <c r="G445" t="n">
        <v>24</v>
      </c>
    </row>
    <row r="446">
      <c r="A446" t="inlineStr">
        <is>
          <t>T1559</t>
        </is>
      </c>
      <c r="B446" s="2" t="n">
        <v>45906</v>
      </c>
      <c r="C446" t="inlineStr">
        <is>
          <t>SALE</t>
        </is>
      </c>
      <c r="D446" t="inlineStr">
        <is>
          <t>LAMP-LED</t>
        </is>
      </c>
      <c r="E446" t="n">
        <v>6</v>
      </c>
      <c r="G446" t="n">
        <v>26.1</v>
      </c>
    </row>
    <row r="447">
      <c r="A447" t="inlineStr">
        <is>
          <t>T1560</t>
        </is>
      </c>
      <c r="B447" s="2" t="n">
        <v>45906</v>
      </c>
      <c r="C447" t="inlineStr">
        <is>
          <t>SALE</t>
        </is>
      </c>
      <c r="D447" t="inlineStr">
        <is>
          <t>BOTTLE-1L</t>
        </is>
      </c>
      <c r="E447" t="n">
        <v>4</v>
      </c>
      <c r="G447" t="n">
        <v>18</v>
      </c>
    </row>
    <row r="448">
      <c r="A448" t="inlineStr">
        <is>
          <t>T1561</t>
        </is>
      </c>
      <c r="B448" s="2" t="n">
        <v>45906</v>
      </c>
      <c r="C448" t="inlineStr">
        <is>
          <t>SALE</t>
        </is>
      </c>
      <c r="D448" t="inlineStr">
        <is>
          <t>CHAIR-FLD</t>
        </is>
      </c>
      <c r="E448" t="n">
        <v>1</v>
      </c>
      <c r="G448" t="n">
        <v>41.65</v>
      </c>
    </row>
    <row r="449">
      <c r="A449" t="inlineStr">
        <is>
          <t>T1562</t>
        </is>
      </c>
      <c r="B449" s="2" t="n">
        <v>45906</v>
      </c>
      <c r="C449" t="inlineStr">
        <is>
          <t>SALE</t>
        </is>
      </c>
      <c r="D449" t="inlineStr">
        <is>
          <t>FILTER-H2O</t>
        </is>
      </c>
      <c r="E449" t="n">
        <v>4</v>
      </c>
      <c r="G449" t="n">
        <v>89</v>
      </c>
    </row>
    <row r="450">
      <c r="A450" t="inlineStr">
        <is>
          <t>T1563</t>
        </is>
      </c>
      <c r="B450" s="2" t="n">
        <v>45907</v>
      </c>
      <c r="C450" t="inlineStr">
        <is>
          <t>SALE</t>
        </is>
      </c>
      <c r="D450" t="inlineStr">
        <is>
          <t>TENT-2P</t>
        </is>
      </c>
      <c r="E450" t="n">
        <v>1</v>
      </c>
      <c r="G450" t="n">
        <v>189</v>
      </c>
    </row>
    <row r="451">
      <c r="A451" t="inlineStr">
        <is>
          <t>T1565</t>
        </is>
      </c>
      <c r="B451" s="2" t="n">
        <v>45907</v>
      </c>
      <c r="C451" t="inlineStr">
        <is>
          <t>SALE</t>
        </is>
      </c>
      <c r="D451" t="inlineStr">
        <is>
          <t>BAG-WIN</t>
        </is>
      </c>
      <c r="E451" t="n">
        <v>2</v>
      </c>
      <c r="G451" t="n">
        <v>143.1</v>
      </c>
    </row>
    <row r="452">
      <c r="A452" t="inlineStr">
        <is>
          <t>T1566</t>
        </is>
      </c>
      <c r="B452" s="2" t="n">
        <v>45907</v>
      </c>
      <c r="C452" t="inlineStr">
        <is>
          <t>SALE</t>
        </is>
      </c>
      <c r="D452" t="inlineStr">
        <is>
          <t>LAMP-LED</t>
        </is>
      </c>
      <c r="E452" t="n">
        <v>4</v>
      </c>
      <c r="G452" t="n">
        <v>24.65</v>
      </c>
    </row>
    <row r="453">
      <c r="A453" t="inlineStr">
        <is>
          <t>T1568</t>
        </is>
      </c>
      <c r="B453" s="2" t="n">
        <v>45907</v>
      </c>
      <c r="C453" t="inlineStr">
        <is>
          <t>SALE</t>
        </is>
      </c>
      <c r="D453" t="inlineStr">
        <is>
          <t>PACK-35</t>
        </is>
      </c>
      <c r="E453" t="n">
        <v>1</v>
      </c>
      <c r="G453" t="n">
        <v>79</v>
      </c>
    </row>
    <row r="454">
      <c r="A454" t="inlineStr">
        <is>
          <t>T1569</t>
        </is>
      </c>
      <c r="B454" s="2" t="n">
        <v>45907</v>
      </c>
      <c r="C454" t="inlineStr">
        <is>
          <t>SALE</t>
        </is>
      </c>
      <c r="D454" t="inlineStr">
        <is>
          <t>BOTTLE-1L</t>
        </is>
      </c>
      <c r="E454" t="n">
        <v>8</v>
      </c>
      <c r="G454" t="n">
        <v>16.2</v>
      </c>
    </row>
    <row r="455">
      <c r="A455" t="inlineStr">
        <is>
          <t>T1570</t>
        </is>
      </c>
      <c r="B455" s="2" t="n">
        <v>45908</v>
      </c>
      <c r="C455" t="inlineStr">
        <is>
          <t>SALE</t>
        </is>
      </c>
      <c r="D455" t="inlineStr">
        <is>
          <t>TENT-2P</t>
        </is>
      </c>
      <c r="E455" t="n">
        <v>3</v>
      </c>
      <c r="G455" t="n">
        <v>160.65</v>
      </c>
    </row>
    <row r="456">
      <c r="A456" t="inlineStr">
        <is>
          <t>T1571</t>
        </is>
      </c>
      <c r="B456" s="2" t="n">
        <v>45908</v>
      </c>
      <c r="C456" t="inlineStr">
        <is>
          <t>SALE</t>
        </is>
      </c>
      <c r="D456" t="inlineStr">
        <is>
          <t>BAG-WIN</t>
        </is>
      </c>
      <c r="E456" t="n">
        <v>2</v>
      </c>
      <c r="G456" t="n">
        <v>135.15</v>
      </c>
    </row>
    <row r="457">
      <c r="A457" t="inlineStr">
        <is>
          <t>T1573</t>
        </is>
      </c>
      <c r="B457" s="2" t="n">
        <v>45908</v>
      </c>
      <c r="C457" t="inlineStr">
        <is>
          <t>SALE</t>
        </is>
      </c>
      <c r="D457" t="inlineStr">
        <is>
          <t>LAMP-LED</t>
        </is>
      </c>
      <c r="E457" t="n">
        <v>3</v>
      </c>
      <c r="G457" t="n">
        <v>29</v>
      </c>
    </row>
    <row r="458">
      <c r="A458" t="inlineStr">
        <is>
          <t>T1575</t>
        </is>
      </c>
      <c r="B458" s="2" t="n">
        <v>45908</v>
      </c>
      <c r="C458" t="inlineStr">
        <is>
          <t>SALE</t>
        </is>
      </c>
      <c r="D458" t="inlineStr">
        <is>
          <t>FILTER-H2O</t>
        </is>
      </c>
      <c r="E458" t="n">
        <v>1</v>
      </c>
      <c r="G458" t="n">
        <v>89</v>
      </c>
    </row>
    <row r="459">
      <c r="A459" t="inlineStr">
        <is>
          <t>T1577</t>
        </is>
      </c>
      <c r="B459" s="2" t="n">
        <v>45909</v>
      </c>
      <c r="C459" t="inlineStr">
        <is>
          <t>SALE</t>
        </is>
      </c>
      <c r="D459" t="inlineStr">
        <is>
          <t>TENT-2P</t>
        </is>
      </c>
      <c r="E459" t="n">
        <v>2</v>
      </c>
      <c r="G459" t="n">
        <v>189</v>
      </c>
    </row>
    <row r="460">
      <c r="A460" t="inlineStr">
        <is>
          <t>T1578</t>
        </is>
      </c>
      <c r="B460" s="2" t="n">
        <v>45909</v>
      </c>
      <c r="C460" t="inlineStr">
        <is>
          <t>SALE</t>
        </is>
      </c>
      <c r="D460" t="inlineStr">
        <is>
          <t>LAMP-LED</t>
        </is>
      </c>
      <c r="E460" t="n">
        <v>1</v>
      </c>
      <c r="G460" t="n">
        <v>26.1</v>
      </c>
    </row>
    <row r="461">
      <c r="A461" t="inlineStr">
        <is>
          <t>T1579</t>
        </is>
      </c>
      <c r="B461" s="2" t="n">
        <v>45909</v>
      </c>
      <c r="C461" t="inlineStr">
        <is>
          <t>SALE</t>
        </is>
      </c>
      <c r="D461" t="inlineStr">
        <is>
          <t>FILTER-H2O</t>
        </is>
      </c>
      <c r="E461" t="n">
        <v>2</v>
      </c>
      <c r="G461" t="n">
        <v>89</v>
      </c>
    </row>
    <row r="462">
      <c r="A462" t="inlineStr">
        <is>
          <t>T1580</t>
        </is>
      </c>
      <c r="B462" s="2" t="n">
        <v>45909</v>
      </c>
      <c r="C462" t="inlineStr">
        <is>
          <t>RETURN</t>
        </is>
      </c>
      <c r="D462" t="inlineStr">
        <is>
          <t>CHAIR-FLD</t>
        </is>
      </c>
      <c r="E462" t="n">
        <v>1</v>
      </c>
      <c r="G462" t="n">
        <v>49</v>
      </c>
      <c r="H462" t="inlineStr">
        <is>
          <t>resellable</t>
        </is>
      </c>
    </row>
    <row r="463">
      <c r="A463" t="inlineStr">
        <is>
          <t>T1581</t>
        </is>
      </c>
      <c r="B463" s="2" t="n">
        <v>45910</v>
      </c>
      <c r="C463" t="inlineStr">
        <is>
          <t>SALE</t>
        </is>
      </c>
      <c r="D463" t="inlineStr">
        <is>
          <t>TENT-4P</t>
        </is>
      </c>
      <c r="E463" t="n">
        <v>1</v>
      </c>
      <c r="G463" t="n">
        <v>269.1</v>
      </c>
    </row>
    <row r="464">
      <c r="A464" t="inlineStr">
        <is>
          <t>T1582</t>
        </is>
      </c>
      <c r="B464" s="2" t="n">
        <v>45910</v>
      </c>
      <c r="C464" t="inlineStr">
        <is>
          <t>SALE</t>
        </is>
      </c>
      <c r="D464" t="inlineStr">
        <is>
          <t xml:space="preserve"> Stove-Gas</t>
        </is>
      </c>
      <c r="E464" t="n">
        <v>2</v>
      </c>
      <c r="G464" t="n">
        <v>50.15</v>
      </c>
    </row>
    <row r="465">
      <c r="A465" t="inlineStr">
        <is>
          <t>T1583</t>
        </is>
      </c>
      <c r="B465" s="2" t="n">
        <v>45910</v>
      </c>
      <c r="C465" t="inlineStr">
        <is>
          <t>SALE</t>
        </is>
      </c>
      <c r="D465" t="inlineStr">
        <is>
          <t>LAMP-LED</t>
        </is>
      </c>
      <c r="E465" t="n">
        <v>2</v>
      </c>
      <c r="G465" t="n">
        <v>29</v>
      </c>
    </row>
    <row r="466">
      <c r="A466" t="inlineStr">
        <is>
          <t>T1584</t>
        </is>
      </c>
      <c r="B466" s="2" t="n">
        <v>45910</v>
      </c>
      <c r="C466" t="inlineStr">
        <is>
          <t>SALE</t>
        </is>
      </c>
      <c r="D466" t="inlineStr">
        <is>
          <t>PACK-35</t>
        </is>
      </c>
      <c r="E466" t="n">
        <v>1</v>
      </c>
      <c r="G466" t="n">
        <v>79</v>
      </c>
    </row>
    <row r="467">
      <c r="A467" t="inlineStr">
        <is>
          <t>T1585</t>
        </is>
      </c>
      <c r="B467" s="2" t="n">
        <v>45910</v>
      </c>
      <c r="C467" t="inlineStr">
        <is>
          <t>SALE</t>
        </is>
      </c>
      <c r="D467" t="inlineStr">
        <is>
          <t>BOTTLE-1L</t>
        </is>
      </c>
      <c r="E467" t="n">
        <v>4</v>
      </c>
      <c r="G467" t="n">
        <v>16.2</v>
      </c>
    </row>
    <row r="468">
      <c r="A468" t="inlineStr">
        <is>
          <t>T1587</t>
        </is>
      </c>
      <c r="B468" s="2" t="n">
        <v>45910</v>
      </c>
      <c r="C468" t="inlineStr">
        <is>
          <t>SALE</t>
        </is>
      </c>
      <c r="D468" t="inlineStr">
        <is>
          <t>CHAIR-FLD</t>
        </is>
      </c>
      <c r="E468" t="n">
        <v>1</v>
      </c>
      <c r="G468" t="n">
        <v>44.1</v>
      </c>
    </row>
    <row r="469">
      <c r="A469" t="inlineStr">
        <is>
          <t>T1588</t>
        </is>
      </c>
      <c r="B469" s="2" t="n">
        <v>45910</v>
      </c>
      <c r="C469" t="inlineStr">
        <is>
          <t>RECEIPT</t>
        </is>
      </c>
      <c r="D469" t="inlineStr">
        <is>
          <t>PACK-65</t>
        </is>
      </c>
      <c r="E469" t="n">
        <v>10</v>
      </c>
      <c r="F469" t="n">
        <v>102.82</v>
      </c>
    </row>
    <row r="470">
      <c r="A470" t="inlineStr">
        <is>
          <t>T1589</t>
        </is>
      </c>
      <c r="B470" s="2" t="n">
        <v>45911</v>
      </c>
      <c r="C470" t="inlineStr">
        <is>
          <t>SALE</t>
        </is>
      </c>
      <c r="D470" t="inlineStr">
        <is>
          <t>BAG-SUM</t>
        </is>
      </c>
      <c r="E470" t="n">
        <v>2</v>
      </c>
      <c r="G470" t="n">
        <v>62.1</v>
      </c>
    </row>
    <row r="471">
      <c r="A471" t="inlineStr">
        <is>
          <t>T1590</t>
        </is>
      </c>
      <c r="B471" s="2" t="n">
        <v>45911</v>
      </c>
      <c r="C471" t="inlineStr">
        <is>
          <t>SALE</t>
        </is>
      </c>
      <c r="D471" t="inlineStr">
        <is>
          <t>FILTER-H2O</t>
        </is>
      </c>
      <c r="E471" t="n">
        <v>1</v>
      </c>
      <c r="G471" t="n">
        <v>89</v>
      </c>
    </row>
    <row r="472">
      <c r="A472" t="inlineStr">
        <is>
          <t>T1592</t>
        </is>
      </c>
      <c r="B472" s="2" t="n">
        <v>45911</v>
      </c>
      <c r="C472" t="inlineStr">
        <is>
          <t>RECEIPT</t>
        </is>
      </c>
      <c r="D472" t="inlineStr">
        <is>
          <t>BAG-WIN</t>
        </is>
      </c>
      <c r="E472" t="n">
        <v>15</v>
      </c>
      <c r="F472" t="n">
        <v>74</v>
      </c>
    </row>
    <row r="473">
      <c r="A473" t="inlineStr">
        <is>
          <t>T1593</t>
        </is>
      </c>
      <c r="B473" s="2" t="n">
        <v>45911</v>
      </c>
      <c r="C473" t="inlineStr">
        <is>
          <t>WRITEOFF</t>
        </is>
      </c>
      <c r="D473" t="inlineStr">
        <is>
          <t>PACK-65</t>
        </is>
      </c>
      <c r="E473" t="n">
        <v>2</v>
      </c>
      <c r="K473" t="inlineStr">
        <is>
          <t>water damage</t>
        </is>
      </c>
    </row>
    <row r="474">
      <c r="A474" t="inlineStr">
        <is>
          <t>T1594</t>
        </is>
      </c>
      <c r="B474" s="2" t="n">
        <v>45912</v>
      </c>
      <c r="C474" t="inlineStr">
        <is>
          <t>SALE</t>
        </is>
      </c>
      <c r="D474" t="inlineStr">
        <is>
          <t>TENT-4P</t>
        </is>
      </c>
      <c r="E474" t="n">
        <v>2</v>
      </c>
      <c r="G474" t="n">
        <v>299</v>
      </c>
    </row>
    <row r="475">
      <c r="A475" t="inlineStr">
        <is>
          <t>T1596</t>
        </is>
      </c>
      <c r="B475" s="2" t="n">
        <v>45912</v>
      </c>
      <c r="C475" t="inlineStr">
        <is>
          <t>SALE</t>
        </is>
      </c>
      <c r="D475" t="inlineStr">
        <is>
          <t>PAD-FOAM</t>
        </is>
      </c>
      <c r="E475" t="n">
        <v>2</v>
      </c>
      <c r="G475" t="n">
        <v>20.4</v>
      </c>
    </row>
    <row r="476">
      <c r="A476" t="inlineStr">
        <is>
          <t>T1597</t>
        </is>
      </c>
      <c r="B476" s="2" t="n">
        <v>45912</v>
      </c>
      <c r="C476" t="inlineStr">
        <is>
          <t>SALE</t>
        </is>
      </c>
      <c r="D476" t="inlineStr">
        <is>
          <t>LAMP-LED</t>
        </is>
      </c>
      <c r="E476" t="n">
        <v>6</v>
      </c>
      <c r="G476" t="n">
        <v>29</v>
      </c>
    </row>
    <row r="477">
      <c r="A477" t="inlineStr">
        <is>
          <t>T1598</t>
        </is>
      </c>
      <c r="B477" s="2" t="n">
        <v>45912</v>
      </c>
      <c r="C477" t="inlineStr">
        <is>
          <t>SALE</t>
        </is>
      </c>
      <c r="D477" t="inlineStr">
        <is>
          <t>PACK-35</t>
        </is>
      </c>
      <c r="E477" t="n">
        <v>2</v>
      </c>
      <c r="G477" t="n">
        <v>71.09999999999999</v>
      </c>
    </row>
    <row r="478">
      <c r="A478" t="inlineStr">
        <is>
          <t>T1599</t>
        </is>
      </c>
      <c r="B478" s="2" t="n">
        <v>45912</v>
      </c>
      <c r="C478" t="inlineStr">
        <is>
          <t>SALE</t>
        </is>
      </c>
      <c r="D478" t="inlineStr">
        <is>
          <t>BOTTLE-1L</t>
        </is>
      </c>
      <c r="E478" t="n">
        <v>8</v>
      </c>
      <c r="G478" t="n">
        <v>16.2</v>
      </c>
    </row>
    <row r="479">
      <c r="A479" t="inlineStr">
        <is>
          <t>T1600</t>
        </is>
      </c>
      <c r="B479" s="2" t="n">
        <v>45912</v>
      </c>
      <c r="C479" t="inlineStr">
        <is>
          <t>EXPENSE</t>
        </is>
      </c>
      <c r="I479" t="inlineStr">
        <is>
          <t>Shipping</t>
        </is>
      </c>
      <c r="J479" t="n">
        <v>371.83</v>
      </c>
    </row>
    <row r="480">
      <c r="A480" t="inlineStr">
        <is>
          <t>T1601</t>
        </is>
      </c>
      <c r="B480" s="2" t="n">
        <v>45913</v>
      </c>
      <c r="C480" t="inlineStr">
        <is>
          <t>SALE</t>
        </is>
      </c>
      <c r="D480" t="inlineStr">
        <is>
          <t>TENT-4P</t>
        </is>
      </c>
      <c r="E480" t="n">
        <v>1</v>
      </c>
      <c r="G480" t="n">
        <v>254.15</v>
      </c>
    </row>
    <row r="481">
      <c r="A481" t="inlineStr">
        <is>
          <t>T1602</t>
        </is>
      </c>
      <c r="B481" s="2" t="n">
        <v>45913</v>
      </c>
      <c r="C481" t="inlineStr">
        <is>
          <t>SALE</t>
        </is>
      </c>
      <c r="D481" t="inlineStr">
        <is>
          <t>BAG-WIN</t>
        </is>
      </c>
      <c r="E481" t="n">
        <v>2</v>
      </c>
      <c r="G481" t="n">
        <v>159</v>
      </c>
    </row>
    <row r="482">
      <c r="A482" t="inlineStr">
        <is>
          <t>T1603</t>
        </is>
      </c>
      <c r="B482" s="2" t="n">
        <v>45913</v>
      </c>
      <c r="C482" t="inlineStr">
        <is>
          <t>SALE</t>
        </is>
      </c>
      <c r="D482" t="inlineStr">
        <is>
          <t>PAD-FOAM</t>
        </is>
      </c>
      <c r="E482" t="n">
        <v>2</v>
      </c>
      <c r="G482" t="n">
        <v>24</v>
      </c>
    </row>
    <row r="483">
      <c r="A483" t="inlineStr">
        <is>
          <t>T1604</t>
        </is>
      </c>
      <c r="B483" s="2" t="n">
        <v>45913</v>
      </c>
      <c r="C483" t="inlineStr">
        <is>
          <t>SALE</t>
        </is>
      </c>
      <c r="D483" t="inlineStr">
        <is>
          <t>LAMP-LED</t>
        </is>
      </c>
      <c r="E483" t="n">
        <v>4</v>
      </c>
      <c r="G483" t="n">
        <v>24.65</v>
      </c>
    </row>
    <row r="484">
      <c r="A484" t="inlineStr">
        <is>
          <t>T1606</t>
        </is>
      </c>
      <c r="B484" s="2" t="n">
        <v>45913</v>
      </c>
      <c r="C484" t="inlineStr">
        <is>
          <t>SALE</t>
        </is>
      </c>
      <c r="D484" t="inlineStr">
        <is>
          <t>PACK-35</t>
        </is>
      </c>
      <c r="E484" t="n">
        <v>1</v>
      </c>
      <c r="G484" t="n">
        <v>79</v>
      </c>
    </row>
    <row r="485">
      <c r="A485" t="inlineStr">
        <is>
          <t>T1607</t>
        </is>
      </c>
      <c r="B485" s="2" t="n">
        <v>45913</v>
      </c>
      <c r="C485" t="inlineStr">
        <is>
          <t>SALE</t>
        </is>
      </c>
      <c r="D485" t="inlineStr">
        <is>
          <t>BOTTLE-1L</t>
        </is>
      </c>
      <c r="E485" t="n">
        <v>4</v>
      </c>
      <c r="G485" t="n">
        <v>18</v>
      </c>
    </row>
    <row r="486">
      <c r="A486" t="inlineStr">
        <is>
          <t>T1608</t>
        </is>
      </c>
      <c r="B486" s="2" t="n">
        <v>45913</v>
      </c>
      <c r="C486" t="inlineStr">
        <is>
          <t>SALE</t>
        </is>
      </c>
      <c r="D486" t="inlineStr">
        <is>
          <t>CHAIR-FLD</t>
        </is>
      </c>
      <c r="E486" t="n">
        <v>1</v>
      </c>
      <c r="G486" t="n">
        <v>49</v>
      </c>
    </row>
    <row r="487">
      <c r="A487" t="inlineStr">
        <is>
          <t>T1609</t>
        </is>
      </c>
      <c r="B487" s="2" t="n">
        <v>45914</v>
      </c>
      <c r="C487" t="inlineStr">
        <is>
          <t>SALE</t>
        </is>
      </c>
      <c r="D487" t="inlineStr">
        <is>
          <t>PAD-FOAM</t>
        </is>
      </c>
      <c r="E487" t="n">
        <v>3</v>
      </c>
      <c r="G487" t="n">
        <v>24</v>
      </c>
    </row>
    <row r="488">
      <c r="A488" t="inlineStr">
        <is>
          <t>T1610</t>
        </is>
      </c>
      <c r="B488" s="2" t="n">
        <v>45914</v>
      </c>
      <c r="C488" t="inlineStr">
        <is>
          <t>SALE</t>
        </is>
      </c>
      <c r="D488" t="inlineStr">
        <is>
          <t>LAMP-LED</t>
        </is>
      </c>
      <c r="E488" t="n">
        <v>4</v>
      </c>
      <c r="G488" t="n">
        <v>29</v>
      </c>
    </row>
    <row r="489">
      <c r="A489" t="inlineStr">
        <is>
          <t>T1612</t>
        </is>
      </c>
      <c r="B489" s="2" t="n">
        <v>45914</v>
      </c>
      <c r="C489" t="inlineStr">
        <is>
          <t>SALE</t>
        </is>
      </c>
      <c r="D489" t="inlineStr">
        <is>
          <t>PACK-65</t>
        </is>
      </c>
      <c r="E489" t="n">
        <v>1</v>
      </c>
      <c r="G489" t="n">
        <v>219</v>
      </c>
    </row>
    <row r="490">
      <c r="A490" t="inlineStr">
        <is>
          <t>T1613</t>
        </is>
      </c>
      <c r="B490" s="2" t="n">
        <v>45914</v>
      </c>
      <c r="C490" t="inlineStr">
        <is>
          <t>SALE</t>
        </is>
      </c>
      <c r="D490" t="inlineStr">
        <is>
          <t>BOTTLE-1L</t>
        </is>
      </c>
      <c r="E490" t="n">
        <v>8</v>
      </c>
      <c r="G490" t="n">
        <v>18</v>
      </c>
    </row>
    <row r="491">
      <c r="A491" t="inlineStr">
        <is>
          <t>T1614</t>
        </is>
      </c>
      <c r="B491" s="2" t="n">
        <v>45915</v>
      </c>
      <c r="C491" t="inlineStr">
        <is>
          <t>SALE</t>
        </is>
      </c>
      <c r="D491" t="inlineStr">
        <is>
          <t>TENT-2P</t>
        </is>
      </c>
      <c r="E491" t="n">
        <v>4</v>
      </c>
      <c r="G491" t="n">
        <v>189</v>
      </c>
    </row>
    <row r="492">
      <c r="A492" t="inlineStr">
        <is>
          <t>T1615</t>
        </is>
      </c>
      <c r="B492" s="2" t="n">
        <v>45915</v>
      </c>
      <c r="C492" t="inlineStr">
        <is>
          <t>SALE</t>
        </is>
      </c>
      <c r="D492" t="inlineStr">
        <is>
          <t>BAG-WIN</t>
        </is>
      </c>
      <c r="E492" t="n">
        <v>1</v>
      </c>
      <c r="G492" t="n">
        <v>143.1</v>
      </c>
    </row>
    <row r="493">
      <c r="A493" t="inlineStr">
        <is>
          <t>T1616</t>
        </is>
      </c>
      <c r="B493" s="2" t="n">
        <v>45915</v>
      </c>
      <c r="C493" t="inlineStr">
        <is>
          <t>SALE</t>
        </is>
      </c>
      <c r="D493" t="inlineStr">
        <is>
          <t>LAMP-LED</t>
        </is>
      </c>
      <c r="E493" t="n">
        <v>3</v>
      </c>
      <c r="G493" t="n">
        <v>26.1</v>
      </c>
    </row>
    <row r="494">
      <c r="A494" t="inlineStr">
        <is>
          <t>T1617</t>
        </is>
      </c>
      <c r="B494" s="2" t="n">
        <v>45915</v>
      </c>
      <c r="C494" t="inlineStr">
        <is>
          <t>SALE</t>
        </is>
      </c>
      <c r="D494" t="inlineStr">
        <is>
          <t>BOTTLE-1L</t>
        </is>
      </c>
      <c r="E494" t="n">
        <v>4</v>
      </c>
      <c r="G494" t="n">
        <v>15.3</v>
      </c>
    </row>
    <row r="495">
      <c r="A495" t="inlineStr">
        <is>
          <t>T1618</t>
        </is>
      </c>
      <c r="B495" s="2" t="n">
        <v>45915</v>
      </c>
      <c r="C495" t="inlineStr">
        <is>
          <t>SALE</t>
        </is>
      </c>
      <c r="D495" t="inlineStr">
        <is>
          <t xml:space="preserve"> Filter-H2O</t>
        </is>
      </c>
      <c r="E495" t="n">
        <v>4</v>
      </c>
      <c r="G495" t="n">
        <v>80.09999999999999</v>
      </c>
    </row>
    <row r="496">
      <c r="A496" t="inlineStr">
        <is>
          <t>T1620</t>
        </is>
      </c>
      <c r="B496" s="2" t="n">
        <v>45915</v>
      </c>
      <c r="C496" t="inlineStr">
        <is>
          <t>EXPENSE</t>
        </is>
      </c>
      <c r="I496" t="inlineStr">
        <is>
          <t>Wages</t>
        </is>
      </c>
      <c r="J496" t="n">
        <v>3958.82</v>
      </c>
    </row>
    <row r="497">
      <c r="A497" t="inlineStr">
        <is>
          <t>T1621</t>
        </is>
      </c>
      <c r="B497" s="2" t="n">
        <v>45916</v>
      </c>
      <c r="C497" t="inlineStr">
        <is>
          <t>SALE</t>
        </is>
      </c>
      <c r="D497" t="inlineStr">
        <is>
          <t>TENT-2P</t>
        </is>
      </c>
      <c r="E497" t="n">
        <v>1</v>
      </c>
      <c r="G497" t="n">
        <v>189</v>
      </c>
    </row>
    <row r="498">
      <c r="A498" t="inlineStr">
        <is>
          <t>T1622</t>
        </is>
      </c>
      <c r="B498" s="2" t="n">
        <v>45916</v>
      </c>
      <c r="C498" t="inlineStr">
        <is>
          <t>SALE</t>
        </is>
      </c>
      <c r="D498" t="inlineStr">
        <is>
          <t>STOVE-GAS</t>
        </is>
      </c>
      <c r="E498" t="n">
        <v>2</v>
      </c>
      <c r="G498" t="n">
        <v>50.15</v>
      </c>
    </row>
    <row r="499">
      <c r="A499" t="inlineStr">
        <is>
          <t>T1623</t>
        </is>
      </c>
      <c r="B499" s="2" t="n">
        <v>45916</v>
      </c>
      <c r="C499" t="inlineStr">
        <is>
          <t>SALE</t>
        </is>
      </c>
      <c r="D499" t="inlineStr">
        <is>
          <t>bottle-1l</t>
        </is>
      </c>
      <c r="E499" t="n">
        <v>4</v>
      </c>
      <c r="G499" t="n">
        <v>15.3</v>
      </c>
    </row>
    <row r="500">
      <c r="A500" t="inlineStr">
        <is>
          <t>T1624</t>
        </is>
      </c>
      <c r="B500" s="2" t="n">
        <v>45916</v>
      </c>
      <c r="C500" t="inlineStr">
        <is>
          <t>SALE</t>
        </is>
      </c>
      <c r="D500" t="inlineStr">
        <is>
          <t>FILTER-H2O</t>
        </is>
      </c>
      <c r="E500" t="n">
        <v>1</v>
      </c>
      <c r="G500" t="n">
        <v>89</v>
      </c>
    </row>
    <row r="501">
      <c r="A501" t="inlineStr">
        <is>
          <t>T1625</t>
        </is>
      </c>
      <c r="B501" s="2" t="n">
        <v>45916</v>
      </c>
      <c r="C501" t="inlineStr">
        <is>
          <t>RECEIPT</t>
        </is>
      </c>
      <c r="D501" t="inlineStr">
        <is>
          <t>LAMP-LED</t>
        </is>
      </c>
      <c r="E501" t="n">
        <v>50</v>
      </c>
      <c r="F501" t="n">
        <v>13.28</v>
      </c>
    </row>
    <row r="502">
      <c r="A502" t="inlineStr">
        <is>
          <t>T1626</t>
        </is>
      </c>
      <c r="B502" s="2" t="n">
        <v>45916</v>
      </c>
      <c r="C502" t="inlineStr">
        <is>
          <t>RECEIPT</t>
        </is>
      </c>
      <c r="D502" t="inlineStr">
        <is>
          <t>PACK-35</t>
        </is>
      </c>
      <c r="E502" t="n">
        <v>40</v>
      </c>
      <c r="F502" t="n">
        <v>38.88</v>
      </c>
    </row>
    <row r="503">
      <c r="A503" t="inlineStr">
        <is>
          <t>T1628</t>
        </is>
      </c>
      <c r="B503" s="2" t="n">
        <v>45916</v>
      </c>
      <c r="C503" t="inlineStr">
        <is>
          <t>RECEIPT</t>
        </is>
      </c>
      <c r="D503" t="inlineStr">
        <is>
          <t>FILTER-H2O</t>
        </is>
      </c>
      <c r="E503" t="n">
        <v>12</v>
      </c>
      <c r="F503" t="n">
        <v>42.64</v>
      </c>
    </row>
    <row r="504">
      <c r="A504" t="inlineStr">
        <is>
          <t>T1629</t>
        </is>
      </c>
      <c r="B504" s="2" t="n">
        <v>45917</v>
      </c>
      <c r="C504" t="inlineStr">
        <is>
          <t>SALE</t>
        </is>
      </c>
      <c r="D504" t="inlineStr">
        <is>
          <t xml:space="preserve">TENT-2P </t>
        </is>
      </c>
      <c r="E504" t="n">
        <v>2</v>
      </c>
      <c r="G504" t="n">
        <v>189</v>
      </c>
    </row>
    <row r="505">
      <c r="A505" t="inlineStr">
        <is>
          <t>T1630</t>
        </is>
      </c>
      <c r="B505" s="2" t="n">
        <v>45917</v>
      </c>
      <c r="C505" t="inlineStr">
        <is>
          <t>SALE</t>
        </is>
      </c>
      <c r="D505" t="inlineStr">
        <is>
          <t>TENT-4P</t>
        </is>
      </c>
      <c r="E505" t="n">
        <v>2</v>
      </c>
      <c r="G505" t="n">
        <v>299</v>
      </c>
    </row>
    <row r="506">
      <c r="A506" t="inlineStr">
        <is>
          <t>T1631</t>
        </is>
      </c>
      <c r="B506" s="2" t="n">
        <v>45917</v>
      </c>
      <c r="C506" t="inlineStr">
        <is>
          <t>SALE</t>
        </is>
      </c>
      <c r="D506" t="inlineStr">
        <is>
          <t>BAG-SUM</t>
        </is>
      </c>
      <c r="E506" t="n">
        <v>4</v>
      </c>
      <c r="G506" t="n">
        <v>69</v>
      </c>
    </row>
    <row r="507">
      <c r="A507" t="inlineStr">
        <is>
          <t>T1632</t>
        </is>
      </c>
      <c r="B507" s="2" t="n">
        <v>45917</v>
      </c>
      <c r="C507" t="inlineStr">
        <is>
          <t>SALE</t>
        </is>
      </c>
      <c r="D507" t="inlineStr">
        <is>
          <t>bag-win</t>
        </is>
      </c>
      <c r="E507" t="n">
        <v>1</v>
      </c>
      <c r="G507" t="n">
        <v>143.1</v>
      </c>
    </row>
    <row r="508">
      <c r="A508" t="inlineStr">
        <is>
          <t>T1634</t>
        </is>
      </c>
      <c r="B508" s="2" t="n">
        <v>45917</v>
      </c>
      <c r="C508" t="inlineStr">
        <is>
          <t>SALE</t>
        </is>
      </c>
      <c r="D508" t="inlineStr">
        <is>
          <t>PAD-FOAM</t>
        </is>
      </c>
      <c r="E508" t="n">
        <v>3</v>
      </c>
      <c r="G508" t="n">
        <v>24</v>
      </c>
    </row>
    <row r="509">
      <c r="A509" t="inlineStr">
        <is>
          <t>T1636</t>
        </is>
      </c>
      <c r="B509" s="2" t="n">
        <v>45917</v>
      </c>
      <c r="C509" t="inlineStr">
        <is>
          <t>SALE</t>
        </is>
      </c>
      <c r="D509" t="inlineStr">
        <is>
          <t>BOTTLE-1L</t>
        </is>
      </c>
      <c r="E509" t="n">
        <v>4</v>
      </c>
      <c r="G509" t="n">
        <v>18</v>
      </c>
    </row>
    <row r="510">
      <c r="A510" t="inlineStr">
        <is>
          <t>T1637</t>
        </is>
      </c>
      <c r="B510" s="2" t="n">
        <v>45917</v>
      </c>
      <c r="C510" t="inlineStr">
        <is>
          <t>SALE</t>
        </is>
      </c>
      <c r="D510" t="inlineStr">
        <is>
          <t>FILTER-H2O</t>
        </is>
      </c>
      <c r="E510" t="n">
        <v>1</v>
      </c>
      <c r="G510" t="n">
        <v>89</v>
      </c>
    </row>
    <row r="511">
      <c r="A511" t="inlineStr">
        <is>
          <t>T1638</t>
        </is>
      </c>
      <c r="B511" s="2" t="n">
        <v>45918</v>
      </c>
      <c r="C511" t="inlineStr">
        <is>
          <t>SALE</t>
        </is>
      </c>
      <c r="D511" t="inlineStr">
        <is>
          <t>BAG-SUM</t>
        </is>
      </c>
      <c r="E511" t="n">
        <v>1</v>
      </c>
      <c r="G511" t="n">
        <v>62.1</v>
      </c>
    </row>
    <row r="512">
      <c r="A512" t="inlineStr">
        <is>
          <t>T1640</t>
        </is>
      </c>
      <c r="B512" s="2" t="n">
        <v>45918</v>
      </c>
      <c r="C512" t="inlineStr">
        <is>
          <t>SALE</t>
        </is>
      </c>
      <c r="D512" t="inlineStr">
        <is>
          <t>BOTTLE-1L</t>
        </is>
      </c>
      <c r="E512" t="n">
        <v>4</v>
      </c>
      <c r="G512" t="n">
        <v>18</v>
      </c>
    </row>
    <row r="513">
      <c r="A513" t="inlineStr">
        <is>
          <t>T1641</t>
        </is>
      </c>
      <c r="B513" s="2" t="n">
        <v>45918</v>
      </c>
      <c r="C513" t="inlineStr">
        <is>
          <t>SALE</t>
        </is>
      </c>
      <c r="D513" t="inlineStr">
        <is>
          <t>CHAIR-FLD</t>
        </is>
      </c>
      <c r="E513" t="n">
        <v>2</v>
      </c>
      <c r="G513" t="n">
        <v>41.65</v>
      </c>
    </row>
    <row r="514">
      <c r="A514" t="inlineStr">
        <is>
          <t>T1643</t>
        </is>
      </c>
      <c r="B514" s="2" t="n">
        <v>45918</v>
      </c>
      <c r="C514" t="inlineStr">
        <is>
          <t>RECEIPT</t>
        </is>
      </c>
      <c r="D514" t="inlineStr">
        <is>
          <t>STOVE-GAS</t>
        </is>
      </c>
      <c r="E514" t="n">
        <v>27</v>
      </c>
      <c r="F514" t="n">
        <v>29.47</v>
      </c>
    </row>
    <row r="515">
      <c r="A515" t="inlineStr">
        <is>
          <t>T1644</t>
        </is>
      </c>
      <c r="B515" s="2" t="n">
        <v>45919</v>
      </c>
      <c r="C515" t="inlineStr">
        <is>
          <t>SALE</t>
        </is>
      </c>
      <c r="D515" t="inlineStr">
        <is>
          <t>TENT-2P</t>
        </is>
      </c>
      <c r="E515" t="n">
        <v>2</v>
      </c>
      <c r="G515" t="n">
        <v>189</v>
      </c>
    </row>
    <row r="516">
      <c r="A516" t="inlineStr">
        <is>
          <t>T1645</t>
        </is>
      </c>
      <c r="B516" s="2" t="n">
        <v>45919</v>
      </c>
      <c r="C516" t="inlineStr">
        <is>
          <t>SALE</t>
        </is>
      </c>
      <c r="D516" t="inlineStr">
        <is>
          <t xml:space="preserve">TENT-4P </t>
        </is>
      </c>
      <c r="E516" t="n">
        <v>1</v>
      </c>
      <c r="G516" t="n">
        <v>254.15</v>
      </c>
    </row>
    <row r="517">
      <c r="A517" t="inlineStr">
        <is>
          <t>T1647</t>
        </is>
      </c>
      <c r="B517" s="2" t="n">
        <v>45919</v>
      </c>
      <c r="C517" t="inlineStr">
        <is>
          <t>SALE</t>
        </is>
      </c>
      <c r="D517" t="inlineStr">
        <is>
          <t>BAG-SUM</t>
        </is>
      </c>
      <c r="E517" t="n">
        <v>2</v>
      </c>
      <c r="G517" t="n">
        <v>69</v>
      </c>
    </row>
    <row r="518">
      <c r="A518" t="inlineStr">
        <is>
          <t>T1648</t>
        </is>
      </c>
      <c r="B518" s="2" t="n">
        <v>45919</v>
      </c>
      <c r="C518" t="inlineStr">
        <is>
          <t>SALE</t>
        </is>
      </c>
      <c r="D518" t="inlineStr">
        <is>
          <t>PAD-FOAM</t>
        </is>
      </c>
      <c r="E518" t="n">
        <v>1</v>
      </c>
      <c r="G518" t="n">
        <v>20.4</v>
      </c>
    </row>
    <row r="519">
      <c r="A519" t="inlineStr">
        <is>
          <t>T1649</t>
        </is>
      </c>
      <c r="B519" s="2" t="n">
        <v>45919</v>
      </c>
      <c r="C519" t="inlineStr">
        <is>
          <t>SALE</t>
        </is>
      </c>
      <c r="D519" t="inlineStr">
        <is>
          <t>LAMP-LED</t>
        </is>
      </c>
      <c r="E519" t="n">
        <v>2</v>
      </c>
      <c r="G519" t="n">
        <v>29</v>
      </c>
    </row>
    <row r="520">
      <c r="A520" t="inlineStr">
        <is>
          <t>T1650</t>
        </is>
      </c>
      <c r="B520" s="2" t="n">
        <v>45919</v>
      </c>
      <c r="C520" t="inlineStr">
        <is>
          <t>EXPENSE</t>
        </is>
      </c>
      <c r="I520" t="inlineStr">
        <is>
          <t>Shipping</t>
        </is>
      </c>
      <c r="J520" t="n">
        <v>360.28</v>
      </c>
    </row>
    <row r="521">
      <c r="A521" t="inlineStr">
        <is>
          <t>T1651</t>
        </is>
      </c>
      <c r="B521" s="2" t="n">
        <v>45920</v>
      </c>
      <c r="C521" t="inlineStr">
        <is>
          <t>SALE</t>
        </is>
      </c>
      <c r="D521" t="inlineStr">
        <is>
          <t>BAG-SUM</t>
        </is>
      </c>
      <c r="E521" t="n">
        <v>1</v>
      </c>
      <c r="G521" t="n">
        <v>58.65</v>
      </c>
    </row>
    <row r="522">
      <c r="A522" t="inlineStr">
        <is>
          <t>T1652</t>
        </is>
      </c>
      <c r="B522" s="2" t="n">
        <v>45920</v>
      </c>
      <c r="C522" t="inlineStr">
        <is>
          <t>SALE</t>
        </is>
      </c>
      <c r="D522" t="inlineStr">
        <is>
          <t>PAD-FOAM</t>
        </is>
      </c>
      <c r="E522" t="n">
        <v>2</v>
      </c>
      <c r="G522" t="n">
        <v>24</v>
      </c>
    </row>
    <row r="523">
      <c r="A523" t="inlineStr">
        <is>
          <t>T1653</t>
        </is>
      </c>
      <c r="B523" s="2" t="n">
        <v>45920</v>
      </c>
      <c r="C523" t="inlineStr">
        <is>
          <t>SALE</t>
        </is>
      </c>
      <c r="D523" t="inlineStr">
        <is>
          <t>BOTTLE-1L</t>
        </is>
      </c>
      <c r="E523" t="n">
        <v>4</v>
      </c>
      <c r="G523" t="n">
        <v>16.2</v>
      </c>
    </row>
    <row r="524">
      <c r="A524" t="inlineStr">
        <is>
          <t>T1654</t>
        </is>
      </c>
      <c r="B524" s="2" t="n">
        <v>45921</v>
      </c>
      <c r="C524" t="inlineStr">
        <is>
          <t>SALE</t>
        </is>
      </c>
      <c r="D524" t="inlineStr">
        <is>
          <t>BAG-SUM</t>
        </is>
      </c>
      <c r="E524" t="n">
        <v>3</v>
      </c>
      <c r="G524" t="n">
        <v>58.65</v>
      </c>
    </row>
    <row r="525">
      <c r="A525" t="inlineStr">
        <is>
          <t>T1655</t>
        </is>
      </c>
      <c r="B525" s="2" t="n">
        <v>45921</v>
      </c>
      <c r="C525" t="inlineStr">
        <is>
          <t>SALE</t>
        </is>
      </c>
      <c r="D525" t="inlineStr">
        <is>
          <t>BAG-WIN</t>
        </is>
      </c>
      <c r="E525" t="n">
        <v>1</v>
      </c>
      <c r="G525" t="n">
        <v>159</v>
      </c>
    </row>
    <row r="526">
      <c r="A526" t="inlineStr">
        <is>
          <t>T1656</t>
        </is>
      </c>
      <c r="B526" s="2" t="n">
        <v>45921</v>
      </c>
      <c r="C526" t="inlineStr">
        <is>
          <t>SALE</t>
        </is>
      </c>
      <c r="D526" t="inlineStr">
        <is>
          <t>STOVE-GAS</t>
        </is>
      </c>
      <c r="E526" t="n">
        <v>4</v>
      </c>
      <c r="G526" t="n">
        <v>59</v>
      </c>
    </row>
    <row r="527">
      <c r="A527" t="inlineStr">
        <is>
          <t>T1658</t>
        </is>
      </c>
      <c r="B527" s="2" t="n">
        <v>45921</v>
      </c>
      <c r="C527" t="inlineStr">
        <is>
          <t>SALE</t>
        </is>
      </c>
      <c r="D527" t="inlineStr">
        <is>
          <t>LAMP-LED</t>
        </is>
      </c>
      <c r="E527" t="n">
        <v>2</v>
      </c>
      <c r="G527" t="n">
        <v>29</v>
      </c>
    </row>
    <row r="528">
      <c r="A528" t="inlineStr">
        <is>
          <t>T1659</t>
        </is>
      </c>
      <c r="B528" s="2" t="n">
        <v>45921</v>
      </c>
      <c r="C528" t="inlineStr">
        <is>
          <t>SALE</t>
        </is>
      </c>
      <c r="D528" t="inlineStr">
        <is>
          <t>FILTER-H2O</t>
        </is>
      </c>
      <c r="E528" t="n">
        <v>1</v>
      </c>
      <c r="G528" t="n">
        <v>75.65000000000001</v>
      </c>
    </row>
    <row r="529">
      <c r="A529" t="inlineStr">
        <is>
          <t>T1660</t>
        </is>
      </c>
      <c r="B529" s="2" t="n">
        <v>45921</v>
      </c>
      <c r="C529" t="inlineStr">
        <is>
          <t>RECEIPT</t>
        </is>
      </c>
      <c r="D529" t="inlineStr">
        <is>
          <t>PAD-FOAM</t>
        </is>
      </c>
      <c r="E529" t="n">
        <v>80</v>
      </c>
      <c r="F529" t="n">
        <v>10.76</v>
      </c>
    </row>
    <row r="530">
      <c r="A530" t="inlineStr">
        <is>
          <t>T1662</t>
        </is>
      </c>
      <c r="B530" s="2" t="n">
        <v>45921</v>
      </c>
      <c r="C530" t="inlineStr">
        <is>
          <t>RECEIPT</t>
        </is>
      </c>
      <c r="D530" t="inlineStr">
        <is>
          <t>BOTTLE-1L</t>
        </is>
      </c>
      <c r="E530" t="n">
        <v>112</v>
      </c>
      <c r="F530" t="n">
        <v>7.7</v>
      </c>
    </row>
    <row r="531">
      <c r="A531" t="inlineStr">
        <is>
          <t>T1663</t>
        </is>
      </c>
      <c r="B531" s="2" t="n">
        <v>45921</v>
      </c>
      <c r="C531" t="inlineStr">
        <is>
          <t>RETURN</t>
        </is>
      </c>
      <c r="D531" t="inlineStr">
        <is>
          <t>CHAIR-FLD</t>
        </is>
      </c>
      <c r="E531" t="n">
        <v>1</v>
      </c>
      <c r="G531" t="n">
        <v>49</v>
      </c>
      <c r="H531" t="inlineStr">
        <is>
          <t>damaged</t>
        </is>
      </c>
    </row>
    <row r="532">
      <c r="A532" t="inlineStr">
        <is>
          <t>T1664</t>
        </is>
      </c>
      <c r="B532" s="2" t="n">
        <v>45922</v>
      </c>
      <c r="C532" t="inlineStr">
        <is>
          <t>SALE</t>
        </is>
      </c>
      <c r="D532" t="inlineStr">
        <is>
          <t>BAG-SUM</t>
        </is>
      </c>
      <c r="E532" t="n">
        <v>2</v>
      </c>
      <c r="G532" t="n">
        <v>69</v>
      </c>
    </row>
    <row r="533">
      <c r="A533" t="inlineStr">
        <is>
          <t>T1665</t>
        </is>
      </c>
      <c r="B533" s="2" t="n">
        <v>45922</v>
      </c>
      <c r="C533" t="inlineStr">
        <is>
          <t>SALE</t>
        </is>
      </c>
      <c r="D533" t="inlineStr">
        <is>
          <t>STOVE-GAS</t>
        </is>
      </c>
      <c r="E533" t="n">
        <v>4</v>
      </c>
      <c r="G533" t="n">
        <v>59</v>
      </c>
    </row>
    <row r="534">
      <c r="A534" t="inlineStr">
        <is>
          <t>T1667</t>
        </is>
      </c>
      <c r="B534" s="2" t="n">
        <v>45922</v>
      </c>
      <c r="C534" t="inlineStr">
        <is>
          <t>SALE</t>
        </is>
      </c>
      <c r="D534" t="inlineStr">
        <is>
          <t>BOTTLE-1L</t>
        </is>
      </c>
      <c r="E534" t="n">
        <v>8</v>
      </c>
      <c r="G534" t="n">
        <v>18</v>
      </c>
    </row>
    <row r="535">
      <c r="A535" t="inlineStr">
        <is>
          <t>T1668</t>
        </is>
      </c>
      <c r="B535" s="2" t="n">
        <v>45923</v>
      </c>
      <c r="C535" t="inlineStr">
        <is>
          <t>SALE</t>
        </is>
      </c>
      <c r="D535" t="inlineStr">
        <is>
          <t>BOTTLE-1L</t>
        </is>
      </c>
      <c r="E535" t="n">
        <v>4</v>
      </c>
      <c r="G535" t="n">
        <v>18</v>
      </c>
    </row>
    <row r="536">
      <c r="A536" t="inlineStr">
        <is>
          <t>T1670</t>
        </is>
      </c>
      <c r="B536" s="2" t="n">
        <v>45923</v>
      </c>
      <c r="C536" t="inlineStr">
        <is>
          <t>RECEIPT</t>
        </is>
      </c>
      <c r="D536" t="inlineStr">
        <is>
          <t>TENT-4P</t>
        </is>
      </c>
      <c r="E536" t="n">
        <v>15</v>
      </c>
      <c r="F536" t="n">
        <v>151.05</v>
      </c>
    </row>
    <row r="537">
      <c r="A537" t="inlineStr">
        <is>
          <t>T1671</t>
        </is>
      </c>
      <c r="B537" s="2" t="n">
        <v>45924</v>
      </c>
      <c r="C537" t="inlineStr">
        <is>
          <t>SALE</t>
        </is>
      </c>
      <c r="D537" t="inlineStr">
        <is>
          <t>BAG-SUM</t>
        </is>
      </c>
      <c r="E537" t="n">
        <v>2</v>
      </c>
      <c r="G537" t="n">
        <v>58.65</v>
      </c>
    </row>
    <row r="538">
      <c r="A538" t="inlineStr">
        <is>
          <t>T1673</t>
        </is>
      </c>
      <c r="B538" s="2" t="n">
        <v>45924</v>
      </c>
      <c r="C538" t="inlineStr">
        <is>
          <t>RECEIPT</t>
        </is>
      </c>
      <c r="D538" t="inlineStr">
        <is>
          <t>PACK-35</t>
        </is>
      </c>
      <c r="E538" t="n">
        <v>40</v>
      </c>
      <c r="F538" t="n">
        <v>41.99</v>
      </c>
    </row>
    <row r="539">
      <c r="A539" t="inlineStr">
        <is>
          <t>T1674</t>
        </is>
      </c>
      <c r="B539" s="2" t="n">
        <v>45925</v>
      </c>
      <c r="C539" t="inlineStr">
        <is>
          <t>SALE</t>
        </is>
      </c>
      <c r="D539" t="inlineStr">
        <is>
          <t>STOVE-GAS</t>
        </is>
      </c>
      <c r="E539" t="n">
        <v>1</v>
      </c>
      <c r="G539" t="n">
        <v>53.1</v>
      </c>
    </row>
    <row r="540">
      <c r="A540" t="inlineStr">
        <is>
          <t>T1675</t>
        </is>
      </c>
      <c r="B540" s="2" t="n">
        <v>45925</v>
      </c>
      <c r="C540" t="inlineStr">
        <is>
          <t>SALE</t>
        </is>
      </c>
      <c r="D540" t="inlineStr">
        <is>
          <t>PACK-35</t>
        </is>
      </c>
      <c r="E540" t="n">
        <v>2</v>
      </c>
      <c r="G540" t="n">
        <v>79</v>
      </c>
    </row>
    <row r="541">
      <c r="A541" t="inlineStr">
        <is>
          <t>T1676</t>
        </is>
      </c>
      <c r="B541" s="2" t="n">
        <v>45925</v>
      </c>
      <c r="C541" t="inlineStr">
        <is>
          <t>SALE</t>
        </is>
      </c>
      <c r="D541" t="inlineStr">
        <is>
          <t>CHAIR-FLD</t>
        </is>
      </c>
      <c r="E541" t="n">
        <v>2</v>
      </c>
      <c r="G541" t="n">
        <v>49</v>
      </c>
    </row>
    <row r="542">
      <c r="A542" t="inlineStr">
        <is>
          <t>T1677</t>
        </is>
      </c>
      <c r="B542" s="2" t="n">
        <v>45925</v>
      </c>
      <c r="C542" t="inlineStr">
        <is>
          <t>SALE</t>
        </is>
      </c>
      <c r="D542" t="inlineStr">
        <is>
          <t>FILTER-H2O</t>
        </is>
      </c>
      <c r="E542" t="n">
        <v>2</v>
      </c>
      <c r="G542" t="n">
        <v>89</v>
      </c>
    </row>
    <row r="543">
      <c r="A543" t="inlineStr">
        <is>
          <t>T1678</t>
        </is>
      </c>
      <c r="B543" s="2" t="n">
        <v>45925</v>
      </c>
      <c r="C543" t="inlineStr">
        <is>
          <t>RECEIPT</t>
        </is>
      </c>
      <c r="D543" t="inlineStr">
        <is>
          <t>TENT-2P</t>
        </is>
      </c>
      <c r="E543" t="n">
        <v>20</v>
      </c>
      <c r="F543" t="n">
        <v>98.84</v>
      </c>
    </row>
    <row r="544">
      <c r="A544" t="inlineStr">
        <is>
          <t>T1679</t>
        </is>
      </c>
      <c r="B544" s="2" t="n">
        <v>45925</v>
      </c>
      <c r="C544" t="inlineStr">
        <is>
          <t>RECEIPT</t>
        </is>
      </c>
      <c r="D544" t="inlineStr">
        <is>
          <t>stove-gas</t>
        </is>
      </c>
      <c r="E544" t="n">
        <v>36</v>
      </c>
      <c r="F544" t="n">
        <v>29.47</v>
      </c>
    </row>
    <row r="545">
      <c r="A545" t="inlineStr">
        <is>
          <t>T1680</t>
        </is>
      </c>
      <c r="B545" s="2" t="n">
        <v>45926</v>
      </c>
      <c r="C545" t="inlineStr">
        <is>
          <t>SALE</t>
        </is>
      </c>
      <c r="D545" t="inlineStr">
        <is>
          <t>BAG-SUM</t>
        </is>
      </c>
      <c r="E545" t="n">
        <v>4</v>
      </c>
      <c r="G545" t="n">
        <v>69</v>
      </c>
    </row>
    <row r="546">
      <c r="A546" t="inlineStr">
        <is>
          <t>T1682</t>
        </is>
      </c>
      <c r="B546" s="2" t="n">
        <v>45926</v>
      </c>
      <c r="C546" t="inlineStr">
        <is>
          <t>SALE</t>
        </is>
      </c>
      <c r="D546" t="inlineStr">
        <is>
          <t>PAD-FOAM</t>
        </is>
      </c>
      <c r="E546" t="n">
        <v>3</v>
      </c>
      <c r="G546" t="n">
        <v>21.6</v>
      </c>
    </row>
    <row r="547">
      <c r="A547" t="inlineStr">
        <is>
          <t>T1684</t>
        </is>
      </c>
      <c r="B547" s="2" t="n">
        <v>45926</v>
      </c>
      <c r="C547" t="inlineStr">
        <is>
          <t>SALE</t>
        </is>
      </c>
      <c r="D547" t="inlineStr">
        <is>
          <t>STOVE-GAS</t>
        </is>
      </c>
      <c r="E547" t="n">
        <v>2</v>
      </c>
      <c r="G547" t="n">
        <v>59</v>
      </c>
    </row>
    <row r="548">
      <c r="A548" t="inlineStr">
        <is>
          <t>T1685</t>
        </is>
      </c>
      <c r="B548" s="2" t="n">
        <v>45926</v>
      </c>
      <c r="C548" t="inlineStr">
        <is>
          <t>SALE</t>
        </is>
      </c>
      <c r="D548" t="inlineStr">
        <is>
          <t>LAMP-LED</t>
        </is>
      </c>
      <c r="E548" t="n">
        <v>3</v>
      </c>
      <c r="G548" t="n">
        <v>24.65</v>
      </c>
    </row>
    <row r="549">
      <c r="A549" t="inlineStr">
        <is>
          <t>T1686</t>
        </is>
      </c>
      <c r="B549" s="2" t="n">
        <v>45926</v>
      </c>
      <c r="C549" t="inlineStr">
        <is>
          <t>SALE</t>
        </is>
      </c>
      <c r="D549" t="inlineStr">
        <is>
          <t>PACK-65</t>
        </is>
      </c>
      <c r="E549" t="n">
        <v>1</v>
      </c>
      <c r="G549" t="n">
        <v>219</v>
      </c>
    </row>
    <row r="550">
      <c r="A550" t="inlineStr">
        <is>
          <t>T1687</t>
        </is>
      </c>
      <c r="B550" s="2" t="n">
        <v>45926</v>
      </c>
      <c r="C550" t="inlineStr">
        <is>
          <t>SALE</t>
        </is>
      </c>
      <c r="D550" t="inlineStr">
        <is>
          <t>BOTTLE-1L</t>
        </is>
      </c>
      <c r="E550" t="n">
        <v>4</v>
      </c>
      <c r="G550" t="n">
        <v>18</v>
      </c>
    </row>
    <row r="551">
      <c r="A551" t="inlineStr">
        <is>
          <t>T1688</t>
        </is>
      </c>
      <c r="B551" s="2" t="n">
        <v>45926</v>
      </c>
      <c r="C551" t="inlineStr">
        <is>
          <t>SALE</t>
        </is>
      </c>
      <c r="D551" t="inlineStr">
        <is>
          <t>CHAIR-FLD</t>
        </is>
      </c>
      <c r="E551" t="n">
        <v>1</v>
      </c>
      <c r="G551" t="n">
        <v>41.65</v>
      </c>
    </row>
    <row r="552">
      <c r="A552" t="inlineStr">
        <is>
          <t>T1689</t>
        </is>
      </c>
      <c r="B552" s="2" t="n">
        <v>45926</v>
      </c>
      <c r="C552" t="inlineStr">
        <is>
          <t>SALE</t>
        </is>
      </c>
      <c r="D552" t="inlineStr">
        <is>
          <t>FILTER-H2O</t>
        </is>
      </c>
      <c r="E552" t="n">
        <v>2</v>
      </c>
      <c r="G552" t="n">
        <v>89</v>
      </c>
    </row>
    <row r="553">
      <c r="A553" t="inlineStr">
        <is>
          <t>T1691</t>
        </is>
      </c>
      <c r="B553" s="2" t="n">
        <v>45926</v>
      </c>
      <c r="C553" t="inlineStr">
        <is>
          <t>RETURN</t>
        </is>
      </c>
      <c r="D553" t="inlineStr">
        <is>
          <t>PACK-35</t>
        </is>
      </c>
      <c r="E553" t="n">
        <v>1</v>
      </c>
      <c r="G553" t="n">
        <v>79</v>
      </c>
      <c r="H553" t="inlineStr">
        <is>
          <t>damaged</t>
        </is>
      </c>
    </row>
    <row r="554">
      <c r="A554" t="inlineStr">
        <is>
          <t>T1693</t>
        </is>
      </c>
      <c r="B554" s="2" t="n">
        <v>45926</v>
      </c>
      <c r="C554" t="inlineStr">
        <is>
          <t>EXPENSE</t>
        </is>
      </c>
      <c r="I554" t="inlineStr">
        <is>
          <t>Shipping</t>
        </is>
      </c>
      <c r="J554" t="n">
        <v>330.85</v>
      </c>
    </row>
    <row r="555">
      <c r="A555" t="inlineStr">
        <is>
          <t>T1694</t>
        </is>
      </c>
      <c r="B555" s="2" t="n">
        <v>45927</v>
      </c>
      <c r="C555" t="inlineStr">
        <is>
          <t>SALE</t>
        </is>
      </c>
      <c r="D555" t="inlineStr">
        <is>
          <t>BAG-SUM</t>
        </is>
      </c>
      <c r="E555" t="n">
        <v>1</v>
      </c>
      <c r="G555" t="n">
        <v>69</v>
      </c>
    </row>
    <row r="556">
      <c r="A556" t="inlineStr">
        <is>
          <t>T1696</t>
        </is>
      </c>
      <c r="B556" s="2" t="n">
        <v>45927</v>
      </c>
      <c r="C556" t="inlineStr">
        <is>
          <t>SALE</t>
        </is>
      </c>
      <c r="D556" t="inlineStr">
        <is>
          <t>PAD-FOAM</t>
        </is>
      </c>
      <c r="E556" t="n">
        <v>2</v>
      </c>
      <c r="G556" t="n">
        <v>20.4</v>
      </c>
    </row>
    <row r="557">
      <c r="A557" t="inlineStr">
        <is>
          <t>T1697</t>
        </is>
      </c>
      <c r="B557" s="2" t="n">
        <v>45927</v>
      </c>
      <c r="C557" t="inlineStr">
        <is>
          <t>SALE</t>
        </is>
      </c>
      <c r="D557" t="inlineStr">
        <is>
          <t>STOVE-GAS</t>
        </is>
      </c>
      <c r="E557" t="n">
        <v>1</v>
      </c>
      <c r="G557" t="n">
        <v>59</v>
      </c>
    </row>
    <row r="558">
      <c r="A558" t="inlineStr">
        <is>
          <t>T1698</t>
        </is>
      </c>
      <c r="B558" s="2" t="n">
        <v>45927</v>
      </c>
      <c r="C558" t="inlineStr">
        <is>
          <t>SALE</t>
        </is>
      </c>
      <c r="D558" t="inlineStr">
        <is>
          <t>PACK-35</t>
        </is>
      </c>
      <c r="E558" t="n">
        <v>1</v>
      </c>
      <c r="G558" t="n">
        <v>79</v>
      </c>
    </row>
    <row r="559">
      <c r="A559" t="inlineStr">
        <is>
          <t>T1699</t>
        </is>
      </c>
      <c r="B559" s="2" t="n">
        <v>45927</v>
      </c>
      <c r="C559" t="inlineStr">
        <is>
          <t>SALE</t>
        </is>
      </c>
      <c r="D559" t="inlineStr">
        <is>
          <t>FILTER-H2O</t>
        </is>
      </c>
      <c r="E559" t="n">
        <v>2</v>
      </c>
      <c r="G559" t="n">
        <v>75.65000000000001</v>
      </c>
    </row>
    <row r="560">
      <c r="A560" t="inlineStr">
        <is>
          <t>T1701</t>
        </is>
      </c>
      <c r="B560" s="2" t="n">
        <v>45927</v>
      </c>
      <c r="C560" t="inlineStr">
        <is>
          <t>RECEIPT</t>
        </is>
      </c>
      <c r="D560" t="inlineStr">
        <is>
          <t>TENT-2P</t>
        </is>
      </c>
      <c r="E560" t="n">
        <v>20</v>
      </c>
      <c r="F560" t="n">
        <v>102.79</v>
      </c>
    </row>
    <row r="561">
      <c r="A561" t="inlineStr">
        <is>
          <t>T1702</t>
        </is>
      </c>
      <c r="B561" s="2" t="n">
        <v>45927</v>
      </c>
      <c r="C561" t="inlineStr">
        <is>
          <t>RECEIPT</t>
        </is>
      </c>
      <c r="D561" t="inlineStr">
        <is>
          <t>LAMP-LED</t>
        </is>
      </c>
      <c r="E561" t="n">
        <v>75</v>
      </c>
      <c r="F561" t="n">
        <v>13.28</v>
      </c>
    </row>
    <row r="562">
      <c r="A562" t="inlineStr">
        <is>
          <t>T1703</t>
        </is>
      </c>
      <c r="B562" s="2" t="n">
        <v>45928</v>
      </c>
      <c r="C562" t="inlineStr">
        <is>
          <t>SALE</t>
        </is>
      </c>
      <c r="D562" t="inlineStr">
        <is>
          <t>TENT-2P</t>
        </is>
      </c>
      <c r="E562" t="n">
        <v>1</v>
      </c>
      <c r="G562" t="n">
        <v>189</v>
      </c>
    </row>
    <row r="563">
      <c r="A563" t="inlineStr">
        <is>
          <t>T1704</t>
        </is>
      </c>
      <c r="B563" s="2" t="n">
        <v>45928</v>
      </c>
      <c r="C563" t="inlineStr">
        <is>
          <t>SALE</t>
        </is>
      </c>
      <c r="D563" t="inlineStr">
        <is>
          <t>TENT-4P</t>
        </is>
      </c>
      <c r="E563" t="n">
        <v>2</v>
      </c>
      <c r="G563" t="n">
        <v>299</v>
      </c>
    </row>
    <row r="564">
      <c r="A564" t="inlineStr">
        <is>
          <t>T1706</t>
        </is>
      </c>
      <c r="B564" s="2" t="n">
        <v>45928</v>
      </c>
      <c r="C564" t="inlineStr">
        <is>
          <t>SALE</t>
        </is>
      </c>
      <c r="D564" t="inlineStr">
        <is>
          <t>BAG-SUM</t>
        </is>
      </c>
      <c r="E564" t="n">
        <v>2</v>
      </c>
      <c r="G564" t="n">
        <v>62.1</v>
      </c>
    </row>
    <row r="565">
      <c r="A565" t="inlineStr">
        <is>
          <t>T1708</t>
        </is>
      </c>
      <c r="B565" s="2" t="n">
        <v>45928</v>
      </c>
      <c r="C565" t="inlineStr">
        <is>
          <t>SALE</t>
        </is>
      </c>
      <c r="D565" t="inlineStr">
        <is>
          <t>PAD-FOAM</t>
        </is>
      </c>
      <c r="E565" t="n">
        <v>2</v>
      </c>
      <c r="G565" t="n">
        <v>24</v>
      </c>
    </row>
    <row r="566">
      <c r="A566" t="inlineStr">
        <is>
          <t>T1710</t>
        </is>
      </c>
      <c r="B566" s="2" t="n">
        <v>45928</v>
      </c>
      <c r="C566" t="inlineStr">
        <is>
          <t>SALE</t>
        </is>
      </c>
      <c r="D566" t="inlineStr">
        <is>
          <t>LAMP-LED</t>
        </is>
      </c>
      <c r="E566" t="n">
        <v>2</v>
      </c>
      <c r="G566" t="n">
        <v>26.1</v>
      </c>
    </row>
    <row r="567">
      <c r="A567" t="inlineStr">
        <is>
          <t>T1711</t>
        </is>
      </c>
      <c r="B567" s="2" t="n">
        <v>45928</v>
      </c>
      <c r="C567" t="inlineStr">
        <is>
          <t>SALE</t>
        </is>
      </c>
      <c r="D567" t="inlineStr">
        <is>
          <t>PACK-35</t>
        </is>
      </c>
      <c r="E567" t="n">
        <v>2</v>
      </c>
      <c r="G567" t="n">
        <v>79</v>
      </c>
    </row>
    <row r="568">
      <c r="A568" t="inlineStr">
        <is>
          <t>T1712</t>
        </is>
      </c>
      <c r="B568" s="2" t="n">
        <v>45928</v>
      </c>
      <c r="C568" t="inlineStr">
        <is>
          <t>SALE</t>
        </is>
      </c>
      <c r="D568" t="inlineStr">
        <is>
          <t>BOTTLE-1L</t>
        </is>
      </c>
      <c r="E568" t="n">
        <v>3</v>
      </c>
      <c r="G568" t="n">
        <v>16.2</v>
      </c>
    </row>
    <row r="569">
      <c r="A569" t="inlineStr">
        <is>
          <t>T1714</t>
        </is>
      </c>
      <c r="B569" s="2" t="n">
        <v>45928</v>
      </c>
      <c r="C569" t="inlineStr">
        <is>
          <t>EXPENSE</t>
        </is>
      </c>
      <c r="I569" t="inlineStr">
        <is>
          <t>Wages</t>
        </is>
      </c>
      <c r="J569" t="n">
        <v>4218.16</v>
      </c>
    </row>
    <row r="570">
      <c r="A570" t="inlineStr">
        <is>
          <t>T1715</t>
        </is>
      </c>
      <c r="B570" s="2" t="n">
        <v>45929</v>
      </c>
      <c r="C570" t="inlineStr">
        <is>
          <t>SALE</t>
        </is>
      </c>
      <c r="D570" t="inlineStr">
        <is>
          <t>TENT-2P</t>
        </is>
      </c>
      <c r="E570" t="n">
        <v>2</v>
      </c>
      <c r="G570" t="n">
        <v>189</v>
      </c>
    </row>
    <row r="571">
      <c r="A571" t="inlineStr">
        <is>
          <t>T1716</t>
        </is>
      </c>
      <c r="B571" s="2" t="n">
        <v>45929</v>
      </c>
      <c r="C571" t="inlineStr">
        <is>
          <t>SALE</t>
        </is>
      </c>
      <c r="D571" t="inlineStr">
        <is>
          <t>PACK-35</t>
        </is>
      </c>
      <c r="E571" t="n">
        <v>2</v>
      </c>
      <c r="G571" t="n">
        <v>79</v>
      </c>
    </row>
    <row r="572">
      <c r="A572" t="inlineStr">
        <is>
          <t>T1718</t>
        </is>
      </c>
      <c r="B572" s="2" t="n">
        <v>45930</v>
      </c>
      <c r="C572" t="inlineStr">
        <is>
          <t>SALE</t>
        </is>
      </c>
      <c r="D572" t="inlineStr">
        <is>
          <t>BAG-SUM</t>
        </is>
      </c>
      <c r="E572" t="n">
        <v>2</v>
      </c>
      <c r="G572" t="n">
        <v>58.65</v>
      </c>
    </row>
    <row r="573">
      <c r="A573" t="inlineStr">
        <is>
          <t>T1719</t>
        </is>
      </c>
      <c r="B573" s="2" t="n">
        <v>45930</v>
      </c>
      <c r="C573" t="inlineStr">
        <is>
          <t>SALE</t>
        </is>
      </c>
      <c r="D573" t="inlineStr">
        <is>
          <t>BAG-WIN</t>
        </is>
      </c>
      <c r="E573" t="n">
        <v>1</v>
      </c>
      <c r="G573" t="n">
        <v>135.15</v>
      </c>
    </row>
    <row r="574">
      <c r="A574" t="inlineStr">
        <is>
          <t>T1720</t>
        </is>
      </c>
      <c r="B574" s="2" t="n">
        <v>45930</v>
      </c>
      <c r="C574" t="inlineStr">
        <is>
          <t>SALE</t>
        </is>
      </c>
      <c r="D574" t="inlineStr">
        <is>
          <t>LAMP-LED</t>
        </is>
      </c>
      <c r="E574" t="n">
        <v>2</v>
      </c>
      <c r="G574" t="n">
        <v>29</v>
      </c>
    </row>
    <row r="575">
      <c r="A575" t="inlineStr">
        <is>
          <t>T1722</t>
        </is>
      </c>
      <c r="B575" s="2" t="n">
        <v>45930</v>
      </c>
      <c r="C575" t="inlineStr">
        <is>
          <t>SALE</t>
        </is>
      </c>
      <c r="D575" t="inlineStr">
        <is>
          <t>PACK-35</t>
        </is>
      </c>
      <c r="E575" t="n">
        <v>4</v>
      </c>
      <c r="G575" t="n">
        <v>79</v>
      </c>
    </row>
    <row r="576">
      <c r="A576" t="inlineStr">
        <is>
          <t>T1723</t>
        </is>
      </c>
      <c r="B576" s="2" t="n">
        <v>45930</v>
      </c>
      <c r="C576" t="inlineStr">
        <is>
          <t>SALE</t>
        </is>
      </c>
      <c r="D576" t="inlineStr">
        <is>
          <t>BOTTLE-1L</t>
        </is>
      </c>
      <c r="E576" t="n">
        <v>8</v>
      </c>
      <c r="G576" t="n">
        <v>18</v>
      </c>
    </row>
    <row r="577">
      <c r="A577" t="inlineStr">
        <is>
          <t>T1724</t>
        </is>
      </c>
      <c r="B577" s="2" t="n">
        <v>45930</v>
      </c>
      <c r="C577" t="inlineStr">
        <is>
          <t>SALE</t>
        </is>
      </c>
      <c r="D577" t="inlineStr">
        <is>
          <t>CHAIR-FLD</t>
        </is>
      </c>
      <c r="E577" t="n">
        <v>2</v>
      </c>
      <c r="G577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Type</t>
        </is>
      </c>
      <c r="C1" s="1" t="inlineStr">
        <is>
          <t>Month</t>
        </is>
      </c>
      <c r="D1" s="1" t="inlineStr">
        <is>
          <t>Dup</t>
        </is>
      </c>
      <c r="E1" s="1" t="inlineStr">
        <is>
          <t>Valid</t>
        </is>
      </c>
      <c r="F1" s="1" t="inlineStr">
        <is>
          <t>SupplyQty</t>
        </is>
      </c>
      <c r="G1" s="1" t="inlineStr">
        <is>
          <t>SupplyCost</t>
        </is>
      </c>
      <c r="H1" s="1" t="inlineStr">
        <is>
          <t>RcptRow</t>
        </is>
      </c>
      <c r="I1" s="1" t="inlineStr">
        <is>
          <t>DemandQty</t>
        </is>
      </c>
      <c r="J1" s="1" t="inlineStr">
        <is>
          <t>SupplyBefore</t>
        </is>
      </c>
      <c r="K1" s="1" t="inlineStr">
        <is>
          <t>DemandBefore</t>
        </is>
      </c>
      <c r="L1" s="1" t="inlineStr">
        <is>
          <t>OpenQty</t>
        </is>
      </c>
      <c r="M1" s="1" t="inlineStr">
        <is>
          <t>Ship1</t>
        </is>
      </c>
      <c r="N1" s="1" t="inlineStr">
        <is>
          <t>Ship2</t>
        </is>
      </c>
      <c r="O1" s="1" t="inlineStr">
        <is>
          <t>Ship3</t>
        </is>
      </c>
      <c r="P1" s="1" t="inlineStr">
        <is>
          <t>C0</t>
        </is>
      </c>
      <c r="Q1" s="1" t="inlineStr">
        <is>
          <t>C1</t>
        </is>
      </c>
      <c r="R1" s="1" t="inlineStr">
        <is>
          <t>C2</t>
        </is>
      </c>
      <c r="S1" s="1" t="inlineStr">
        <is>
          <t>C3</t>
        </is>
      </c>
      <c r="T1" s="1" t="inlineStr">
        <is>
          <t>Refund</t>
        </is>
      </c>
      <c r="U1" s="1" t="inlineStr">
        <is>
          <t>Opex</t>
        </is>
      </c>
      <c r="V1" s="1" t="inlineStr">
        <is>
          <t>ExcRow</t>
        </is>
      </c>
      <c r="W1" s="1" t="inlineStr">
        <is>
          <t>OpenCost</t>
        </is>
      </c>
    </row>
    <row r="2">
      <c r="A2">
        <f>IF(Transactions!D2="","",UPPER(TRIM(Transactions!D2)))</f>
        <v/>
      </c>
      <c r="B2">
        <f>IF(Transactions!C2="","",UPPER(TRIM(Transactions!C2)))</f>
        <v/>
      </c>
      <c r="C2">
        <f>IF(Transactions!B2="",0,YEAR(Transactions!B2)*100+MONTH(Transactions!B2))</f>
        <v/>
      </c>
      <c r="D2">
        <f>IF(Transactions!A2="",1,IF(COUNTIF(Transactions!$A$1:A1,Transactions!A2)&gt;0,1,0))</f>
        <v/>
      </c>
      <c r="E2">
        <f>IF(D2=1,0,IF(B2="RETURN",IF(COUNTIFS($A$1:A1,A2,$B$1:B1,"SALE",$E$1:E1,1)&gt;0,1,0),1))</f>
        <v/>
      </c>
      <c r="F2">
        <f>IF(E2=1,IF(B2="RECEIPT",Transactions!E2,IF(AND(B2="RETURN",LOWER(TRIM(Transactions!H2))="resellable"),Transactions!E2,0)),0)</f>
        <v/>
      </c>
      <c r="G2">
        <f>IF(F2&gt;0,IF(B2="RECEIPT",Transactions!F2,IF(_xlfn.MAXIFS($H$2:H2,$A$2:A2,A2)&gt;0,INDEX(Transactions!$F:$F,_xlfn.MAXIFS($H$2:H2,$A$2:A2,A2)),W2)),0)</f>
        <v/>
      </c>
      <c r="H2">
        <f>IF(AND(E2=1,B2="RECEIPT"),ROW(),0)</f>
        <v/>
      </c>
      <c r="I2">
        <f>IF(E2=1,IF(OR(B2="SALE",B2="WRITEOFF"),Transactions!E2,0),0)</f>
        <v/>
      </c>
      <c r="J2">
        <f>SUMIFS($F$1:F1,$A$1:A1,A2)</f>
        <v/>
      </c>
      <c r="K2">
        <f>SUMIFS($I$1:I1,$A$1:A1,A2)</f>
        <v/>
      </c>
      <c r="L2">
        <f>IFERROR(VLOOKUP(A2,Opening!$A:$C,3,0),0)</f>
        <v/>
      </c>
      <c r="M2">
        <f>IF(I2=0,0,MAX(0,MIN(INDEX(Month!H$2:H$13,MATCH($A2,Month!$A$2:$A$13,0))-K2,I2)))</f>
        <v/>
      </c>
      <c r="N2">
        <f>IF(I2=0,0,MAX(0,MIN(INDEX(Month!I$2:I$13,MATCH($A2,Month!$A$2:$A$13,0))-K2,I2)))</f>
        <v/>
      </c>
      <c r="O2">
        <f>IF(I2=0,0,MAX(0,MIN(INDEX(Month!J$2:J$13,MATCH($A2,Month!$A$2:$A$13,0))-K2,I2)))</f>
        <v/>
      </c>
      <c r="P2">
        <f>IF(I2=0,0,(MIN(MAX(K2,0),L2)*W2+SUMPRODUCT((Calc!$A$2:$A$1001=A2)*Calc!$G$2:$G$1001*(((K2-(L2+Calc!$J$2:$J$1001))&gt;0)*((K2-(L2+Calc!$J$2:$J$1001))&lt;Calc!$F$2:$F$1001)*(K2-(L2+Calc!$J$2:$J$1001))+((K2-(L2+Calc!$J$2:$J$1001))&gt;=Calc!$F$2:$F$1001)*Calc!$F$2:$F$1001))))</f>
        <v/>
      </c>
      <c r="Q2">
        <f>IF(I2=0,0,(MIN(MAX((K2+M2),0),L2)*W2+SUMPRODUCT((Calc!$A$2:$A$1001=A2)*Calc!$G$2:$G$1001*((((K2+M2)-(L2+Calc!$J$2:$J$1001))&gt;0)*(((K2+M2)-(L2+Calc!$J$2:$J$1001))&lt;Calc!$F$2:$F$1001)*((K2+M2)-(L2+Calc!$J$2:$J$1001))+(((K2+M2)-(L2+Calc!$J$2:$J$1001))&gt;=Calc!$F$2:$F$1001)*Calc!$F$2:$F$1001))))</f>
        <v/>
      </c>
      <c r="R2">
        <f>IF(I2=0,0,(MIN(MAX((K2+N2),0),L2)*W2+SUMPRODUCT((Calc!$A$2:$A$1001=A2)*Calc!$G$2:$G$1001*((((K2+N2)-(L2+Calc!$J$2:$J$1001))&gt;0)*(((K2+N2)-(L2+Calc!$J$2:$J$1001))&lt;Calc!$F$2:$F$1001)*((K2+N2)-(L2+Calc!$J$2:$J$1001))+(((K2+N2)-(L2+Calc!$J$2:$J$1001))&gt;=Calc!$F$2:$F$1001)*Calc!$F$2:$F$1001))))</f>
        <v/>
      </c>
      <c r="S2">
        <f>IF(I2=0,0,(MIN(MAX((K2+O2),0),L2)*W2+SUMPRODUCT((Calc!$A$2:$A$1001=A2)*Calc!$G$2:$G$1001*((((K2+O2)-(L2+Calc!$J$2:$J$1001))&gt;0)*(((K2+O2)-(L2+Calc!$J$2:$J$1001))&lt;Calc!$F$2:$F$1001)*((K2+O2)-(L2+Calc!$J$2:$J$1001))+(((K2+O2)-(L2+Calc!$J$2:$J$1001))&gt;=Calc!$F$2:$F$1001)*Calc!$F$2:$F$1001))))</f>
        <v/>
      </c>
      <c r="T2">
        <f>IF(AND(E2=1,B2="RETURN"),Transactions!E2*Transactions!G2,0)</f>
        <v/>
      </c>
      <c r="U2">
        <f>IF(AND(E2=1,B2="EXPENSE"),Transactions!J2,0)</f>
        <v/>
      </c>
      <c r="V2">
        <f>IF(AND(Transactions!A2&lt;&gt;"",E2=0),ROW(),"")</f>
        <v/>
      </c>
      <c r="W2">
        <f>IFERROR(VLOOKUP(A2,Opening!$A:$D,4,0),0)</f>
        <v/>
      </c>
    </row>
    <row r="3">
      <c r="A3">
        <f>IF(Transactions!D3="","",UPPER(TRIM(Transactions!D3)))</f>
        <v/>
      </c>
      <c r="B3">
        <f>IF(Transactions!C3="","",UPPER(TRIM(Transactions!C3)))</f>
        <v/>
      </c>
      <c r="C3">
        <f>IF(Transactions!B3="",0,YEAR(Transactions!B3)*100+MONTH(Transactions!B3))</f>
        <v/>
      </c>
      <c r="D3">
        <f>IF(Transactions!A3="",1,IF(COUNTIF(Transactions!$A$1:A2,Transactions!A3)&gt;0,1,0))</f>
        <v/>
      </c>
      <c r="E3">
        <f>IF(D3=1,0,IF(B3="RETURN",IF(COUNTIFS($A$1:A2,A3,$B$1:B2,"SALE",$E$1:E2,1)&gt;0,1,0),1))</f>
        <v/>
      </c>
      <c r="F3">
        <f>IF(E3=1,IF(B3="RECEIPT",Transactions!E3,IF(AND(B3="RETURN",LOWER(TRIM(Transactions!H3))="resellable"),Transactions!E3,0)),0)</f>
        <v/>
      </c>
      <c r="G3">
        <f>IF(F3&gt;0,IF(B3="RECEIPT",Transactions!F3,IF(_xlfn.MAXIFS($H$2:H3,$A$2:A3,A3)&gt;0,INDEX(Transactions!$F:$F,_xlfn.MAXIFS($H$2:H3,$A$2:A3,A3)),W3)),0)</f>
        <v/>
      </c>
      <c r="H3">
        <f>IF(AND(E3=1,B3="RECEIPT"),ROW(),0)</f>
        <v/>
      </c>
      <c r="I3">
        <f>IF(E3=1,IF(OR(B3="SALE",B3="WRITEOFF"),Transactions!E3,0),0)</f>
        <v/>
      </c>
      <c r="J3">
        <f>SUMIFS($F$1:F2,$A$1:A2,A3)</f>
        <v/>
      </c>
      <c r="K3">
        <f>SUMIFS($I$1:I2,$A$1:A2,A3)</f>
        <v/>
      </c>
      <c r="L3">
        <f>IFERROR(VLOOKUP(A3,Opening!$A:$C,3,0),0)</f>
        <v/>
      </c>
      <c r="M3">
        <f>IF(I3=0,0,MAX(0,MIN(INDEX(Month!H$2:H$13,MATCH($A3,Month!$A$2:$A$13,0))-K3,I3)))</f>
        <v/>
      </c>
      <c r="N3">
        <f>IF(I3=0,0,MAX(0,MIN(INDEX(Month!I$2:I$13,MATCH($A3,Month!$A$2:$A$13,0))-K3,I3)))</f>
        <v/>
      </c>
      <c r="O3">
        <f>IF(I3=0,0,MAX(0,MIN(INDEX(Month!J$2:J$13,MATCH($A3,Month!$A$2:$A$13,0))-K3,I3)))</f>
        <v/>
      </c>
      <c r="P3">
        <f>IF(I3=0,0,(MIN(MAX(K3,0),L3)*W3+SUMPRODUCT((Calc!$A$2:$A$1001=A3)*Calc!$G$2:$G$1001*(((K3-(L3+Calc!$J$2:$J$1001))&gt;0)*((K3-(L3+Calc!$J$2:$J$1001))&lt;Calc!$F$2:$F$1001)*(K3-(L3+Calc!$J$2:$J$1001))+((K3-(L3+Calc!$J$2:$J$1001))&gt;=Calc!$F$2:$F$1001)*Calc!$F$2:$F$1001))))</f>
        <v/>
      </c>
      <c r="Q3">
        <f>IF(I3=0,0,(MIN(MAX((K3+M3),0),L3)*W3+SUMPRODUCT((Calc!$A$2:$A$1001=A3)*Calc!$G$2:$G$1001*((((K3+M3)-(L3+Calc!$J$2:$J$1001))&gt;0)*(((K3+M3)-(L3+Calc!$J$2:$J$1001))&lt;Calc!$F$2:$F$1001)*((K3+M3)-(L3+Calc!$J$2:$J$1001))+(((K3+M3)-(L3+Calc!$J$2:$J$1001))&gt;=Calc!$F$2:$F$1001)*Calc!$F$2:$F$1001))))</f>
        <v/>
      </c>
      <c r="R3">
        <f>IF(I3=0,0,(MIN(MAX((K3+N3),0),L3)*W3+SUMPRODUCT((Calc!$A$2:$A$1001=A3)*Calc!$G$2:$G$1001*((((K3+N3)-(L3+Calc!$J$2:$J$1001))&gt;0)*(((K3+N3)-(L3+Calc!$J$2:$J$1001))&lt;Calc!$F$2:$F$1001)*((K3+N3)-(L3+Calc!$J$2:$J$1001))+(((K3+N3)-(L3+Calc!$J$2:$J$1001))&gt;=Calc!$F$2:$F$1001)*Calc!$F$2:$F$1001))))</f>
        <v/>
      </c>
      <c r="S3">
        <f>IF(I3=0,0,(MIN(MAX((K3+O3),0),L3)*W3+SUMPRODUCT((Calc!$A$2:$A$1001=A3)*Calc!$G$2:$G$1001*((((K3+O3)-(L3+Calc!$J$2:$J$1001))&gt;0)*(((K3+O3)-(L3+Calc!$J$2:$J$1001))&lt;Calc!$F$2:$F$1001)*((K3+O3)-(L3+Calc!$J$2:$J$1001))+(((K3+O3)-(L3+Calc!$J$2:$J$1001))&gt;=Calc!$F$2:$F$1001)*Calc!$F$2:$F$1001))))</f>
        <v/>
      </c>
      <c r="T3">
        <f>IF(AND(E3=1,B3="RETURN"),Transactions!E3*Transactions!G3,0)</f>
        <v/>
      </c>
      <c r="U3">
        <f>IF(AND(E3=1,B3="EXPENSE"),Transactions!J3,0)</f>
        <v/>
      </c>
      <c r="V3">
        <f>IF(AND(Transactions!A3&lt;&gt;"",E3=0),ROW(),"")</f>
        <v/>
      </c>
      <c r="W3">
        <f>IFERROR(VLOOKUP(A3,Opening!$A:$D,4,0),0)</f>
        <v/>
      </c>
    </row>
    <row r="4">
      <c r="A4">
        <f>IF(Transactions!D4="","",UPPER(TRIM(Transactions!D4)))</f>
        <v/>
      </c>
      <c r="B4">
        <f>IF(Transactions!C4="","",UPPER(TRIM(Transactions!C4)))</f>
        <v/>
      </c>
      <c r="C4">
        <f>IF(Transactions!B4="",0,YEAR(Transactions!B4)*100+MONTH(Transactions!B4))</f>
        <v/>
      </c>
      <c r="D4">
        <f>IF(Transactions!A4="",1,IF(COUNTIF(Transactions!$A$1:A3,Transactions!A4)&gt;0,1,0))</f>
        <v/>
      </c>
      <c r="E4">
        <f>IF(D4=1,0,IF(B4="RETURN",IF(COUNTIFS($A$1:A3,A4,$B$1:B3,"SALE",$E$1:E3,1)&gt;0,1,0),1))</f>
        <v/>
      </c>
      <c r="F4">
        <f>IF(E4=1,IF(B4="RECEIPT",Transactions!E4,IF(AND(B4="RETURN",LOWER(TRIM(Transactions!H4))="resellable"),Transactions!E4,0)),0)</f>
        <v/>
      </c>
      <c r="G4">
        <f>IF(F4&gt;0,IF(B4="RECEIPT",Transactions!F4,IF(_xlfn.MAXIFS($H$2:H4,$A$2:A4,A4)&gt;0,INDEX(Transactions!$F:$F,_xlfn.MAXIFS($H$2:H4,$A$2:A4,A4)),W4)),0)</f>
        <v/>
      </c>
      <c r="H4">
        <f>IF(AND(E4=1,B4="RECEIPT"),ROW(),0)</f>
        <v/>
      </c>
      <c r="I4">
        <f>IF(E4=1,IF(OR(B4="SALE",B4="WRITEOFF"),Transactions!E4,0),0)</f>
        <v/>
      </c>
      <c r="J4">
        <f>SUMIFS($F$1:F3,$A$1:A3,A4)</f>
        <v/>
      </c>
      <c r="K4">
        <f>SUMIFS($I$1:I3,$A$1:A3,A4)</f>
        <v/>
      </c>
      <c r="L4">
        <f>IFERROR(VLOOKUP(A4,Opening!$A:$C,3,0),0)</f>
        <v/>
      </c>
      <c r="M4">
        <f>IF(I4=0,0,MAX(0,MIN(INDEX(Month!H$2:H$13,MATCH($A4,Month!$A$2:$A$13,0))-K4,I4)))</f>
        <v/>
      </c>
      <c r="N4">
        <f>IF(I4=0,0,MAX(0,MIN(INDEX(Month!I$2:I$13,MATCH($A4,Month!$A$2:$A$13,0))-K4,I4)))</f>
        <v/>
      </c>
      <c r="O4">
        <f>IF(I4=0,0,MAX(0,MIN(INDEX(Month!J$2:J$13,MATCH($A4,Month!$A$2:$A$13,0))-K4,I4)))</f>
        <v/>
      </c>
      <c r="P4">
        <f>IF(I4=0,0,(MIN(MAX(K4,0),L4)*W4+SUMPRODUCT((Calc!$A$2:$A$1001=A4)*Calc!$G$2:$G$1001*(((K4-(L4+Calc!$J$2:$J$1001))&gt;0)*((K4-(L4+Calc!$J$2:$J$1001))&lt;Calc!$F$2:$F$1001)*(K4-(L4+Calc!$J$2:$J$1001))+((K4-(L4+Calc!$J$2:$J$1001))&gt;=Calc!$F$2:$F$1001)*Calc!$F$2:$F$1001))))</f>
        <v/>
      </c>
      <c r="Q4">
        <f>IF(I4=0,0,(MIN(MAX((K4+M4),0),L4)*W4+SUMPRODUCT((Calc!$A$2:$A$1001=A4)*Calc!$G$2:$G$1001*((((K4+M4)-(L4+Calc!$J$2:$J$1001))&gt;0)*(((K4+M4)-(L4+Calc!$J$2:$J$1001))&lt;Calc!$F$2:$F$1001)*((K4+M4)-(L4+Calc!$J$2:$J$1001))+(((K4+M4)-(L4+Calc!$J$2:$J$1001))&gt;=Calc!$F$2:$F$1001)*Calc!$F$2:$F$1001))))</f>
        <v/>
      </c>
      <c r="R4">
        <f>IF(I4=0,0,(MIN(MAX((K4+N4),0),L4)*W4+SUMPRODUCT((Calc!$A$2:$A$1001=A4)*Calc!$G$2:$G$1001*((((K4+N4)-(L4+Calc!$J$2:$J$1001))&gt;0)*(((K4+N4)-(L4+Calc!$J$2:$J$1001))&lt;Calc!$F$2:$F$1001)*((K4+N4)-(L4+Calc!$J$2:$J$1001))+(((K4+N4)-(L4+Calc!$J$2:$J$1001))&gt;=Calc!$F$2:$F$1001)*Calc!$F$2:$F$1001))))</f>
        <v/>
      </c>
      <c r="S4">
        <f>IF(I4=0,0,(MIN(MAX((K4+O4),0),L4)*W4+SUMPRODUCT((Calc!$A$2:$A$1001=A4)*Calc!$G$2:$G$1001*((((K4+O4)-(L4+Calc!$J$2:$J$1001))&gt;0)*(((K4+O4)-(L4+Calc!$J$2:$J$1001))&lt;Calc!$F$2:$F$1001)*((K4+O4)-(L4+Calc!$J$2:$J$1001))+(((K4+O4)-(L4+Calc!$J$2:$J$1001))&gt;=Calc!$F$2:$F$1001)*Calc!$F$2:$F$1001))))</f>
        <v/>
      </c>
      <c r="T4">
        <f>IF(AND(E4=1,B4="RETURN"),Transactions!E4*Transactions!G4,0)</f>
        <v/>
      </c>
      <c r="U4">
        <f>IF(AND(E4=1,B4="EXPENSE"),Transactions!J4,0)</f>
        <v/>
      </c>
      <c r="V4">
        <f>IF(AND(Transactions!A4&lt;&gt;"",E4=0),ROW(),"")</f>
        <v/>
      </c>
      <c r="W4">
        <f>IFERROR(VLOOKUP(A4,Opening!$A:$D,4,0),0)</f>
        <v/>
      </c>
    </row>
    <row r="5">
      <c r="A5">
        <f>IF(Transactions!D5="","",UPPER(TRIM(Transactions!D5)))</f>
        <v/>
      </c>
      <c r="B5">
        <f>IF(Transactions!C5="","",UPPER(TRIM(Transactions!C5)))</f>
        <v/>
      </c>
      <c r="C5">
        <f>IF(Transactions!B5="",0,YEAR(Transactions!B5)*100+MONTH(Transactions!B5))</f>
        <v/>
      </c>
      <c r="D5">
        <f>IF(Transactions!A5="",1,IF(COUNTIF(Transactions!$A$1:A4,Transactions!A5)&gt;0,1,0))</f>
        <v/>
      </c>
      <c r="E5">
        <f>IF(D5=1,0,IF(B5="RETURN",IF(COUNTIFS($A$1:A4,A5,$B$1:B4,"SALE",$E$1:E4,1)&gt;0,1,0),1))</f>
        <v/>
      </c>
      <c r="F5">
        <f>IF(E5=1,IF(B5="RECEIPT",Transactions!E5,IF(AND(B5="RETURN",LOWER(TRIM(Transactions!H5))="resellable"),Transactions!E5,0)),0)</f>
        <v/>
      </c>
      <c r="G5">
        <f>IF(F5&gt;0,IF(B5="RECEIPT",Transactions!F5,IF(_xlfn.MAXIFS($H$2:H5,$A$2:A5,A5)&gt;0,INDEX(Transactions!$F:$F,_xlfn.MAXIFS($H$2:H5,$A$2:A5,A5)),W5)),0)</f>
        <v/>
      </c>
      <c r="H5">
        <f>IF(AND(E5=1,B5="RECEIPT"),ROW(),0)</f>
        <v/>
      </c>
      <c r="I5">
        <f>IF(E5=1,IF(OR(B5="SALE",B5="WRITEOFF"),Transactions!E5,0),0)</f>
        <v/>
      </c>
      <c r="J5">
        <f>SUMIFS($F$1:F4,$A$1:A4,A5)</f>
        <v/>
      </c>
      <c r="K5">
        <f>SUMIFS($I$1:I4,$A$1:A4,A5)</f>
        <v/>
      </c>
      <c r="L5">
        <f>IFERROR(VLOOKUP(A5,Opening!$A:$C,3,0),0)</f>
        <v/>
      </c>
      <c r="M5">
        <f>IF(I5=0,0,MAX(0,MIN(INDEX(Month!H$2:H$13,MATCH($A5,Month!$A$2:$A$13,0))-K5,I5)))</f>
        <v/>
      </c>
      <c r="N5">
        <f>IF(I5=0,0,MAX(0,MIN(INDEX(Month!I$2:I$13,MATCH($A5,Month!$A$2:$A$13,0))-K5,I5)))</f>
        <v/>
      </c>
      <c r="O5">
        <f>IF(I5=0,0,MAX(0,MIN(INDEX(Month!J$2:J$13,MATCH($A5,Month!$A$2:$A$13,0))-K5,I5)))</f>
        <v/>
      </c>
      <c r="P5">
        <f>IF(I5=0,0,(MIN(MAX(K5,0),L5)*W5+SUMPRODUCT((Calc!$A$2:$A$1001=A5)*Calc!$G$2:$G$1001*(((K5-(L5+Calc!$J$2:$J$1001))&gt;0)*((K5-(L5+Calc!$J$2:$J$1001))&lt;Calc!$F$2:$F$1001)*(K5-(L5+Calc!$J$2:$J$1001))+((K5-(L5+Calc!$J$2:$J$1001))&gt;=Calc!$F$2:$F$1001)*Calc!$F$2:$F$1001))))</f>
        <v/>
      </c>
      <c r="Q5">
        <f>IF(I5=0,0,(MIN(MAX((K5+M5),0),L5)*W5+SUMPRODUCT((Calc!$A$2:$A$1001=A5)*Calc!$G$2:$G$1001*((((K5+M5)-(L5+Calc!$J$2:$J$1001))&gt;0)*(((K5+M5)-(L5+Calc!$J$2:$J$1001))&lt;Calc!$F$2:$F$1001)*((K5+M5)-(L5+Calc!$J$2:$J$1001))+(((K5+M5)-(L5+Calc!$J$2:$J$1001))&gt;=Calc!$F$2:$F$1001)*Calc!$F$2:$F$1001))))</f>
        <v/>
      </c>
      <c r="R5">
        <f>IF(I5=0,0,(MIN(MAX((K5+N5),0),L5)*W5+SUMPRODUCT((Calc!$A$2:$A$1001=A5)*Calc!$G$2:$G$1001*((((K5+N5)-(L5+Calc!$J$2:$J$1001))&gt;0)*(((K5+N5)-(L5+Calc!$J$2:$J$1001))&lt;Calc!$F$2:$F$1001)*((K5+N5)-(L5+Calc!$J$2:$J$1001))+(((K5+N5)-(L5+Calc!$J$2:$J$1001))&gt;=Calc!$F$2:$F$1001)*Calc!$F$2:$F$1001))))</f>
        <v/>
      </c>
      <c r="S5">
        <f>IF(I5=0,0,(MIN(MAX((K5+O5),0),L5)*W5+SUMPRODUCT((Calc!$A$2:$A$1001=A5)*Calc!$G$2:$G$1001*((((K5+O5)-(L5+Calc!$J$2:$J$1001))&gt;0)*(((K5+O5)-(L5+Calc!$J$2:$J$1001))&lt;Calc!$F$2:$F$1001)*((K5+O5)-(L5+Calc!$J$2:$J$1001))+(((K5+O5)-(L5+Calc!$J$2:$J$1001))&gt;=Calc!$F$2:$F$1001)*Calc!$F$2:$F$1001))))</f>
        <v/>
      </c>
      <c r="T5">
        <f>IF(AND(E5=1,B5="RETURN"),Transactions!E5*Transactions!G5,0)</f>
        <v/>
      </c>
      <c r="U5">
        <f>IF(AND(E5=1,B5="EXPENSE"),Transactions!J5,0)</f>
        <v/>
      </c>
      <c r="V5">
        <f>IF(AND(Transactions!A5&lt;&gt;"",E5=0),ROW(),"")</f>
        <v/>
      </c>
      <c r="W5">
        <f>IFERROR(VLOOKUP(A5,Opening!$A:$D,4,0),0)</f>
        <v/>
      </c>
    </row>
    <row r="6">
      <c r="A6">
        <f>IF(Transactions!D6="","",UPPER(TRIM(Transactions!D6)))</f>
        <v/>
      </c>
      <c r="B6">
        <f>IF(Transactions!C6="","",UPPER(TRIM(Transactions!C6)))</f>
        <v/>
      </c>
      <c r="C6">
        <f>IF(Transactions!B6="",0,YEAR(Transactions!B6)*100+MONTH(Transactions!B6))</f>
        <v/>
      </c>
      <c r="D6">
        <f>IF(Transactions!A6="",1,IF(COUNTIF(Transactions!$A$1:A5,Transactions!A6)&gt;0,1,0))</f>
        <v/>
      </c>
      <c r="E6">
        <f>IF(D6=1,0,IF(B6="RETURN",IF(COUNTIFS($A$1:A5,A6,$B$1:B5,"SALE",$E$1:E5,1)&gt;0,1,0),1))</f>
        <v/>
      </c>
      <c r="F6">
        <f>IF(E6=1,IF(B6="RECEIPT",Transactions!E6,IF(AND(B6="RETURN",LOWER(TRIM(Transactions!H6))="resellable"),Transactions!E6,0)),0)</f>
        <v/>
      </c>
      <c r="G6">
        <f>IF(F6&gt;0,IF(B6="RECEIPT",Transactions!F6,IF(_xlfn.MAXIFS($H$2:H6,$A$2:A6,A6)&gt;0,INDEX(Transactions!$F:$F,_xlfn.MAXIFS($H$2:H6,$A$2:A6,A6)),W6)),0)</f>
        <v/>
      </c>
      <c r="H6">
        <f>IF(AND(E6=1,B6="RECEIPT"),ROW(),0)</f>
        <v/>
      </c>
      <c r="I6">
        <f>IF(E6=1,IF(OR(B6="SALE",B6="WRITEOFF"),Transactions!E6,0),0)</f>
        <v/>
      </c>
      <c r="J6">
        <f>SUMIFS($F$1:F5,$A$1:A5,A6)</f>
        <v/>
      </c>
      <c r="K6">
        <f>SUMIFS($I$1:I5,$A$1:A5,A6)</f>
        <v/>
      </c>
      <c r="L6">
        <f>IFERROR(VLOOKUP(A6,Opening!$A:$C,3,0),0)</f>
        <v/>
      </c>
      <c r="M6">
        <f>IF(I6=0,0,MAX(0,MIN(INDEX(Month!H$2:H$13,MATCH($A6,Month!$A$2:$A$13,0))-K6,I6)))</f>
        <v/>
      </c>
      <c r="N6">
        <f>IF(I6=0,0,MAX(0,MIN(INDEX(Month!I$2:I$13,MATCH($A6,Month!$A$2:$A$13,0))-K6,I6)))</f>
        <v/>
      </c>
      <c r="O6">
        <f>IF(I6=0,0,MAX(0,MIN(INDEX(Month!J$2:J$13,MATCH($A6,Month!$A$2:$A$13,0))-K6,I6)))</f>
        <v/>
      </c>
      <c r="P6">
        <f>IF(I6=0,0,(MIN(MAX(K6,0),L6)*W6+SUMPRODUCT((Calc!$A$2:$A$1001=A6)*Calc!$G$2:$G$1001*(((K6-(L6+Calc!$J$2:$J$1001))&gt;0)*((K6-(L6+Calc!$J$2:$J$1001))&lt;Calc!$F$2:$F$1001)*(K6-(L6+Calc!$J$2:$J$1001))+((K6-(L6+Calc!$J$2:$J$1001))&gt;=Calc!$F$2:$F$1001)*Calc!$F$2:$F$1001))))</f>
        <v/>
      </c>
      <c r="Q6">
        <f>IF(I6=0,0,(MIN(MAX((K6+M6),0),L6)*W6+SUMPRODUCT((Calc!$A$2:$A$1001=A6)*Calc!$G$2:$G$1001*((((K6+M6)-(L6+Calc!$J$2:$J$1001))&gt;0)*(((K6+M6)-(L6+Calc!$J$2:$J$1001))&lt;Calc!$F$2:$F$1001)*((K6+M6)-(L6+Calc!$J$2:$J$1001))+(((K6+M6)-(L6+Calc!$J$2:$J$1001))&gt;=Calc!$F$2:$F$1001)*Calc!$F$2:$F$1001))))</f>
        <v/>
      </c>
      <c r="R6">
        <f>IF(I6=0,0,(MIN(MAX((K6+N6),0),L6)*W6+SUMPRODUCT((Calc!$A$2:$A$1001=A6)*Calc!$G$2:$G$1001*((((K6+N6)-(L6+Calc!$J$2:$J$1001))&gt;0)*(((K6+N6)-(L6+Calc!$J$2:$J$1001))&lt;Calc!$F$2:$F$1001)*((K6+N6)-(L6+Calc!$J$2:$J$1001))+(((K6+N6)-(L6+Calc!$J$2:$J$1001))&gt;=Calc!$F$2:$F$1001)*Calc!$F$2:$F$1001))))</f>
        <v/>
      </c>
      <c r="S6">
        <f>IF(I6=0,0,(MIN(MAX((K6+O6),0),L6)*W6+SUMPRODUCT((Calc!$A$2:$A$1001=A6)*Calc!$G$2:$G$1001*((((K6+O6)-(L6+Calc!$J$2:$J$1001))&gt;0)*(((K6+O6)-(L6+Calc!$J$2:$J$1001))&lt;Calc!$F$2:$F$1001)*((K6+O6)-(L6+Calc!$J$2:$J$1001))+(((K6+O6)-(L6+Calc!$J$2:$J$1001))&gt;=Calc!$F$2:$F$1001)*Calc!$F$2:$F$1001))))</f>
        <v/>
      </c>
      <c r="T6">
        <f>IF(AND(E6=1,B6="RETURN"),Transactions!E6*Transactions!G6,0)</f>
        <v/>
      </c>
      <c r="U6">
        <f>IF(AND(E6=1,B6="EXPENSE"),Transactions!J6,0)</f>
        <v/>
      </c>
      <c r="V6">
        <f>IF(AND(Transactions!A6&lt;&gt;"",E6=0),ROW(),"")</f>
        <v/>
      </c>
      <c r="W6">
        <f>IFERROR(VLOOKUP(A6,Opening!$A:$D,4,0),0)</f>
        <v/>
      </c>
    </row>
    <row r="7">
      <c r="A7">
        <f>IF(Transactions!D7="","",UPPER(TRIM(Transactions!D7)))</f>
        <v/>
      </c>
      <c r="B7">
        <f>IF(Transactions!C7="","",UPPER(TRIM(Transactions!C7)))</f>
        <v/>
      </c>
      <c r="C7">
        <f>IF(Transactions!B7="",0,YEAR(Transactions!B7)*100+MONTH(Transactions!B7))</f>
        <v/>
      </c>
      <c r="D7">
        <f>IF(Transactions!A7="",1,IF(COUNTIF(Transactions!$A$1:A6,Transactions!A7)&gt;0,1,0))</f>
        <v/>
      </c>
      <c r="E7">
        <f>IF(D7=1,0,IF(B7="RETURN",IF(COUNTIFS($A$1:A6,A7,$B$1:B6,"SALE",$E$1:E6,1)&gt;0,1,0),1))</f>
        <v/>
      </c>
      <c r="F7">
        <f>IF(E7=1,IF(B7="RECEIPT",Transactions!E7,IF(AND(B7="RETURN",LOWER(TRIM(Transactions!H7))="resellable"),Transactions!E7,0)),0)</f>
        <v/>
      </c>
      <c r="G7">
        <f>IF(F7&gt;0,IF(B7="RECEIPT",Transactions!F7,IF(_xlfn.MAXIFS($H$2:H7,$A$2:A7,A7)&gt;0,INDEX(Transactions!$F:$F,_xlfn.MAXIFS($H$2:H7,$A$2:A7,A7)),W7)),0)</f>
        <v/>
      </c>
      <c r="H7">
        <f>IF(AND(E7=1,B7="RECEIPT"),ROW(),0)</f>
        <v/>
      </c>
      <c r="I7">
        <f>IF(E7=1,IF(OR(B7="SALE",B7="WRITEOFF"),Transactions!E7,0),0)</f>
        <v/>
      </c>
      <c r="J7">
        <f>SUMIFS($F$1:F6,$A$1:A6,A7)</f>
        <v/>
      </c>
      <c r="K7">
        <f>SUMIFS($I$1:I6,$A$1:A6,A7)</f>
        <v/>
      </c>
      <c r="L7">
        <f>IFERROR(VLOOKUP(A7,Opening!$A:$C,3,0),0)</f>
        <v/>
      </c>
      <c r="M7">
        <f>IF(I7=0,0,MAX(0,MIN(INDEX(Month!H$2:H$13,MATCH($A7,Month!$A$2:$A$13,0))-K7,I7)))</f>
        <v/>
      </c>
      <c r="N7">
        <f>IF(I7=0,0,MAX(0,MIN(INDEX(Month!I$2:I$13,MATCH($A7,Month!$A$2:$A$13,0))-K7,I7)))</f>
        <v/>
      </c>
      <c r="O7">
        <f>IF(I7=0,0,MAX(0,MIN(INDEX(Month!J$2:J$13,MATCH($A7,Month!$A$2:$A$13,0))-K7,I7)))</f>
        <v/>
      </c>
      <c r="P7">
        <f>IF(I7=0,0,(MIN(MAX(K7,0),L7)*W7+SUMPRODUCT((Calc!$A$2:$A$1001=A7)*Calc!$G$2:$G$1001*(((K7-(L7+Calc!$J$2:$J$1001))&gt;0)*((K7-(L7+Calc!$J$2:$J$1001))&lt;Calc!$F$2:$F$1001)*(K7-(L7+Calc!$J$2:$J$1001))+((K7-(L7+Calc!$J$2:$J$1001))&gt;=Calc!$F$2:$F$1001)*Calc!$F$2:$F$1001))))</f>
        <v/>
      </c>
      <c r="Q7">
        <f>IF(I7=0,0,(MIN(MAX((K7+M7),0),L7)*W7+SUMPRODUCT((Calc!$A$2:$A$1001=A7)*Calc!$G$2:$G$1001*((((K7+M7)-(L7+Calc!$J$2:$J$1001))&gt;0)*(((K7+M7)-(L7+Calc!$J$2:$J$1001))&lt;Calc!$F$2:$F$1001)*((K7+M7)-(L7+Calc!$J$2:$J$1001))+(((K7+M7)-(L7+Calc!$J$2:$J$1001))&gt;=Calc!$F$2:$F$1001)*Calc!$F$2:$F$1001))))</f>
        <v/>
      </c>
      <c r="R7">
        <f>IF(I7=0,0,(MIN(MAX((K7+N7),0),L7)*W7+SUMPRODUCT((Calc!$A$2:$A$1001=A7)*Calc!$G$2:$G$1001*((((K7+N7)-(L7+Calc!$J$2:$J$1001))&gt;0)*(((K7+N7)-(L7+Calc!$J$2:$J$1001))&lt;Calc!$F$2:$F$1001)*((K7+N7)-(L7+Calc!$J$2:$J$1001))+(((K7+N7)-(L7+Calc!$J$2:$J$1001))&gt;=Calc!$F$2:$F$1001)*Calc!$F$2:$F$1001))))</f>
        <v/>
      </c>
      <c r="S7">
        <f>IF(I7=0,0,(MIN(MAX((K7+O7),0),L7)*W7+SUMPRODUCT((Calc!$A$2:$A$1001=A7)*Calc!$G$2:$G$1001*((((K7+O7)-(L7+Calc!$J$2:$J$1001))&gt;0)*(((K7+O7)-(L7+Calc!$J$2:$J$1001))&lt;Calc!$F$2:$F$1001)*((K7+O7)-(L7+Calc!$J$2:$J$1001))+(((K7+O7)-(L7+Calc!$J$2:$J$1001))&gt;=Calc!$F$2:$F$1001)*Calc!$F$2:$F$1001))))</f>
        <v/>
      </c>
      <c r="T7">
        <f>IF(AND(E7=1,B7="RETURN"),Transactions!E7*Transactions!G7,0)</f>
        <v/>
      </c>
      <c r="U7">
        <f>IF(AND(E7=1,B7="EXPENSE"),Transactions!J7,0)</f>
        <v/>
      </c>
      <c r="V7">
        <f>IF(AND(Transactions!A7&lt;&gt;"",E7=0),ROW(),"")</f>
        <v/>
      </c>
      <c r="W7">
        <f>IFERROR(VLOOKUP(A7,Opening!$A:$D,4,0),0)</f>
        <v/>
      </c>
    </row>
    <row r="8">
      <c r="A8">
        <f>IF(Transactions!D8="","",UPPER(TRIM(Transactions!D8)))</f>
        <v/>
      </c>
      <c r="B8">
        <f>IF(Transactions!C8="","",UPPER(TRIM(Transactions!C8)))</f>
        <v/>
      </c>
      <c r="C8">
        <f>IF(Transactions!B8="",0,YEAR(Transactions!B8)*100+MONTH(Transactions!B8))</f>
        <v/>
      </c>
      <c r="D8">
        <f>IF(Transactions!A8="",1,IF(COUNTIF(Transactions!$A$1:A7,Transactions!A8)&gt;0,1,0))</f>
        <v/>
      </c>
      <c r="E8">
        <f>IF(D8=1,0,IF(B8="RETURN",IF(COUNTIFS($A$1:A7,A8,$B$1:B7,"SALE",$E$1:E7,1)&gt;0,1,0),1))</f>
        <v/>
      </c>
      <c r="F8">
        <f>IF(E8=1,IF(B8="RECEIPT",Transactions!E8,IF(AND(B8="RETURN",LOWER(TRIM(Transactions!H8))="resellable"),Transactions!E8,0)),0)</f>
        <v/>
      </c>
      <c r="G8">
        <f>IF(F8&gt;0,IF(B8="RECEIPT",Transactions!F8,IF(_xlfn.MAXIFS($H$2:H8,$A$2:A8,A8)&gt;0,INDEX(Transactions!$F:$F,_xlfn.MAXIFS($H$2:H8,$A$2:A8,A8)),W8)),0)</f>
        <v/>
      </c>
      <c r="H8">
        <f>IF(AND(E8=1,B8="RECEIPT"),ROW(),0)</f>
        <v/>
      </c>
      <c r="I8">
        <f>IF(E8=1,IF(OR(B8="SALE",B8="WRITEOFF"),Transactions!E8,0),0)</f>
        <v/>
      </c>
      <c r="J8">
        <f>SUMIFS($F$1:F7,$A$1:A7,A8)</f>
        <v/>
      </c>
      <c r="K8">
        <f>SUMIFS($I$1:I7,$A$1:A7,A8)</f>
        <v/>
      </c>
      <c r="L8">
        <f>IFERROR(VLOOKUP(A8,Opening!$A:$C,3,0),0)</f>
        <v/>
      </c>
      <c r="M8">
        <f>IF(I8=0,0,MAX(0,MIN(INDEX(Month!H$2:H$13,MATCH($A8,Month!$A$2:$A$13,0))-K8,I8)))</f>
        <v/>
      </c>
      <c r="N8">
        <f>IF(I8=0,0,MAX(0,MIN(INDEX(Month!I$2:I$13,MATCH($A8,Month!$A$2:$A$13,0))-K8,I8)))</f>
        <v/>
      </c>
      <c r="O8">
        <f>IF(I8=0,0,MAX(0,MIN(INDEX(Month!J$2:J$13,MATCH($A8,Month!$A$2:$A$13,0))-K8,I8)))</f>
        <v/>
      </c>
      <c r="P8">
        <f>IF(I8=0,0,(MIN(MAX(K8,0),L8)*W8+SUMPRODUCT((Calc!$A$2:$A$1001=A8)*Calc!$G$2:$G$1001*(((K8-(L8+Calc!$J$2:$J$1001))&gt;0)*((K8-(L8+Calc!$J$2:$J$1001))&lt;Calc!$F$2:$F$1001)*(K8-(L8+Calc!$J$2:$J$1001))+((K8-(L8+Calc!$J$2:$J$1001))&gt;=Calc!$F$2:$F$1001)*Calc!$F$2:$F$1001))))</f>
        <v/>
      </c>
      <c r="Q8">
        <f>IF(I8=0,0,(MIN(MAX((K8+M8),0),L8)*W8+SUMPRODUCT((Calc!$A$2:$A$1001=A8)*Calc!$G$2:$G$1001*((((K8+M8)-(L8+Calc!$J$2:$J$1001))&gt;0)*(((K8+M8)-(L8+Calc!$J$2:$J$1001))&lt;Calc!$F$2:$F$1001)*((K8+M8)-(L8+Calc!$J$2:$J$1001))+(((K8+M8)-(L8+Calc!$J$2:$J$1001))&gt;=Calc!$F$2:$F$1001)*Calc!$F$2:$F$1001))))</f>
        <v/>
      </c>
      <c r="R8">
        <f>IF(I8=0,0,(MIN(MAX((K8+N8),0),L8)*W8+SUMPRODUCT((Calc!$A$2:$A$1001=A8)*Calc!$G$2:$G$1001*((((K8+N8)-(L8+Calc!$J$2:$J$1001))&gt;0)*(((K8+N8)-(L8+Calc!$J$2:$J$1001))&lt;Calc!$F$2:$F$1001)*((K8+N8)-(L8+Calc!$J$2:$J$1001))+(((K8+N8)-(L8+Calc!$J$2:$J$1001))&gt;=Calc!$F$2:$F$1001)*Calc!$F$2:$F$1001))))</f>
        <v/>
      </c>
      <c r="S8">
        <f>IF(I8=0,0,(MIN(MAX((K8+O8),0),L8)*W8+SUMPRODUCT((Calc!$A$2:$A$1001=A8)*Calc!$G$2:$G$1001*((((K8+O8)-(L8+Calc!$J$2:$J$1001))&gt;0)*(((K8+O8)-(L8+Calc!$J$2:$J$1001))&lt;Calc!$F$2:$F$1001)*((K8+O8)-(L8+Calc!$J$2:$J$1001))+(((K8+O8)-(L8+Calc!$J$2:$J$1001))&gt;=Calc!$F$2:$F$1001)*Calc!$F$2:$F$1001))))</f>
        <v/>
      </c>
      <c r="T8">
        <f>IF(AND(E8=1,B8="RETURN"),Transactions!E8*Transactions!G8,0)</f>
        <v/>
      </c>
      <c r="U8">
        <f>IF(AND(E8=1,B8="EXPENSE"),Transactions!J8,0)</f>
        <v/>
      </c>
      <c r="V8">
        <f>IF(AND(Transactions!A8&lt;&gt;"",E8=0),ROW(),"")</f>
        <v/>
      </c>
      <c r="W8">
        <f>IFERROR(VLOOKUP(A8,Opening!$A:$D,4,0),0)</f>
        <v/>
      </c>
    </row>
    <row r="9">
      <c r="A9">
        <f>IF(Transactions!D9="","",UPPER(TRIM(Transactions!D9)))</f>
        <v/>
      </c>
      <c r="B9">
        <f>IF(Transactions!C9="","",UPPER(TRIM(Transactions!C9)))</f>
        <v/>
      </c>
      <c r="C9">
        <f>IF(Transactions!B9="",0,YEAR(Transactions!B9)*100+MONTH(Transactions!B9))</f>
        <v/>
      </c>
      <c r="D9">
        <f>IF(Transactions!A9="",1,IF(COUNTIF(Transactions!$A$1:A8,Transactions!A9)&gt;0,1,0))</f>
        <v/>
      </c>
      <c r="E9">
        <f>IF(D9=1,0,IF(B9="RETURN",IF(COUNTIFS($A$1:A8,A9,$B$1:B8,"SALE",$E$1:E8,1)&gt;0,1,0),1))</f>
        <v/>
      </c>
      <c r="F9">
        <f>IF(E9=1,IF(B9="RECEIPT",Transactions!E9,IF(AND(B9="RETURN",LOWER(TRIM(Transactions!H9))="resellable"),Transactions!E9,0)),0)</f>
        <v/>
      </c>
      <c r="G9">
        <f>IF(F9&gt;0,IF(B9="RECEIPT",Transactions!F9,IF(_xlfn.MAXIFS($H$2:H9,$A$2:A9,A9)&gt;0,INDEX(Transactions!$F:$F,_xlfn.MAXIFS($H$2:H9,$A$2:A9,A9)),W9)),0)</f>
        <v/>
      </c>
      <c r="H9">
        <f>IF(AND(E9=1,B9="RECEIPT"),ROW(),0)</f>
        <v/>
      </c>
      <c r="I9">
        <f>IF(E9=1,IF(OR(B9="SALE",B9="WRITEOFF"),Transactions!E9,0),0)</f>
        <v/>
      </c>
      <c r="J9">
        <f>SUMIFS($F$1:F8,$A$1:A8,A9)</f>
        <v/>
      </c>
      <c r="K9">
        <f>SUMIFS($I$1:I8,$A$1:A8,A9)</f>
        <v/>
      </c>
      <c r="L9">
        <f>IFERROR(VLOOKUP(A9,Opening!$A:$C,3,0),0)</f>
        <v/>
      </c>
      <c r="M9">
        <f>IF(I9=0,0,MAX(0,MIN(INDEX(Month!H$2:H$13,MATCH($A9,Month!$A$2:$A$13,0))-K9,I9)))</f>
        <v/>
      </c>
      <c r="N9">
        <f>IF(I9=0,0,MAX(0,MIN(INDEX(Month!I$2:I$13,MATCH($A9,Month!$A$2:$A$13,0))-K9,I9)))</f>
        <v/>
      </c>
      <c r="O9">
        <f>IF(I9=0,0,MAX(0,MIN(INDEX(Month!J$2:J$13,MATCH($A9,Month!$A$2:$A$13,0))-K9,I9)))</f>
        <v/>
      </c>
      <c r="P9">
        <f>IF(I9=0,0,(MIN(MAX(K9,0),L9)*W9+SUMPRODUCT((Calc!$A$2:$A$1001=A9)*Calc!$G$2:$G$1001*(((K9-(L9+Calc!$J$2:$J$1001))&gt;0)*((K9-(L9+Calc!$J$2:$J$1001))&lt;Calc!$F$2:$F$1001)*(K9-(L9+Calc!$J$2:$J$1001))+((K9-(L9+Calc!$J$2:$J$1001))&gt;=Calc!$F$2:$F$1001)*Calc!$F$2:$F$1001))))</f>
        <v/>
      </c>
      <c r="Q9">
        <f>IF(I9=0,0,(MIN(MAX((K9+M9),0),L9)*W9+SUMPRODUCT((Calc!$A$2:$A$1001=A9)*Calc!$G$2:$G$1001*((((K9+M9)-(L9+Calc!$J$2:$J$1001))&gt;0)*(((K9+M9)-(L9+Calc!$J$2:$J$1001))&lt;Calc!$F$2:$F$1001)*((K9+M9)-(L9+Calc!$J$2:$J$1001))+(((K9+M9)-(L9+Calc!$J$2:$J$1001))&gt;=Calc!$F$2:$F$1001)*Calc!$F$2:$F$1001))))</f>
        <v/>
      </c>
      <c r="R9">
        <f>IF(I9=0,0,(MIN(MAX((K9+N9),0),L9)*W9+SUMPRODUCT((Calc!$A$2:$A$1001=A9)*Calc!$G$2:$G$1001*((((K9+N9)-(L9+Calc!$J$2:$J$1001))&gt;0)*(((K9+N9)-(L9+Calc!$J$2:$J$1001))&lt;Calc!$F$2:$F$1001)*((K9+N9)-(L9+Calc!$J$2:$J$1001))+(((K9+N9)-(L9+Calc!$J$2:$J$1001))&gt;=Calc!$F$2:$F$1001)*Calc!$F$2:$F$1001))))</f>
        <v/>
      </c>
      <c r="S9">
        <f>IF(I9=0,0,(MIN(MAX((K9+O9),0),L9)*W9+SUMPRODUCT((Calc!$A$2:$A$1001=A9)*Calc!$G$2:$G$1001*((((K9+O9)-(L9+Calc!$J$2:$J$1001))&gt;0)*(((K9+O9)-(L9+Calc!$J$2:$J$1001))&lt;Calc!$F$2:$F$1001)*((K9+O9)-(L9+Calc!$J$2:$J$1001))+(((K9+O9)-(L9+Calc!$J$2:$J$1001))&gt;=Calc!$F$2:$F$1001)*Calc!$F$2:$F$1001))))</f>
        <v/>
      </c>
      <c r="T9">
        <f>IF(AND(E9=1,B9="RETURN"),Transactions!E9*Transactions!G9,0)</f>
        <v/>
      </c>
      <c r="U9">
        <f>IF(AND(E9=1,B9="EXPENSE"),Transactions!J9,0)</f>
        <v/>
      </c>
      <c r="V9">
        <f>IF(AND(Transactions!A9&lt;&gt;"",E9=0),ROW(),"")</f>
        <v/>
      </c>
      <c r="W9">
        <f>IFERROR(VLOOKUP(A9,Opening!$A:$D,4,0),0)</f>
        <v/>
      </c>
    </row>
    <row r="10">
      <c r="A10">
        <f>IF(Transactions!D10="","",UPPER(TRIM(Transactions!D10)))</f>
        <v/>
      </c>
      <c r="B10">
        <f>IF(Transactions!C10="","",UPPER(TRIM(Transactions!C10)))</f>
        <v/>
      </c>
      <c r="C10">
        <f>IF(Transactions!B10="",0,YEAR(Transactions!B10)*100+MONTH(Transactions!B10))</f>
        <v/>
      </c>
      <c r="D10">
        <f>IF(Transactions!A10="",1,IF(COUNTIF(Transactions!$A$1:A9,Transactions!A10)&gt;0,1,0))</f>
        <v/>
      </c>
      <c r="E10">
        <f>IF(D10=1,0,IF(B10="RETURN",IF(COUNTIFS($A$1:A9,A10,$B$1:B9,"SALE",$E$1:E9,1)&gt;0,1,0),1))</f>
        <v/>
      </c>
      <c r="F10">
        <f>IF(E10=1,IF(B10="RECEIPT",Transactions!E10,IF(AND(B10="RETURN",LOWER(TRIM(Transactions!H10))="resellable"),Transactions!E10,0)),0)</f>
        <v/>
      </c>
      <c r="G10">
        <f>IF(F10&gt;0,IF(B10="RECEIPT",Transactions!F10,IF(_xlfn.MAXIFS($H$2:H10,$A$2:A10,A10)&gt;0,INDEX(Transactions!$F:$F,_xlfn.MAXIFS($H$2:H10,$A$2:A10,A10)),W10)),0)</f>
        <v/>
      </c>
      <c r="H10">
        <f>IF(AND(E10=1,B10="RECEIPT"),ROW(),0)</f>
        <v/>
      </c>
      <c r="I10">
        <f>IF(E10=1,IF(OR(B10="SALE",B10="WRITEOFF"),Transactions!E10,0),0)</f>
        <v/>
      </c>
      <c r="J10">
        <f>SUMIFS($F$1:F9,$A$1:A9,A10)</f>
        <v/>
      </c>
      <c r="K10">
        <f>SUMIFS($I$1:I9,$A$1:A9,A10)</f>
        <v/>
      </c>
      <c r="L10">
        <f>IFERROR(VLOOKUP(A10,Opening!$A:$C,3,0),0)</f>
        <v/>
      </c>
      <c r="M10">
        <f>IF(I10=0,0,MAX(0,MIN(INDEX(Month!H$2:H$13,MATCH($A10,Month!$A$2:$A$13,0))-K10,I10)))</f>
        <v/>
      </c>
      <c r="N10">
        <f>IF(I10=0,0,MAX(0,MIN(INDEX(Month!I$2:I$13,MATCH($A10,Month!$A$2:$A$13,0))-K10,I10)))</f>
        <v/>
      </c>
      <c r="O10">
        <f>IF(I10=0,0,MAX(0,MIN(INDEX(Month!J$2:J$13,MATCH($A10,Month!$A$2:$A$13,0))-K10,I10)))</f>
        <v/>
      </c>
      <c r="P10">
        <f>IF(I10=0,0,(MIN(MAX(K10,0),L10)*W10+SUMPRODUCT((Calc!$A$2:$A$1001=A10)*Calc!$G$2:$G$1001*(((K10-(L10+Calc!$J$2:$J$1001))&gt;0)*((K10-(L10+Calc!$J$2:$J$1001))&lt;Calc!$F$2:$F$1001)*(K10-(L10+Calc!$J$2:$J$1001))+((K10-(L10+Calc!$J$2:$J$1001))&gt;=Calc!$F$2:$F$1001)*Calc!$F$2:$F$1001))))</f>
        <v/>
      </c>
      <c r="Q10">
        <f>IF(I10=0,0,(MIN(MAX((K10+M10),0),L10)*W10+SUMPRODUCT((Calc!$A$2:$A$1001=A10)*Calc!$G$2:$G$1001*((((K10+M10)-(L10+Calc!$J$2:$J$1001))&gt;0)*(((K10+M10)-(L10+Calc!$J$2:$J$1001))&lt;Calc!$F$2:$F$1001)*((K10+M10)-(L10+Calc!$J$2:$J$1001))+(((K10+M10)-(L10+Calc!$J$2:$J$1001))&gt;=Calc!$F$2:$F$1001)*Calc!$F$2:$F$1001))))</f>
        <v/>
      </c>
      <c r="R10">
        <f>IF(I10=0,0,(MIN(MAX((K10+N10),0),L10)*W10+SUMPRODUCT((Calc!$A$2:$A$1001=A10)*Calc!$G$2:$G$1001*((((K10+N10)-(L10+Calc!$J$2:$J$1001))&gt;0)*(((K10+N10)-(L10+Calc!$J$2:$J$1001))&lt;Calc!$F$2:$F$1001)*((K10+N10)-(L10+Calc!$J$2:$J$1001))+(((K10+N10)-(L10+Calc!$J$2:$J$1001))&gt;=Calc!$F$2:$F$1001)*Calc!$F$2:$F$1001))))</f>
        <v/>
      </c>
      <c r="S10">
        <f>IF(I10=0,0,(MIN(MAX((K10+O10),0),L10)*W10+SUMPRODUCT((Calc!$A$2:$A$1001=A10)*Calc!$G$2:$G$1001*((((K10+O10)-(L10+Calc!$J$2:$J$1001))&gt;0)*(((K10+O10)-(L10+Calc!$J$2:$J$1001))&lt;Calc!$F$2:$F$1001)*((K10+O10)-(L10+Calc!$J$2:$J$1001))+(((K10+O10)-(L10+Calc!$J$2:$J$1001))&gt;=Calc!$F$2:$F$1001)*Calc!$F$2:$F$1001))))</f>
        <v/>
      </c>
      <c r="T10">
        <f>IF(AND(E10=1,B10="RETURN"),Transactions!E10*Transactions!G10,0)</f>
        <v/>
      </c>
      <c r="U10">
        <f>IF(AND(E10=1,B10="EXPENSE"),Transactions!J10,0)</f>
        <v/>
      </c>
      <c r="V10">
        <f>IF(AND(Transactions!A10&lt;&gt;"",E10=0),ROW(),"")</f>
        <v/>
      </c>
      <c r="W10">
        <f>IFERROR(VLOOKUP(A10,Opening!$A:$D,4,0),0)</f>
        <v/>
      </c>
    </row>
    <row r="11">
      <c r="A11">
        <f>IF(Transactions!D11="","",UPPER(TRIM(Transactions!D11)))</f>
        <v/>
      </c>
      <c r="B11">
        <f>IF(Transactions!C11="","",UPPER(TRIM(Transactions!C11)))</f>
        <v/>
      </c>
      <c r="C11">
        <f>IF(Transactions!B11="",0,YEAR(Transactions!B11)*100+MONTH(Transactions!B11))</f>
        <v/>
      </c>
      <c r="D11">
        <f>IF(Transactions!A11="",1,IF(COUNTIF(Transactions!$A$1:A10,Transactions!A11)&gt;0,1,0))</f>
        <v/>
      </c>
      <c r="E11">
        <f>IF(D11=1,0,IF(B11="RETURN",IF(COUNTIFS($A$1:A10,A11,$B$1:B10,"SALE",$E$1:E10,1)&gt;0,1,0),1))</f>
        <v/>
      </c>
      <c r="F11">
        <f>IF(E11=1,IF(B11="RECEIPT",Transactions!E11,IF(AND(B11="RETURN",LOWER(TRIM(Transactions!H11))="resellable"),Transactions!E11,0)),0)</f>
        <v/>
      </c>
      <c r="G11">
        <f>IF(F11&gt;0,IF(B11="RECEIPT",Transactions!F11,IF(_xlfn.MAXIFS($H$2:H11,$A$2:A11,A11)&gt;0,INDEX(Transactions!$F:$F,_xlfn.MAXIFS($H$2:H11,$A$2:A11,A11)),W11)),0)</f>
        <v/>
      </c>
      <c r="H11">
        <f>IF(AND(E11=1,B11="RECEIPT"),ROW(),0)</f>
        <v/>
      </c>
      <c r="I11">
        <f>IF(E11=1,IF(OR(B11="SALE",B11="WRITEOFF"),Transactions!E11,0),0)</f>
        <v/>
      </c>
      <c r="J11">
        <f>SUMIFS($F$1:F10,$A$1:A10,A11)</f>
        <v/>
      </c>
      <c r="K11">
        <f>SUMIFS($I$1:I10,$A$1:A10,A11)</f>
        <v/>
      </c>
      <c r="L11">
        <f>IFERROR(VLOOKUP(A11,Opening!$A:$C,3,0),0)</f>
        <v/>
      </c>
      <c r="M11">
        <f>IF(I11=0,0,MAX(0,MIN(INDEX(Month!H$2:H$13,MATCH($A11,Month!$A$2:$A$13,0))-K11,I11)))</f>
        <v/>
      </c>
      <c r="N11">
        <f>IF(I11=0,0,MAX(0,MIN(INDEX(Month!I$2:I$13,MATCH($A11,Month!$A$2:$A$13,0))-K11,I11)))</f>
        <v/>
      </c>
      <c r="O11">
        <f>IF(I11=0,0,MAX(0,MIN(INDEX(Month!J$2:J$13,MATCH($A11,Month!$A$2:$A$13,0))-K11,I11)))</f>
        <v/>
      </c>
      <c r="P11">
        <f>IF(I11=0,0,(MIN(MAX(K11,0),L11)*W11+SUMPRODUCT((Calc!$A$2:$A$1001=A11)*Calc!$G$2:$G$1001*(((K11-(L11+Calc!$J$2:$J$1001))&gt;0)*((K11-(L11+Calc!$J$2:$J$1001))&lt;Calc!$F$2:$F$1001)*(K11-(L11+Calc!$J$2:$J$1001))+((K11-(L11+Calc!$J$2:$J$1001))&gt;=Calc!$F$2:$F$1001)*Calc!$F$2:$F$1001))))</f>
        <v/>
      </c>
      <c r="Q11">
        <f>IF(I11=0,0,(MIN(MAX((K11+M11),0),L11)*W11+SUMPRODUCT((Calc!$A$2:$A$1001=A11)*Calc!$G$2:$G$1001*((((K11+M11)-(L11+Calc!$J$2:$J$1001))&gt;0)*(((K11+M11)-(L11+Calc!$J$2:$J$1001))&lt;Calc!$F$2:$F$1001)*((K11+M11)-(L11+Calc!$J$2:$J$1001))+(((K11+M11)-(L11+Calc!$J$2:$J$1001))&gt;=Calc!$F$2:$F$1001)*Calc!$F$2:$F$1001))))</f>
        <v/>
      </c>
      <c r="R11">
        <f>IF(I11=0,0,(MIN(MAX((K11+N11),0),L11)*W11+SUMPRODUCT((Calc!$A$2:$A$1001=A11)*Calc!$G$2:$G$1001*((((K11+N11)-(L11+Calc!$J$2:$J$1001))&gt;0)*(((K11+N11)-(L11+Calc!$J$2:$J$1001))&lt;Calc!$F$2:$F$1001)*((K11+N11)-(L11+Calc!$J$2:$J$1001))+(((K11+N11)-(L11+Calc!$J$2:$J$1001))&gt;=Calc!$F$2:$F$1001)*Calc!$F$2:$F$1001))))</f>
        <v/>
      </c>
      <c r="S11">
        <f>IF(I11=0,0,(MIN(MAX((K11+O11),0),L11)*W11+SUMPRODUCT((Calc!$A$2:$A$1001=A11)*Calc!$G$2:$G$1001*((((K11+O11)-(L11+Calc!$J$2:$J$1001))&gt;0)*(((K11+O11)-(L11+Calc!$J$2:$J$1001))&lt;Calc!$F$2:$F$1001)*((K11+O11)-(L11+Calc!$J$2:$J$1001))+(((K11+O11)-(L11+Calc!$J$2:$J$1001))&gt;=Calc!$F$2:$F$1001)*Calc!$F$2:$F$1001))))</f>
        <v/>
      </c>
      <c r="T11">
        <f>IF(AND(E11=1,B11="RETURN"),Transactions!E11*Transactions!G11,0)</f>
        <v/>
      </c>
      <c r="U11">
        <f>IF(AND(E11=1,B11="EXPENSE"),Transactions!J11,0)</f>
        <v/>
      </c>
      <c r="V11">
        <f>IF(AND(Transactions!A11&lt;&gt;"",E11=0),ROW(),"")</f>
        <v/>
      </c>
      <c r="W11">
        <f>IFERROR(VLOOKUP(A11,Opening!$A:$D,4,0),0)</f>
        <v/>
      </c>
    </row>
    <row r="12">
      <c r="A12">
        <f>IF(Transactions!D12="","",UPPER(TRIM(Transactions!D12)))</f>
        <v/>
      </c>
      <c r="B12">
        <f>IF(Transactions!C12="","",UPPER(TRIM(Transactions!C12)))</f>
        <v/>
      </c>
      <c r="C12">
        <f>IF(Transactions!B12="",0,YEAR(Transactions!B12)*100+MONTH(Transactions!B12))</f>
        <v/>
      </c>
      <c r="D12">
        <f>IF(Transactions!A12="",1,IF(COUNTIF(Transactions!$A$1:A11,Transactions!A12)&gt;0,1,0))</f>
        <v/>
      </c>
      <c r="E12">
        <f>IF(D12=1,0,IF(B12="RETURN",IF(COUNTIFS($A$1:A11,A12,$B$1:B11,"SALE",$E$1:E11,1)&gt;0,1,0),1))</f>
        <v/>
      </c>
      <c r="F12">
        <f>IF(E12=1,IF(B12="RECEIPT",Transactions!E12,IF(AND(B12="RETURN",LOWER(TRIM(Transactions!H12))="resellable"),Transactions!E12,0)),0)</f>
        <v/>
      </c>
      <c r="G12">
        <f>IF(F12&gt;0,IF(B12="RECEIPT",Transactions!F12,IF(_xlfn.MAXIFS($H$2:H12,$A$2:A12,A12)&gt;0,INDEX(Transactions!$F:$F,_xlfn.MAXIFS($H$2:H12,$A$2:A12,A12)),W12)),0)</f>
        <v/>
      </c>
      <c r="H12">
        <f>IF(AND(E12=1,B12="RECEIPT"),ROW(),0)</f>
        <v/>
      </c>
      <c r="I12">
        <f>IF(E12=1,IF(OR(B12="SALE",B12="WRITEOFF"),Transactions!E12,0),0)</f>
        <v/>
      </c>
      <c r="J12">
        <f>SUMIFS($F$1:F11,$A$1:A11,A12)</f>
        <v/>
      </c>
      <c r="K12">
        <f>SUMIFS($I$1:I11,$A$1:A11,A12)</f>
        <v/>
      </c>
      <c r="L12">
        <f>IFERROR(VLOOKUP(A12,Opening!$A:$C,3,0),0)</f>
        <v/>
      </c>
      <c r="M12">
        <f>IF(I12=0,0,MAX(0,MIN(INDEX(Month!H$2:H$13,MATCH($A12,Month!$A$2:$A$13,0))-K12,I12)))</f>
        <v/>
      </c>
      <c r="N12">
        <f>IF(I12=0,0,MAX(0,MIN(INDEX(Month!I$2:I$13,MATCH($A12,Month!$A$2:$A$13,0))-K12,I12)))</f>
        <v/>
      </c>
      <c r="O12">
        <f>IF(I12=0,0,MAX(0,MIN(INDEX(Month!J$2:J$13,MATCH($A12,Month!$A$2:$A$13,0))-K12,I12)))</f>
        <v/>
      </c>
      <c r="P12">
        <f>IF(I12=0,0,(MIN(MAX(K12,0),L12)*W12+SUMPRODUCT((Calc!$A$2:$A$1001=A12)*Calc!$G$2:$G$1001*(((K12-(L12+Calc!$J$2:$J$1001))&gt;0)*((K12-(L12+Calc!$J$2:$J$1001))&lt;Calc!$F$2:$F$1001)*(K12-(L12+Calc!$J$2:$J$1001))+((K12-(L12+Calc!$J$2:$J$1001))&gt;=Calc!$F$2:$F$1001)*Calc!$F$2:$F$1001))))</f>
        <v/>
      </c>
      <c r="Q12">
        <f>IF(I12=0,0,(MIN(MAX((K12+M12),0),L12)*W12+SUMPRODUCT((Calc!$A$2:$A$1001=A12)*Calc!$G$2:$G$1001*((((K12+M12)-(L12+Calc!$J$2:$J$1001))&gt;0)*(((K12+M12)-(L12+Calc!$J$2:$J$1001))&lt;Calc!$F$2:$F$1001)*((K12+M12)-(L12+Calc!$J$2:$J$1001))+(((K12+M12)-(L12+Calc!$J$2:$J$1001))&gt;=Calc!$F$2:$F$1001)*Calc!$F$2:$F$1001))))</f>
        <v/>
      </c>
      <c r="R12">
        <f>IF(I12=0,0,(MIN(MAX((K12+N12),0),L12)*W12+SUMPRODUCT((Calc!$A$2:$A$1001=A12)*Calc!$G$2:$G$1001*((((K12+N12)-(L12+Calc!$J$2:$J$1001))&gt;0)*(((K12+N12)-(L12+Calc!$J$2:$J$1001))&lt;Calc!$F$2:$F$1001)*((K12+N12)-(L12+Calc!$J$2:$J$1001))+(((K12+N12)-(L12+Calc!$J$2:$J$1001))&gt;=Calc!$F$2:$F$1001)*Calc!$F$2:$F$1001))))</f>
        <v/>
      </c>
      <c r="S12">
        <f>IF(I12=0,0,(MIN(MAX((K12+O12),0),L12)*W12+SUMPRODUCT((Calc!$A$2:$A$1001=A12)*Calc!$G$2:$G$1001*((((K12+O12)-(L12+Calc!$J$2:$J$1001))&gt;0)*(((K12+O12)-(L12+Calc!$J$2:$J$1001))&lt;Calc!$F$2:$F$1001)*((K12+O12)-(L12+Calc!$J$2:$J$1001))+(((K12+O12)-(L12+Calc!$J$2:$J$1001))&gt;=Calc!$F$2:$F$1001)*Calc!$F$2:$F$1001))))</f>
        <v/>
      </c>
      <c r="T12">
        <f>IF(AND(E12=1,B12="RETURN"),Transactions!E12*Transactions!G12,0)</f>
        <v/>
      </c>
      <c r="U12">
        <f>IF(AND(E12=1,B12="EXPENSE"),Transactions!J12,0)</f>
        <v/>
      </c>
      <c r="V12">
        <f>IF(AND(Transactions!A12&lt;&gt;"",E12=0),ROW(),"")</f>
        <v/>
      </c>
      <c r="W12">
        <f>IFERROR(VLOOKUP(A12,Opening!$A:$D,4,0),0)</f>
        <v/>
      </c>
    </row>
    <row r="13">
      <c r="A13">
        <f>IF(Transactions!D13="","",UPPER(TRIM(Transactions!D13)))</f>
        <v/>
      </c>
      <c r="B13">
        <f>IF(Transactions!C13="","",UPPER(TRIM(Transactions!C13)))</f>
        <v/>
      </c>
      <c r="C13">
        <f>IF(Transactions!B13="",0,YEAR(Transactions!B13)*100+MONTH(Transactions!B13))</f>
        <v/>
      </c>
      <c r="D13">
        <f>IF(Transactions!A13="",1,IF(COUNTIF(Transactions!$A$1:A12,Transactions!A13)&gt;0,1,0))</f>
        <v/>
      </c>
      <c r="E13">
        <f>IF(D13=1,0,IF(B13="RETURN",IF(COUNTIFS($A$1:A12,A13,$B$1:B12,"SALE",$E$1:E12,1)&gt;0,1,0),1))</f>
        <v/>
      </c>
      <c r="F13">
        <f>IF(E13=1,IF(B13="RECEIPT",Transactions!E13,IF(AND(B13="RETURN",LOWER(TRIM(Transactions!H13))="resellable"),Transactions!E13,0)),0)</f>
        <v/>
      </c>
      <c r="G13">
        <f>IF(F13&gt;0,IF(B13="RECEIPT",Transactions!F13,IF(_xlfn.MAXIFS($H$2:H13,$A$2:A13,A13)&gt;0,INDEX(Transactions!$F:$F,_xlfn.MAXIFS($H$2:H13,$A$2:A13,A13)),W13)),0)</f>
        <v/>
      </c>
      <c r="H13">
        <f>IF(AND(E13=1,B13="RECEIPT"),ROW(),0)</f>
        <v/>
      </c>
      <c r="I13">
        <f>IF(E13=1,IF(OR(B13="SALE",B13="WRITEOFF"),Transactions!E13,0),0)</f>
        <v/>
      </c>
      <c r="J13">
        <f>SUMIFS($F$1:F12,$A$1:A12,A13)</f>
        <v/>
      </c>
      <c r="K13">
        <f>SUMIFS($I$1:I12,$A$1:A12,A13)</f>
        <v/>
      </c>
      <c r="L13">
        <f>IFERROR(VLOOKUP(A13,Opening!$A:$C,3,0),0)</f>
        <v/>
      </c>
      <c r="M13">
        <f>IF(I13=0,0,MAX(0,MIN(INDEX(Month!H$2:H$13,MATCH($A13,Month!$A$2:$A$13,0))-K13,I13)))</f>
        <v/>
      </c>
      <c r="N13">
        <f>IF(I13=0,0,MAX(0,MIN(INDEX(Month!I$2:I$13,MATCH($A13,Month!$A$2:$A$13,0))-K13,I13)))</f>
        <v/>
      </c>
      <c r="O13">
        <f>IF(I13=0,0,MAX(0,MIN(INDEX(Month!J$2:J$13,MATCH($A13,Month!$A$2:$A$13,0))-K13,I13)))</f>
        <v/>
      </c>
      <c r="P13">
        <f>IF(I13=0,0,(MIN(MAX(K13,0),L13)*W13+SUMPRODUCT((Calc!$A$2:$A$1001=A13)*Calc!$G$2:$G$1001*(((K13-(L13+Calc!$J$2:$J$1001))&gt;0)*((K13-(L13+Calc!$J$2:$J$1001))&lt;Calc!$F$2:$F$1001)*(K13-(L13+Calc!$J$2:$J$1001))+((K13-(L13+Calc!$J$2:$J$1001))&gt;=Calc!$F$2:$F$1001)*Calc!$F$2:$F$1001))))</f>
        <v/>
      </c>
      <c r="Q13">
        <f>IF(I13=0,0,(MIN(MAX((K13+M13),0),L13)*W13+SUMPRODUCT((Calc!$A$2:$A$1001=A13)*Calc!$G$2:$G$1001*((((K13+M13)-(L13+Calc!$J$2:$J$1001))&gt;0)*(((K13+M13)-(L13+Calc!$J$2:$J$1001))&lt;Calc!$F$2:$F$1001)*((K13+M13)-(L13+Calc!$J$2:$J$1001))+(((K13+M13)-(L13+Calc!$J$2:$J$1001))&gt;=Calc!$F$2:$F$1001)*Calc!$F$2:$F$1001))))</f>
        <v/>
      </c>
      <c r="R13">
        <f>IF(I13=0,0,(MIN(MAX((K13+N13),0),L13)*W13+SUMPRODUCT((Calc!$A$2:$A$1001=A13)*Calc!$G$2:$G$1001*((((K13+N13)-(L13+Calc!$J$2:$J$1001))&gt;0)*(((K13+N13)-(L13+Calc!$J$2:$J$1001))&lt;Calc!$F$2:$F$1001)*((K13+N13)-(L13+Calc!$J$2:$J$1001))+(((K13+N13)-(L13+Calc!$J$2:$J$1001))&gt;=Calc!$F$2:$F$1001)*Calc!$F$2:$F$1001))))</f>
        <v/>
      </c>
      <c r="S13">
        <f>IF(I13=0,0,(MIN(MAX((K13+O13),0),L13)*W13+SUMPRODUCT((Calc!$A$2:$A$1001=A13)*Calc!$G$2:$G$1001*((((K13+O13)-(L13+Calc!$J$2:$J$1001))&gt;0)*(((K13+O13)-(L13+Calc!$J$2:$J$1001))&lt;Calc!$F$2:$F$1001)*((K13+O13)-(L13+Calc!$J$2:$J$1001))+(((K13+O13)-(L13+Calc!$J$2:$J$1001))&gt;=Calc!$F$2:$F$1001)*Calc!$F$2:$F$1001))))</f>
        <v/>
      </c>
      <c r="T13">
        <f>IF(AND(E13=1,B13="RETURN"),Transactions!E13*Transactions!G13,0)</f>
        <v/>
      </c>
      <c r="U13">
        <f>IF(AND(E13=1,B13="EXPENSE"),Transactions!J13,0)</f>
        <v/>
      </c>
      <c r="V13">
        <f>IF(AND(Transactions!A13&lt;&gt;"",E13=0),ROW(),"")</f>
        <v/>
      </c>
      <c r="W13">
        <f>IFERROR(VLOOKUP(A13,Opening!$A:$D,4,0),0)</f>
        <v/>
      </c>
    </row>
    <row r="14">
      <c r="A14">
        <f>IF(Transactions!D14="","",UPPER(TRIM(Transactions!D14)))</f>
        <v/>
      </c>
      <c r="B14">
        <f>IF(Transactions!C14="","",UPPER(TRIM(Transactions!C14)))</f>
        <v/>
      </c>
      <c r="C14">
        <f>IF(Transactions!B14="",0,YEAR(Transactions!B14)*100+MONTH(Transactions!B14))</f>
        <v/>
      </c>
      <c r="D14">
        <f>IF(Transactions!A14="",1,IF(COUNTIF(Transactions!$A$1:A13,Transactions!A14)&gt;0,1,0))</f>
        <v/>
      </c>
      <c r="E14">
        <f>IF(D14=1,0,IF(B14="RETURN",IF(COUNTIFS($A$1:A13,A14,$B$1:B13,"SALE",$E$1:E13,1)&gt;0,1,0),1))</f>
        <v/>
      </c>
      <c r="F14">
        <f>IF(E14=1,IF(B14="RECEIPT",Transactions!E14,IF(AND(B14="RETURN",LOWER(TRIM(Transactions!H14))="resellable"),Transactions!E14,0)),0)</f>
        <v/>
      </c>
      <c r="G14">
        <f>IF(F14&gt;0,IF(B14="RECEIPT",Transactions!F14,IF(_xlfn.MAXIFS($H$2:H14,$A$2:A14,A14)&gt;0,INDEX(Transactions!$F:$F,_xlfn.MAXIFS($H$2:H14,$A$2:A14,A14)),W14)),0)</f>
        <v/>
      </c>
      <c r="H14">
        <f>IF(AND(E14=1,B14="RECEIPT"),ROW(),0)</f>
        <v/>
      </c>
      <c r="I14">
        <f>IF(E14=1,IF(OR(B14="SALE",B14="WRITEOFF"),Transactions!E14,0),0)</f>
        <v/>
      </c>
      <c r="J14">
        <f>SUMIFS($F$1:F13,$A$1:A13,A14)</f>
        <v/>
      </c>
      <c r="K14">
        <f>SUMIFS($I$1:I13,$A$1:A13,A14)</f>
        <v/>
      </c>
      <c r="L14">
        <f>IFERROR(VLOOKUP(A14,Opening!$A:$C,3,0),0)</f>
        <v/>
      </c>
      <c r="M14">
        <f>IF(I14=0,0,MAX(0,MIN(INDEX(Month!H$2:H$13,MATCH($A14,Month!$A$2:$A$13,0))-K14,I14)))</f>
        <v/>
      </c>
      <c r="N14">
        <f>IF(I14=0,0,MAX(0,MIN(INDEX(Month!I$2:I$13,MATCH($A14,Month!$A$2:$A$13,0))-K14,I14)))</f>
        <v/>
      </c>
      <c r="O14">
        <f>IF(I14=0,0,MAX(0,MIN(INDEX(Month!J$2:J$13,MATCH($A14,Month!$A$2:$A$13,0))-K14,I14)))</f>
        <v/>
      </c>
      <c r="P14">
        <f>IF(I14=0,0,(MIN(MAX(K14,0),L14)*W14+SUMPRODUCT((Calc!$A$2:$A$1001=A14)*Calc!$G$2:$G$1001*(((K14-(L14+Calc!$J$2:$J$1001))&gt;0)*((K14-(L14+Calc!$J$2:$J$1001))&lt;Calc!$F$2:$F$1001)*(K14-(L14+Calc!$J$2:$J$1001))+((K14-(L14+Calc!$J$2:$J$1001))&gt;=Calc!$F$2:$F$1001)*Calc!$F$2:$F$1001))))</f>
        <v/>
      </c>
      <c r="Q14">
        <f>IF(I14=0,0,(MIN(MAX((K14+M14),0),L14)*W14+SUMPRODUCT((Calc!$A$2:$A$1001=A14)*Calc!$G$2:$G$1001*((((K14+M14)-(L14+Calc!$J$2:$J$1001))&gt;0)*(((K14+M14)-(L14+Calc!$J$2:$J$1001))&lt;Calc!$F$2:$F$1001)*((K14+M14)-(L14+Calc!$J$2:$J$1001))+(((K14+M14)-(L14+Calc!$J$2:$J$1001))&gt;=Calc!$F$2:$F$1001)*Calc!$F$2:$F$1001))))</f>
        <v/>
      </c>
      <c r="R14">
        <f>IF(I14=0,0,(MIN(MAX((K14+N14),0),L14)*W14+SUMPRODUCT((Calc!$A$2:$A$1001=A14)*Calc!$G$2:$G$1001*((((K14+N14)-(L14+Calc!$J$2:$J$1001))&gt;0)*(((K14+N14)-(L14+Calc!$J$2:$J$1001))&lt;Calc!$F$2:$F$1001)*((K14+N14)-(L14+Calc!$J$2:$J$1001))+(((K14+N14)-(L14+Calc!$J$2:$J$1001))&gt;=Calc!$F$2:$F$1001)*Calc!$F$2:$F$1001))))</f>
        <v/>
      </c>
      <c r="S14">
        <f>IF(I14=0,0,(MIN(MAX((K14+O14),0),L14)*W14+SUMPRODUCT((Calc!$A$2:$A$1001=A14)*Calc!$G$2:$G$1001*((((K14+O14)-(L14+Calc!$J$2:$J$1001))&gt;0)*(((K14+O14)-(L14+Calc!$J$2:$J$1001))&lt;Calc!$F$2:$F$1001)*((K14+O14)-(L14+Calc!$J$2:$J$1001))+(((K14+O14)-(L14+Calc!$J$2:$J$1001))&gt;=Calc!$F$2:$F$1001)*Calc!$F$2:$F$1001))))</f>
        <v/>
      </c>
      <c r="T14">
        <f>IF(AND(E14=1,B14="RETURN"),Transactions!E14*Transactions!G14,0)</f>
        <v/>
      </c>
      <c r="U14">
        <f>IF(AND(E14=1,B14="EXPENSE"),Transactions!J14,0)</f>
        <v/>
      </c>
      <c r="V14">
        <f>IF(AND(Transactions!A14&lt;&gt;"",E14=0),ROW(),"")</f>
        <v/>
      </c>
      <c r="W14">
        <f>IFERROR(VLOOKUP(A14,Opening!$A:$D,4,0),0)</f>
        <v/>
      </c>
    </row>
    <row r="15">
      <c r="A15">
        <f>IF(Transactions!D15="","",UPPER(TRIM(Transactions!D15)))</f>
        <v/>
      </c>
      <c r="B15">
        <f>IF(Transactions!C15="","",UPPER(TRIM(Transactions!C15)))</f>
        <v/>
      </c>
      <c r="C15">
        <f>IF(Transactions!B15="",0,YEAR(Transactions!B15)*100+MONTH(Transactions!B15))</f>
        <v/>
      </c>
      <c r="D15">
        <f>IF(Transactions!A15="",1,IF(COUNTIF(Transactions!$A$1:A14,Transactions!A15)&gt;0,1,0))</f>
        <v/>
      </c>
      <c r="E15">
        <f>IF(D15=1,0,IF(B15="RETURN",IF(COUNTIFS($A$1:A14,A15,$B$1:B14,"SALE",$E$1:E14,1)&gt;0,1,0),1))</f>
        <v/>
      </c>
      <c r="F15">
        <f>IF(E15=1,IF(B15="RECEIPT",Transactions!E15,IF(AND(B15="RETURN",LOWER(TRIM(Transactions!H15))="resellable"),Transactions!E15,0)),0)</f>
        <v/>
      </c>
      <c r="G15">
        <f>IF(F15&gt;0,IF(B15="RECEIPT",Transactions!F15,IF(_xlfn.MAXIFS($H$2:H15,$A$2:A15,A15)&gt;0,INDEX(Transactions!$F:$F,_xlfn.MAXIFS($H$2:H15,$A$2:A15,A15)),W15)),0)</f>
        <v/>
      </c>
      <c r="H15">
        <f>IF(AND(E15=1,B15="RECEIPT"),ROW(),0)</f>
        <v/>
      </c>
      <c r="I15">
        <f>IF(E15=1,IF(OR(B15="SALE",B15="WRITEOFF"),Transactions!E15,0),0)</f>
        <v/>
      </c>
      <c r="J15">
        <f>SUMIFS($F$1:F14,$A$1:A14,A15)</f>
        <v/>
      </c>
      <c r="K15">
        <f>SUMIFS($I$1:I14,$A$1:A14,A15)</f>
        <v/>
      </c>
      <c r="L15">
        <f>IFERROR(VLOOKUP(A15,Opening!$A:$C,3,0),0)</f>
        <v/>
      </c>
      <c r="M15">
        <f>IF(I15=0,0,MAX(0,MIN(INDEX(Month!H$2:H$13,MATCH($A15,Month!$A$2:$A$13,0))-K15,I15)))</f>
        <v/>
      </c>
      <c r="N15">
        <f>IF(I15=0,0,MAX(0,MIN(INDEX(Month!I$2:I$13,MATCH($A15,Month!$A$2:$A$13,0))-K15,I15)))</f>
        <v/>
      </c>
      <c r="O15">
        <f>IF(I15=0,0,MAX(0,MIN(INDEX(Month!J$2:J$13,MATCH($A15,Month!$A$2:$A$13,0))-K15,I15)))</f>
        <v/>
      </c>
      <c r="P15">
        <f>IF(I15=0,0,(MIN(MAX(K15,0),L15)*W15+SUMPRODUCT((Calc!$A$2:$A$1001=A15)*Calc!$G$2:$G$1001*(((K15-(L15+Calc!$J$2:$J$1001))&gt;0)*((K15-(L15+Calc!$J$2:$J$1001))&lt;Calc!$F$2:$F$1001)*(K15-(L15+Calc!$J$2:$J$1001))+((K15-(L15+Calc!$J$2:$J$1001))&gt;=Calc!$F$2:$F$1001)*Calc!$F$2:$F$1001))))</f>
        <v/>
      </c>
      <c r="Q15">
        <f>IF(I15=0,0,(MIN(MAX((K15+M15),0),L15)*W15+SUMPRODUCT((Calc!$A$2:$A$1001=A15)*Calc!$G$2:$G$1001*((((K15+M15)-(L15+Calc!$J$2:$J$1001))&gt;0)*(((K15+M15)-(L15+Calc!$J$2:$J$1001))&lt;Calc!$F$2:$F$1001)*((K15+M15)-(L15+Calc!$J$2:$J$1001))+(((K15+M15)-(L15+Calc!$J$2:$J$1001))&gt;=Calc!$F$2:$F$1001)*Calc!$F$2:$F$1001))))</f>
        <v/>
      </c>
      <c r="R15">
        <f>IF(I15=0,0,(MIN(MAX((K15+N15),0),L15)*W15+SUMPRODUCT((Calc!$A$2:$A$1001=A15)*Calc!$G$2:$G$1001*((((K15+N15)-(L15+Calc!$J$2:$J$1001))&gt;0)*(((K15+N15)-(L15+Calc!$J$2:$J$1001))&lt;Calc!$F$2:$F$1001)*((K15+N15)-(L15+Calc!$J$2:$J$1001))+(((K15+N15)-(L15+Calc!$J$2:$J$1001))&gt;=Calc!$F$2:$F$1001)*Calc!$F$2:$F$1001))))</f>
        <v/>
      </c>
      <c r="S15">
        <f>IF(I15=0,0,(MIN(MAX((K15+O15),0),L15)*W15+SUMPRODUCT((Calc!$A$2:$A$1001=A15)*Calc!$G$2:$G$1001*((((K15+O15)-(L15+Calc!$J$2:$J$1001))&gt;0)*(((K15+O15)-(L15+Calc!$J$2:$J$1001))&lt;Calc!$F$2:$F$1001)*((K15+O15)-(L15+Calc!$J$2:$J$1001))+(((K15+O15)-(L15+Calc!$J$2:$J$1001))&gt;=Calc!$F$2:$F$1001)*Calc!$F$2:$F$1001))))</f>
        <v/>
      </c>
      <c r="T15">
        <f>IF(AND(E15=1,B15="RETURN"),Transactions!E15*Transactions!G15,0)</f>
        <v/>
      </c>
      <c r="U15">
        <f>IF(AND(E15=1,B15="EXPENSE"),Transactions!J15,0)</f>
        <v/>
      </c>
      <c r="V15">
        <f>IF(AND(Transactions!A15&lt;&gt;"",E15=0),ROW(),"")</f>
        <v/>
      </c>
      <c r="W15">
        <f>IFERROR(VLOOKUP(A15,Opening!$A:$D,4,0),0)</f>
        <v/>
      </c>
    </row>
    <row r="16">
      <c r="A16">
        <f>IF(Transactions!D16="","",UPPER(TRIM(Transactions!D16)))</f>
        <v/>
      </c>
      <c r="B16">
        <f>IF(Transactions!C16="","",UPPER(TRIM(Transactions!C16)))</f>
        <v/>
      </c>
      <c r="C16">
        <f>IF(Transactions!B16="",0,YEAR(Transactions!B16)*100+MONTH(Transactions!B16))</f>
        <v/>
      </c>
      <c r="D16">
        <f>IF(Transactions!A16="",1,IF(COUNTIF(Transactions!$A$1:A15,Transactions!A16)&gt;0,1,0))</f>
        <v/>
      </c>
      <c r="E16">
        <f>IF(D16=1,0,IF(B16="RETURN",IF(COUNTIFS($A$1:A15,A16,$B$1:B15,"SALE",$E$1:E15,1)&gt;0,1,0),1))</f>
        <v/>
      </c>
      <c r="F16">
        <f>IF(E16=1,IF(B16="RECEIPT",Transactions!E16,IF(AND(B16="RETURN",LOWER(TRIM(Transactions!H16))="resellable"),Transactions!E16,0)),0)</f>
        <v/>
      </c>
      <c r="G16">
        <f>IF(F16&gt;0,IF(B16="RECEIPT",Transactions!F16,IF(_xlfn.MAXIFS($H$2:H16,$A$2:A16,A16)&gt;0,INDEX(Transactions!$F:$F,_xlfn.MAXIFS($H$2:H16,$A$2:A16,A16)),W16)),0)</f>
        <v/>
      </c>
      <c r="H16">
        <f>IF(AND(E16=1,B16="RECEIPT"),ROW(),0)</f>
        <v/>
      </c>
      <c r="I16">
        <f>IF(E16=1,IF(OR(B16="SALE",B16="WRITEOFF"),Transactions!E16,0),0)</f>
        <v/>
      </c>
      <c r="J16">
        <f>SUMIFS($F$1:F15,$A$1:A15,A16)</f>
        <v/>
      </c>
      <c r="K16">
        <f>SUMIFS($I$1:I15,$A$1:A15,A16)</f>
        <v/>
      </c>
      <c r="L16">
        <f>IFERROR(VLOOKUP(A16,Opening!$A:$C,3,0),0)</f>
        <v/>
      </c>
      <c r="M16">
        <f>IF(I16=0,0,MAX(0,MIN(INDEX(Month!H$2:H$13,MATCH($A16,Month!$A$2:$A$13,0))-K16,I16)))</f>
        <v/>
      </c>
      <c r="N16">
        <f>IF(I16=0,0,MAX(0,MIN(INDEX(Month!I$2:I$13,MATCH($A16,Month!$A$2:$A$13,0))-K16,I16)))</f>
        <v/>
      </c>
      <c r="O16">
        <f>IF(I16=0,0,MAX(0,MIN(INDEX(Month!J$2:J$13,MATCH($A16,Month!$A$2:$A$13,0))-K16,I16)))</f>
        <v/>
      </c>
      <c r="P16">
        <f>IF(I16=0,0,(MIN(MAX(K16,0),L16)*W16+SUMPRODUCT((Calc!$A$2:$A$1001=A16)*Calc!$G$2:$G$1001*(((K16-(L16+Calc!$J$2:$J$1001))&gt;0)*((K16-(L16+Calc!$J$2:$J$1001))&lt;Calc!$F$2:$F$1001)*(K16-(L16+Calc!$J$2:$J$1001))+((K16-(L16+Calc!$J$2:$J$1001))&gt;=Calc!$F$2:$F$1001)*Calc!$F$2:$F$1001))))</f>
        <v/>
      </c>
      <c r="Q16">
        <f>IF(I16=0,0,(MIN(MAX((K16+M16),0),L16)*W16+SUMPRODUCT((Calc!$A$2:$A$1001=A16)*Calc!$G$2:$G$1001*((((K16+M16)-(L16+Calc!$J$2:$J$1001))&gt;0)*(((K16+M16)-(L16+Calc!$J$2:$J$1001))&lt;Calc!$F$2:$F$1001)*((K16+M16)-(L16+Calc!$J$2:$J$1001))+(((K16+M16)-(L16+Calc!$J$2:$J$1001))&gt;=Calc!$F$2:$F$1001)*Calc!$F$2:$F$1001))))</f>
        <v/>
      </c>
      <c r="R16">
        <f>IF(I16=0,0,(MIN(MAX((K16+N16),0),L16)*W16+SUMPRODUCT((Calc!$A$2:$A$1001=A16)*Calc!$G$2:$G$1001*((((K16+N16)-(L16+Calc!$J$2:$J$1001))&gt;0)*(((K16+N16)-(L16+Calc!$J$2:$J$1001))&lt;Calc!$F$2:$F$1001)*((K16+N16)-(L16+Calc!$J$2:$J$1001))+(((K16+N16)-(L16+Calc!$J$2:$J$1001))&gt;=Calc!$F$2:$F$1001)*Calc!$F$2:$F$1001))))</f>
        <v/>
      </c>
      <c r="S16">
        <f>IF(I16=0,0,(MIN(MAX((K16+O16),0),L16)*W16+SUMPRODUCT((Calc!$A$2:$A$1001=A16)*Calc!$G$2:$G$1001*((((K16+O16)-(L16+Calc!$J$2:$J$1001))&gt;0)*(((K16+O16)-(L16+Calc!$J$2:$J$1001))&lt;Calc!$F$2:$F$1001)*((K16+O16)-(L16+Calc!$J$2:$J$1001))+(((K16+O16)-(L16+Calc!$J$2:$J$1001))&gt;=Calc!$F$2:$F$1001)*Calc!$F$2:$F$1001))))</f>
        <v/>
      </c>
      <c r="T16">
        <f>IF(AND(E16=1,B16="RETURN"),Transactions!E16*Transactions!G16,0)</f>
        <v/>
      </c>
      <c r="U16">
        <f>IF(AND(E16=1,B16="EXPENSE"),Transactions!J16,0)</f>
        <v/>
      </c>
      <c r="V16">
        <f>IF(AND(Transactions!A16&lt;&gt;"",E16=0),ROW(),"")</f>
        <v/>
      </c>
      <c r="W16">
        <f>IFERROR(VLOOKUP(A16,Opening!$A:$D,4,0),0)</f>
        <v/>
      </c>
    </row>
    <row r="17">
      <c r="A17">
        <f>IF(Transactions!D17="","",UPPER(TRIM(Transactions!D17)))</f>
        <v/>
      </c>
      <c r="B17">
        <f>IF(Transactions!C17="","",UPPER(TRIM(Transactions!C17)))</f>
        <v/>
      </c>
      <c r="C17">
        <f>IF(Transactions!B17="",0,YEAR(Transactions!B17)*100+MONTH(Transactions!B17))</f>
        <v/>
      </c>
      <c r="D17">
        <f>IF(Transactions!A17="",1,IF(COUNTIF(Transactions!$A$1:A16,Transactions!A17)&gt;0,1,0))</f>
        <v/>
      </c>
      <c r="E17">
        <f>IF(D17=1,0,IF(B17="RETURN",IF(COUNTIFS($A$1:A16,A17,$B$1:B16,"SALE",$E$1:E16,1)&gt;0,1,0),1))</f>
        <v/>
      </c>
      <c r="F17">
        <f>IF(E17=1,IF(B17="RECEIPT",Transactions!E17,IF(AND(B17="RETURN",LOWER(TRIM(Transactions!H17))="resellable"),Transactions!E17,0)),0)</f>
        <v/>
      </c>
      <c r="G17">
        <f>IF(F17&gt;0,IF(B17="RECEIPT",Transactions!F17,IF(_xlfn.MAXIFS($H$2:H17,$A$2:A17,A17)&gt;0,INDEX(Transactions!$F:$F,_xlfn.MAXIFS($H$2:H17,$A$2:A17,A17)),W17)),0)</f>
        <v/>
      </c>
      <c r="H17">
        <f>IF(AND(E17=1,B17="RECEIPT"),ROW(),0)</f>
        <v/>
      </c>
      <c r="I17">
        <f>IF(E17=1,IF(OR(B17="SALE",B17="WRITEOFF"),Transactions!E17,0),0)</f>
        <v/>
      </c>
      <c r="J17">
        <f>SUMIFS($F$1:F16,$A$1:A16,A17)</f>
        <v/>
      </c>
      <c r="K17">
        <f>SUMIFS($I$1:I16,$A$1:A16,A17)</f>
        <v/>
      </c>
      <c r="L17">
        <f>IFERROR(VLOOKUP(A17,Opening!$A:$C,3,0),0)</f>
        <v/>
      </c>
      <c r="M17">
        <f>IF(I17=0,0,MAX(0,MIN(INDEX(Month!H$2:H$13,MATCH($A17,Month!$A$2:$A$13,0))-K17,I17)))</f>
        <v/>
      </c>
      <c r="N17">
        <f>IF(I17=0,0,MAX(0,MIN(INDEX(Month!I$2:I$13,MATCH($A17,Month!$A$2:$A$13,0))-K17,I17)))</f>
        <v/>
      </c>
      <c r="O17">
        <f>IF(I17=0,0,MAX(0,MIN(INDEX(Month!J$2:J$13,MATCH($A17,Month!$A$2:$A$13,0))-K17,I17)))</f>
        <v/>
      </c>
      <c r="P17">
        <f>IF(I17=0,0,(MIN(MAX(K17,0),L17)*W17+SUMPRODUCT((Calc!$A$2:$A$1001=A17)*Calc!$G$2:$G$1001*(((K17-(L17+Calc!$J$2:$J$1001))&gt;0)*((K17-(L17+Calc!$J$2:$J$1001))&lt;Calc!$F$2:$F$1001)*(K17-(L17+Calc!$J$2:$J$1001))+((K17-(L17+Calc!$J$2:$J$1001))&gt;=Calc!$F$2:$F$1001)*Calc!$F$2:$F$1001))))</f>
        <v/>
      </c>
      <c r="Q17">
        <f>IF(I17=0,0,(MIN(MAX((K17+M17),0),L17)*W17+SUMPRODUCT((Calc!$A$2:$A$1001=A17)*Calc!$G$2:$G$1001*((((K17+M17)-(L17+Calc!$J$2:$J$1001))&gt;0)*(((K17+M17)-(L17+Calc!$J$2:$J$1001))&lt;Calc!$F$2:$F$1001)*((K17+M17)-(L17+Calc!$J$2:$J$1001))+(((K17+M17)-(L17+Calc!$J$2:$J$1001))&gt;=Calc!$F$2:$F$1001)*Calc!$F$2:$F$1001))))</f>
        <v/>
      </c>
      <c r="R17">
        <f>IF(I17=0,0,(MIN(MAX((K17+N17),0),L17)*W17+SUMPRODUCT((Calc!$A$2:$A$1001=A17)*Calc!$G$2:$G$1001*((((K17+N17)-(L17+Calc!$J$2:$J$1001))&gt;0)*(((K17+N17)-(L17+Calc!$J$2:$J$1001))&lt;Calc!$F$2:$F$1001)*((K17+N17)-(L17+Calc!$J$2:$J$1001))+(((K17+N17)-(L17+Calc!$J$2:$J$1001))&gt;=Calc!$F$2:$F$1001)*Calc!$F$2:$F$1001))))</f>
        <v/>
      </c>
      <c r="S17">
        <f>IF(I17=0,0,(MIN(MAX((K17+O17),0),L17)*W17+SUMPRODUCT((Calc!$A$2:$A$1001=A17)*Calc!$G$2:$G$1001*((((K17+O17)-(L17+Calc!$J$2:$J$1001))&gt;0)*(((K17+O17)-(L17+Calc!$J$2:$J$1001))&lt;Calc!$F$2:$F$1001)*((K17+O17)-(L17+Calc!$J$2:$J$1001))+(((K17+O17)-(L17+Calc!$J$2:$J$1001))&gt;=Calc!$F$2:$F$1001)*Calc!$F$2:$F$1001))))</f>
        <v/>
      </c>
      <c r="T17">
        <f>IF(AND(E17=1,B17="RETURN"),Transactions!E17*Transactions!G17,0)</f>
        <v/>
      </c>
      <c r="U17">
        <f>IF(AND(E17=1,B17="EXPENSE"),Transactions!J17,0)</f>
        <v/>
      </c>
      <c r="V17">
        <f>IF(AND(Transactions!A17&lt;&gt;"",E17=0),ROW(),"")</f>
        <v/>
      </c>
      <c r="W17">
        <f>IFERROR(VLOOKUP(A17,Opening!$A:$D,4,0),0)</f>
        <v/>
      </c>
    </row>
    <row r="18">
      <c r="A18">
        <f>IF(Transactions!D18="","",UPPER(TRIM(Transactions!D18)))</f>
        <v/>
      </c>
      <c r="B18">
        <f>IF(Transactions!C18="","",UPPER(TRIM(Transactions!C18)))</f>
        <v/>
      </c>
      <c r="C18">
        <f>IF(Transactions!B18="",0,YEAR(Transactions!B18)*100+MONTH(Transactions!B18))</f>
        <v/>
      </c>
      <c r="D18">
        <f>IF(Transactions!A18="",1,IF(COUNTIF(Transactions!$A$1:A17,Transactions!A18)&gt;0,1,0))</f>
        <v/>
      </c>
      <c r="E18">
        <f>IF(D18=1,0,IF(B18="RETURN",IF(COUNTIFS($A$1:A17,A18,$B$1:B17,"SALE",$E$1:E17,1)&gt;0,1,0),1))</f>
        <v/>
      </c>
      <c r="F18">
        <f>IF(E18=1,IF(B18="RECEIPT",Transactions!E18,IF(AND(B18="RETURN",LOWER(TRIM(Transactions!H18))="resellable"),Transactions!E18,0)),0)</f>
        <v/>
      </c>
      <c r="G18">
        <f>IF(F18&gt;0,IF(B18="RECEIPT",Transactions!F18,IF(_xlfn.MAXIFS($H$2:H18,$A$2:A18,A18)&gt;0,INDEX(Transactions!$F:$F,_xlfn.MAXIFS($H$2:H18,$A$2:A18,A18)),W18)),0)</f>
        <v/>
      </c>
      <c r="H18">
        <f>IF(AND(E18=1,B18="RECEIPT"),ROW(),0)</f>
        <v/>
      </c>
      <c r="I18">
        <f>IF(E18=1,IF(OR(B18="SALE",B18="WRITEOFF"),Transactions!E18,0),0)</f>
        <v/>
      </c>
      <c r="J18">
        <f>SUMIFS($F$1:F17,$A$1:A17,A18)</f>
        <v/>
      </c>
      <c r="K18">
        <f>SUMIFS($I$1:I17,$A$1:A17,A18)</f>
        <v/>
      </c>
      <c r="L18">
        <f>IFERROR(VLOOKUP(A18,Opening!$A:$C,3,0),0)</f>
        <v/>
      </c>
      <c r="M18">
        <f>IF(I18=0,0,MAX(0,MIN(INDEX(Month!H$2:H$13,MATCH($A18,Month!$A$2:$A$13,0))-K18,I18)))</f>
        <v/>
      </c>
      <c r="N18">
        <f>IF(I18=0,0,MAX(0,MIN(INDEX(Month!I$2:I$13,MATCH($A18,Month!$A$2:$A$13,0))-K18,I18)))</f>
        <v/>
      </c>
      <c r="O18">
        <f>IF(I18=0,0,MAX(0,MIN(INDEX(Month!J$2:J$13,MATCH($A18,Month!$A$2:$A$13,0))-K18,I18)))</f>
        <v/>
      </c>
      <c r="P18">
        <f>IF(I18=0,0,(MIN(MAX(K18,0),L18)*W18+SUMPRODUCT((Calc!$A$2:$A$1001=A18)*Calc!$G$2:$G$1001*(((K18-(L18+Calc!$J$2:$J$1001))&gt;0)*((K18-(L18+Calc!$J$2:$J$1001))&lt;Calc!$F$2:$F$1001)*(K18-(L18+Calc!$J$2:$J$1001))+((K18-(L18+Calc!$J$2:$J$1001))&gt;=Calc!$F$2:$F$1001)*Calc!$F$2:$F$1001))))</f>
        <v/>
      </c>
      <c r="Q18">
        <f>IF(I18=0,0,(MIN(MAX((K18+M18),0),L18)*W18+SUMPRODUCT((Calc!$A$2:$A$1001=A18)*Calc!$G$2:$G$1001*((((K18+M18)-(L18+Calc!$J$2:$J$1001))&gt;0)*(((K18+M18)-(L18+Calc!$J$2:$J$1001))&lt;Calc!$F$2:$F$1001)*((K18+M18)-(L18+Calc!$J$2:$J$1001))+(((K18+M18)-(L18+Calc!$J$2:$J$1001))&gt;=Calc!$F$2:$F$1001)*Calc!$F$2:$F$1001))))</f>
        <v/>
      </c>
      <c r="R18">
        <f>IF(I18=0,0,(MIN(MAX((K18+N18),0),L18)*W18+SUMPRODUCT((Calc!$A$2:$A$1001=A18)*Calc!$G$2:$G$1001*((((K18+N18)-(L18+Calc!$J$2:$J$1001))&gt;0)*(((K18+N18)-(L18+Calc!$J$2:$J$1001))&lt;Calc!$F$2:$F$1001)*((K18+N18)-(L18+Calc!$J$2:$J$1001))+(((K18+N18)-(L18+Calc!$J$2:$J$1001))&gt;=Calc!$F$2:$F$1001)*Calc!$F$2:$F$1001))))</f>
        <v/>
      </c>
      <c r="S18">
        <f>IF(I18=0,0,(MIN(MAX((K18+O18),0),L18)*W18+SUMPRODUCT((Calc!$A$2:$A$1001=A18)*Calc!$G$2:$G$1001*((((K18+O18)-(L18+Calc!$J$2:$J$1001))&gt;0)*(((K18+O18)-(L18+Calc!$J$2:$J$1001))&lt;Calc!$F$2:$F$1001)*((K18+O18)-(L18+Calc!$J$2:$J$1001))+(((K18+O18)-(L18+Calc!$J$2:$J$1001))&gt;=Calc!$F$2:$F$1001)*Calc!$F$2:$F$1001))))</f>
        <v/>
      </c>
      <c r="T18">
        <f>IF(AND(E18=1,B18="RETURN"),Transactions!E18*Transactions!G18,0)</f>
        <v/>
      </c>
      <c r="U18">
        <f>IF(AND(E18=1,B18="EXPENSE"),Transactions!J18,0)</f>
        <v/>
      </c>
      <c r="V18">
        <f>IF(AND(Transactions!A18&lt;&gt;"",E18=0),ROW(),"")</f>
        <v/>
      </c>
      <c r="W18">
        <f>IFERROR(VLOOKUP(A18,Opening!$A:$D,4,0),0)</f>
        <v/>
      </c>
    </row>
    <row r="19">
      <c r="A19">
        <f>IF(Transactions!D19="","",UPPER(TRIM(Transactions!D19)))</f>
        <v/>
      </c>
      <c r="B19">
        <f>IF(Transactions!C19="","",UPPER(TRIM(Transactions!C19)))</f>
        <v/>
      </c>
      <c r="C19">
        <f>IF(Transactions!B19="",0,YEAR(Transactions!B19)*100+MONTH(Transactions!B19))</f>
        <v/>
      </c>
      <c r="D19">
        <f>IF(Transactions!A19="",1,IF(COUNTIF(Transactions!$A$1:A18,Transactions!A19)&gt;0,1,0))</f>
        <v/>
      </c>
      <c r="E19">
        <f>IF(D19=1,0,IF(B19="RETURN",IF(COUNTIFS($A$1:A18,A19,$B$1:B18,"SALE",$E$1:E18,1)&gt;0,1,0),1))</f>
        <v/>
      </c>
      <c r="F19">
        <f>IF(E19=1,IF(B19="RECEIPT",Transactions!E19,IF(AND(B19="RETURN",LOWER(TRIM(Transactions!H19))="resellable"),Transactions!E19,0)),0)</f>
        <v/>
      </c>
      <c r="G19">
        <f>IF(F19&gt;0,IF(B19="RECEIPT",Transactions!F19,IF(_xlfn.MAXIFS($H$2:H19,$A$2:A19,A19)&gt;0,INDEX(Transactions!$F:$F,_xlfn.MAXIFS($H$2:H19,$A$2:A19,A19)),W19)),0)</f>
        <v/>
      </c>
      <c r="H19">
        <f>IF(AND(E19=1,B19="RECEIPT"),ROW(),0)</f>
        <v/>
      </c>
      <c r="I19">
        <f>IF(E19=1,IF(OR(B19="SALE",B19="WRITEOFF"),Transactions!E19,0),0)</f>
        <v/>
      </c>
      <c r="J19">
        <f>SUMIFS($F$1:F18,$A$1:A18,A19)</f>
        <v/>
      </c>
      <c r="K19">
        <f>SUMIFS($I$1:I18,$A$1:A18,A19)</f>
        <v/>
      </c>
      <c r="L19">
        <f>IFERROR(VLOOKUP(A19,Opening!$A:$C,3,0),0)</f>
        <v/>
      </c>
      <c r="M19">
        <f>IF(I19=0,0,MAX(0,MIN(INDEX(Month!H$2:H$13,MATCH($A19,Month!$A$2:$A$13,0))-K19,I19)))</f>
        <v/>
      </c>
      <c r="N19">
        <f>IF(I19=0,0,MAX(0,MIN(INDEX(Month!I$2:I$13,MATCH($A19,Month!$A$2:$A$13,0))-K19,I19)))</f>
        <v/>
      </c>
      <c r="O19">
        <f>IF(I19=0,0,MAX(0,MIN(INDEX(Month!J$2:J$13,MATCH($A19,Month!$A$2:$A$13,0))-K19,I19)))</f>
        <v/>
      </c>
      <c r="P19">
        <f>IF(I19=0,0,(MIN(MAX(K19,0),L19)*W19+SUMPRODUCT((Calc!$A$2:$A$1001=A19)*Calc!$G$2:$G$1001*(((K19-(L19+Calc!$J$2:$J$1001))&gt;0)*((K19-(L19+Calc!$J$2:$J$1001))&lt;Calc!$F$2:$F$1001)*(K19-(L19+Calc!$J$2:$J$1001))+((K19-(L19+Calc!$J$2:$J$1001))&gt;=Calc!$F$2:$F$1001)*Calc!$F$2:$F$1001))))</f>
        <v/>
      </c>
      <c r="Q19">
        <f>IF(I19=0,0,(MIN(MAX((K19+M19),0),L19)*W19+SUMPRODUCT((Calc!$A$2:$A$1001=A19)*Calc!$G$2:$G$1001*((((K19+M19)-(L19+Calc!$J$2:$J$1001))&gt;0)*(((K19+M19)-(L19+Calc!$J$2:$J$1001))&lt;Calc!$F$2:$F$1001)*((K19+M19)-(L19+Calc!$J$2:$J$1001))+(((K19+M19)-(L19+Calc!$J$2:$J$1001))&gt;=Calc!$F$2:$F$1001)*Calc!$F$2:$F$1001))))</f>
        <v/>
      </c>
      <c r="R19">
        <f>IF(I19=0,0,(MIN(MAX((K19+N19),0),L19)*W19+SUMPRODUCT((Calc!$A$2:$A$1001=A19)*Calc!$G$2:$G$1001*((((K19+N19)-(L19+Calc!$J$2:$J$1001))&gt;0)*(((K19+N19)-(L19+Calc!$J$2:$J$1001))&lt;Calc!$F$2:$F$1001)*((K19+N19)-(L19+Calc!$J$2:$J$1001))+(((K19+N19)-(L19+Calc!$J$2:$J$1001))&gt;=Calc!$F$2:$F$1001)*Calc!$F$2:$F$1001))))</f>
        <v/>
      </c>
      <c r="S19">
        <f>IF(I19=0,0,(MIN(MAX((K19+O19),0),L19)*W19+SUMPRODUCT((Calc!$A$2:$A$1001=A19)*Calc!$G$2:$G$1001*((((K19+O19)-(L19+Calc!$J$2:$J$1001))&gt;0)*(((K19+O19)-(L19+Calc!$J$2:$J$1001))&lt;Calc!$F$2:$F$1001)*((K19+O19)-(L19+Calc!$J$2:$J$1001))+(((K19+O19)-(L19+Calc!$J$2:$J$1001))&gt;=Calc!$F$2:$F$1001)*Calc!$F$2:$F$1001))))</f>
        <v/>
      </c>
      <c r="T19">
        <f>IF(AND(E19=1,B19="RETURN"),Transactions!E19*Transactions!G19,0)</f>
        <v/>
      </c>
      <c r="U19">
        <f>IF(AND(E19=1,B19="EXPENSE"),Transactions!J19,0)</f>
        <v/>
      </c>
      <c r="V19">
        <f>IF(AND(Transactions!A19&lt;&gt;"",E19=0),ROW(),"")</f>
        <v/>
      </c>
      <c r="W19">
        <f>IFERROR(VLOOKUP(A19,Opening!$A:$D,4,0),0)</f>
        <v/>
      </c>
    </row>
    <row r="20">
      <c r="A20">
        <f>IF(Transactions!D20="","",UPPER(TRIM(Transactions!D20)))</f>
        <v/>
      </c>
      <c r="B20">
        <f>IF(Transactions!C20="","",UPPER(TRIM(Transactions!C20)))</f>
        <v/>
      </c>
      <c r="C20">
        <f>IF(Transactions!B20="",0,YEAR(Transactions!B20)*100+MONTH(Transactions!B20))</f>
        <v/>
      </c>
      <c r="D20">
        <f>IF(Transactions!A20="",1,IF(COUNTIF(Transactions!$A$1:A19,Transactions!A20)&gt;0,1,0))</f>
        <v/>
      </c>
      <c r="E20">
        <f>IF(D20=1,0,IF(B20="RETURN",IF(COUNTIFS($A$1:A19,A20,$B$1:B19,"SALE",$E$1:E19,1)&gt;0,1,0),1))</f>
        <v/>
      </c>
      <c r="F20">
        <f>IF(E20=1,IF(B20="RECEIPT",Transactions!E20,IF(AND(B20="RETURN",LOWER(TRIM(Transactions!H20))="resellable"),Transactions!E20,0)),0)</f>
        <v/>
      </c>
      <c r="G20">
        <f>IF(F20&gt;0,IF(B20="RECEIPT",Transactions!F20,IF(_xlfn.MAXIFS($H$2:H20,$A$2:A20,A20)&gt;0,INDEX(Transactions!$F:$F,_xlfn.MAXIFS($H$2:H20,$A$2:A20,A20)),W20)),0)</f>
        <v/>
      </c>
      <c r="H20">
        <f>IF(AND(E20=1,B20="RECEIPT"),ROW(),0)</f>
        <v/>
      </c>
      <c r="I20">
        <f>IF(E20=1,IF(OR(B20="SALE",B20="WRITEOFF"),Transactions!E20,0),0)</f>
        <v/>
      </c>
      <c r="J20">
        <f>SUMIFS($F$1:F19,$A$1:A19,A20)</f>
        <v/>
      </c>
      <c r="K20">
        <f>SUMIFS($I$1:I19,$A$1:A19,A20)</f>
        <v/>
      </c>
      <c r="L20">
        <f>IFERROR(VLOOKUP(A20,Opening!$A:$C,3,0),0)</f>
        <v/>
      </c>
      <c r="M20">
        <f>IF(I20=0,0,MAX(0,MIN(INDEX(Month!H$2:H$13,MATCH($A20,Month!$A$2:$A$13,0))-K20,I20)))</f>
        <v/>
      </c>
      <c r="N20">
        <f>IF(I20=0,0,MAX(0,MIN(INDEX(Month!I$2:I$13,MATCH($A20,Month!$A$2:$A$13,0))-K20,I20)))</f>
        <v/>
      </c>
      <c r="O20">
        <f>IF(I20=0,0,MAX(0,MIN(INDEX(Month!J$2:J$13,MATCH($A20,Month!$A$2:$A$13,0))-K20,I20)))</f>
        <v/>
      </c>
      <c r="P20">
        <f>IF(I20=0,0,(MIN(MAX(K20,0),L20)*W20+SUMPRODUCT((Calc!$A$2:$A$1001=A20)*Calc!$G$2:$G$1001*(((K20-(L20+Calc!$J$2:$J$1001))&gt;0)*((K20-(L20+Calc!$J$2:$J$1001))&lt;Calc!$F$2:$F$1001)*(K20-(L20+Calc!$J$2:$J$1001))+((K20-(L20+Calc!$J$2:$J$1001))&gt;=Calc!$F$2:$F$1001)*Calc!$F$2:$F$1001))))</f>
        <v/>
      </c>
      <c r="Q20">
        <f>IF(I20=0,0,(MIN(MAX((K20+M20),0),L20)*W20+SUMPRODUCT((Calc!$A$2:$A$1001=A20)*Calc!$G$2:$G$1001*((((K20+M20)-(L20+Calc!$J$2:$J$1001))&gt;0)*(((K20+M20)-(L20+Calc!$J$2:$J$1001))&lt;Calc!$F$2:$F$1001)*((K20+M20)-(L20+Calc!$J$2:$J$1001))+(((K20+M20)-(L20+Calc!$J$2:$J$1001))&gt;=Calc!$F$2:$F$1001)*Calc!$F$2:$F$1001))))</f>
        <v/>
      </c>
      <c r="R20">
        <f>IF(I20=0,0,(MIN(MAX((K20+N20),0),L20)*W20+SUMPRODUCT((Calc!$A$2:$A$1001=A20)*Calc!$G$2:$G$1001*((((K20+N20)-(L20+Calc!$J$2:$J$1001))&gt;0)*(((K20+N20)-(L20+Calc!$J$2:$J$1001))&lt;Calc!$F$2:$F$1001)*((K20+N20)-(L20+Calc!$J$2:$J$1001))+(((K20+N20)-(L20+Calc!$J$2:$J$1001))&gt;=Calc!$F$2:$F$1001)*Calc!$F$2:$F$1001))))</f>
        <v/>
      </c>
      <c r="S20">
        <f>IF(I20=0,0,(MIN(MAX((K20+O20),0),L20)*W20+SUMPRODUCT((Calc!$A$2:$A$1001=A20)*Calc!$G$2:$G$1001*((((K20+O20)-(L20+Calc!$J$2:$J$1001))&gt;0)*(((K20+O20)-(L20+Calc!$J$2:$J$1001))&lt;Calc!$F$2:$F$1001)*((K20+O20)-(L20+Calc!$J$2:$J$1001))+(((K20+O20)-(L20+Calc!$J$2:$J$1001))&gt;=Calc!$F$2:$F$1001)*Calc!$F$2:$F$1001))))</f>
        <v/>
      </c>
      <c r="T20">
        <f>IF(AND(E20=1,B20="RETURN"),Transactions!E20*Transactions!G20,0)</f>
        <v/>
      </c>
      <c r="U20">
        <f>IF(AND(E20=1,B20="EXPENSE"),Transactions!J20,0)</f>
        <v/>
      </c>
      <c r="V20">
        <f>IF(AND(Transactions!A20&lt;&gt;"",E20=0),ROW(),"")</f>
        <v/>
      </c>
      <c r="W20">
        <f>IFERROR(VLOOKUP(A20,Opening!$A:$D,4,0),0)</f>
        <v/>
      </c>
    </row>
    <row r="21">
      <c r="A21">
        <f>IF(Transactions!D21="","",UPPER(TRIM(Transactions!D21)))</f>
        <v/>
      </c>
      <c r="B21">
        <f>IF(Transactions!C21="","",UPPER(TRIM(Transactions!C21)))</f>
        <v/>
      </c>
      <c r="C21">
        <f>IF(Transactions!B21="",0,YEAR(Transactions!B21)*100+MONTH(Transactions!B21))</f>
        <v/>
      </c>
      <c r="D21">
        <f>IF(Transactions!A21="",1,IF(COUNTIF(Transactions!$A$1:A20,Transactions!A21)&gt;0,1,0))</f>
        <v/>
      </c>
      <c r="E21">
        <f>IF(D21=1,0,IF(B21="RETURN",IF(COUNTIFS($A$1:A20,A21,$B$1:B20,"SALE",$E$1:E20,1)&gt;0,1,0),1))</f>
        <v/>
      </c>
      <c r="F21">
        <f>IF(E21=1,IF(B21="RECEIPT",Transactions!E21,IF(AND(B21="RETURN",LOWER(TRIM(Transactions!H21))="resellable"),Transactions!E21,0)),0)</f>
        <v/>
      </c>
      <c r="G21">
        <f>IF(F21&gt;0,IF(B21="RECEIPT",Transactions!F21,IF(_xlfn.MAXIFS($H$2:H21,$A$2:A21,A21)&gt;0,INDEX(Transactions!$F:$F,_xlfn.MAXIFS($H$2:H21,$A$2:A21,A21)),W21)),0)</f>
        <v/>
      </c>
      <c r="H21">
        <f>IF(AND(E21=1,B21="RECEIPT"),ROW(),0)</f>
        <v/>
      </c>
      <c r="I21">
        <f>IF(E21=1,IF(OR(B21="SALE",B21="WRITEOFF"),Transactions!E21,0),0)</f>
        <v/>
      </c>
      <c r="J21">
        <f>SUMIFS($F$1:F20,$A$1:A20,A21)</f>
        <v/>
      </c>
      <c r="K21">
        <f>SUMIFS($I$1:I20,$A$1:A20,A21)</f>
        <v/>
      </c>
      <c r="L21">
        <f>IFERROR(VLOOKUP(A21,Opening!$A:$C,3,0),0)</f>
        <v/>
      </c>
      <c r="M21">
        <f>IF(I21=0,0,MAX(0,MIN(INDEX(Month!H$2:H$13,MATCH($A21,Month!$A$2:$A$13,0))-K21,I21)))</f>
        <v/>
      </c>
      <c r="N21">
        <f>IF(I21=0,0,MAX(0,MIN(INDEX(Month!I$2:I$13,MATCH($A21,Month!$A$2:$A$13,0))-K21,I21)))</f>
        <v/>
      </c>
      <c r="O21">
        <f>IF(I21=0,0,MAX(0,MIN(INDEX(Month!J$2:J$13,MATCH($A21,Month!$A$2:$A$13,0))-K21,I21)))</f>
        <v/>
      </c>
      <c r="P21">
        <f>IF(I21=0,0,(MIN(MAX(K21,0),L21)*W21+SUMPRODUCT((Calc!$A$2:$A$1001=A21)*Calc!$G$2:$G$1001*(((K21-(L21+Calc!$J$2:$J$1001))&gt;0)*((K21-(L21+Calc!$J$2:$J$1001))&lt;Calc!$F$2:$F$1001)*(K21-(L21+Calc!$J$2:$J$1001))+((K21-(L21+Calc!$J$2:$J$1001))&gt;=Calc!$F$2:$F$1001)*Calc!$F$2:$F$1001))))</f>
        <v/>
      </c>
      <c r="Q21">
        <f>IF(I21=0,0,(MIN(MAX((K21+M21),0),L21)*W21+SUMPRODUCT((Calc!$A$2:$A$1001=A21)*Calc!$G$2:$G$1001*((((K21+M21)-(L21+Calc!$J$2:$J$1001))&gt;0)*(((K21+M21)-(L21+Calc!$J$2:$J$1001))&lt;Calc!$F$2:$F$1001)*((K21+M21)-(L21+Calc!$J$2:$J$1001))+(((K21+M21)-(L21+Calc!$J$2:$J$1001))&gt;=Calc!$F$2:$F$1001)*Calc!$F$2:$F$1001))))</f>
        <v/>
      </c>
      <c r="R21">
        <f>IF(I21=0,0,(MIN(MAX((K21+N21),0),L21)*W21+SUMPRODUCT((Calc!$A$2:$A$1001=A21)*Calc!$G$2:$G$1001*((((K21+N21)-(L21+Calc!$J$2:$J$1001))&gt;0)*(((K21+N21)-(L21+Calc!$J$2:$J$1001))&lt;Calc!$F$2:$F$1001)*((K21+N21)-(L21+Calc!$J$2:$J$1001))+(((K21+N21)-(L21+Calc!$J$2:$J$1001))&gt;=Calc!$F$2:$F$1001)*Calc!$F$2:$F$1001))))</f>
        <v/>
      </c>
      <c r="S21">
        <f>IF(I21=0,0,(MIN(MAX((K21+O21),0),L21)*W21+SUMPRODUCT((Calc!$A$2:$A$1001=A21)*Calc!$G$2:$G$1001*((((K21+O21)-(L21+Calc!$J$2:$J$1001))&gt;0)*(((K21+O21)-(L21+Calc!$J$2:$J$1001))&lt;Calc!$F$2:$F$1001)*((K21+O21)-(L21+Calc!$J$2:$J$1001))+(((K21+O21)-(L21+Calc!$J$2:$J$1001))&gt;=Calc!$F$2:$F$1001)*Calc!$F$2:$F$1001))))</f>
        <v/>
      </c>
      <c r="T21">
        <f>IF(AND(E21=1,B21="RETURN"),Transactions!E21*Transactions!G21,0)</f>
        <v/>
      </c>
      <c r="U21">
        <f>IF(AND(E21=1,B21="EXPENSE"),Transactions!J21,0)</f>
        <v/>
      </c>
      <c r="V21">
        <f>IF(AND(Transactions!A21&lt;&gt;"",E21=0),ROW(),"")</f>
        <v/>
      </c>
      <c r="W21">
        <f>IFERROR(VLOOKUP(A21,Opening!$A:$D,4,0),0)</f>
        <v/>
      </c>
    </row>
    <row r="22">
      <c r="A22">
        <f>IF(Transactions!D22="","",UPPER(TRIM(Transactions!D22)))</f>
        <v/>
      </c>
      <c r="B22">
        <f>IF(Transactions!C22="","",UPPER(TRIM(Transactions!C22)))</f>
        <v/>
      </c>
      <c r="C22">
        <f>IF(Transactions!B22="",0,YEAR(Transactions!B22)*100+MONTH(Transactions!B22))</f>
        <v/>
      </c>
      <c r="D22">
        <f>IF(Transactions!A22="",1,IF(COUNTIF(Transactions!$A$1:A21,Transactions!A22)&gt;0,1,0))</f>
        <v/>
      </c>
      <c r="E22">
        <f>IF(D22=1,0,IF(B22="RETURN",IF(COUNTIFS($A$1:A21,A22,$B$1:B21,"SALE",$E$1:E21,1)&gt;0,1,0),1))</f>
        <v/>
      </c>
      <c r="F22">
        <f>IF(E22=1,IF(B22="RECEIPT",Transactions!E22,IF(AND(B22="RETURN",LOWER(TRIM(Transactions!H22))="resellable"),Transactions!E22,0)),0)</f>
        <v/>
      </c>
      <c r="G22">
        <f>IF(F22&gt;0,IF(B22="RECEIPT",Transactions!F22,IF(_xlfn.MAXIFS($H$2:H22,$A$2:A22,A22)&gt;0,INDEX(Transactions!$F:$F,_xlfn.MAXIFS($H$2:H22,$A$2:A22,A22)),W22)),0)</f>
        <v/>
      </c>
      <c r="H22">
        <f>IF(AND(E22=1,B22="RECEIPT"),ROW(),0)</f>
        <v/>
      </c>
      <c r="I22">
        <f>IF(E22=1,IF(OR(B22="SALE",B22="WRITEOFF"),Transactions!E22,0),0)</f>
        <v/>
      </c>
      <c r="J22">
        <f>SUMIFS($F$1:F21,$A$1:A21,A22)</f>
        <v/>
      </c>
      <c r="K22">
        <f>SUMIFS($I$1:I21,$A$1:A21,A22)</f>
        <v/>
      </c>
      <c r="L22">
        <f>IFERROR(VLOOKUP(A22,Opening!$A:$C,3,0),0)</f>
        <v/>
      </c>
      <c r="M22">
        <f>IF(I22=0,0,MAX(0,MIN(INDEX(Month!H$2:H$13,MATCH($A22,Month!$A$2:$A$13,0))-K22,I22)))</f>
        <v/>
      </c>
      <c r="N22">
        <f>IF(I22=0,0,MAX(0,MIN(INDEX(Month!I$2:I$13,MATCH($A22,Month!$A$2:$A$13,0))-K22,I22)))</f>
        <v/>
      </c>
      <c r="O22">
        <f>IF(I22=0,0,MAX(0,MIN(INDEX(Month!J$2:J$13,MATCH($A22,Month!$A$2:$A$13,0))-K22,I22)))</f>
        <v/>
      </c>
      <c r="P22">
        <f>IF(I22=0,0,(MIN(MAX(K22,0),L22)*W22+SUMPRODUCT((Calc!$A$2:$A$1001=A22)*Calc!$G$2:$G$1001*(((K22-(L22+Calc!$J$2:$J$1001))&gt;0)*((K22-(L22+Calc!$J$2:$J$1001))&lt;Calc!$F$2:$F$1001)*(K22-(L22+Calc!$J$2:$J$1001))+((K22-(L22+Calc!$J$2:$J$1001))&gt;=Calc!$F$2:$F$1001)*Calc!$F$2:$F$1001))))</f>
        <v/>
      </c>
      <c r="Q22">
        <f>IF(I22=0,0,(MIN(MAX((K22+M22),0),L22)*W22+SUMPRODUCT((Calc!$A$2:$A$1001=A22)*Calc!$G$2:$G$1001*((((K22+M22)-(L22+Calc!$J$2:$J$1001))&gt;0)*(((K22+M22)-(L22+Calc!$J$2:$J$1001))&lt;Calc!$F$2:$F$1001)*((K22+M22)-(L22+Calc!$J$2:$J$1001))+(((K22+M22)-(L22+Calc!$J$2:$J$1001))&gt;=Calc!$F$2:$F$1001)*Calc!$F$2:$F$1001))))</f>
        <v/>
      </c>
      <c r="R22">
        <f>IF(I22=0,0,(MIN(MAX((K22+N22),0),L22)*W22+SUMPRODUCT((Calc!$A$2:$A$1001=A22)*Calc!$G$2:$G$1001*((((K22+N22)-(L22+Calc!$J$2:$J$1001))&gt;0)*(((K22+N22)-(L22+Calc!$J$2:$J$1001))&lt;Calc!$F$2:$F$1001)*((K22+N22)-(L22+Calc!$J$2:$J$1001))+(((K22+N22)-(L22+Calc!$J$2:$J$1001))&gt;=Calc!$F$2:$F$1001)*Calc!$F$2:$F$1001))))</f>
        <v/>
      </c>
      <c r="S22">
        <f>IF(I22=0,0,(MIN(MAX((K22+O22),0),L22)*W22+SUMPRODUCT((Calc!$A$2:$A$1001=A22)*Calc!$G$2:$G$1001*((((K22+O22)-(L22+Calc!$J$2:$J$1001))&gt;0)*(((K22+O22)-(L22+Calc!$J$2:$J$1001))&lt;Calc!$F$2:$F$1001)*((K22+O22)-(L22+Calc!$J$2:$J$1001))+(((K22+O22)-(L22+Calc!$J$2:$J$1001))&gt;=Calc!$F$2:$F$1001)*Calc!$F$2:$F$1001))))</f>
        <v/>
      </c>
      <c r="T22">
        <f>IF(AND(E22=1,B22="RETURN"),Transactions!E22*Transactions!G22,0)</f>
        <v/>
      </c>
      <c r="U22">
        <f>IF(AND(E22=1,B22="EXPENSE"),Transactions!J22,0)</f>
        <v/>
      </c>
      <c r="V22">
        <f>IF(AND(Transactions!A22&lt;&gt;"",E22=0),ROW(),"")</f>
        <v/>
      </c>
      <c r="W22">
        <f>IFERROR(VLOOKUP(A22,Opening!$A:$D,4,0),0)</f>
        <v/>
      </c>
    </row>
    <row r="23">
      <c r="A23">
        <f>IF(Transactions!D23="","",UPPER(TRIM(Transactions!D23)))</f>
        <v/>
      </c>
      <c r="B23">
        <f>IF(Transactions!C23="","",UPPER(TRIM(Transactions!C23)))</f>
        <v/>
      </c>
      <c r="C23">
        <f>IF(Transactions!B23="",0,YEAR(Transactions!B23)*100+MONTH(Transactions!B23))</f>
        <v/>
      </c>
      <c r="D23">
        <f>IF(Transactions!A23="",1,IF(COUNTIF(Transactions!$A$1:A22,Transactions!A23)&gt;0,1,0))</f>
        <v/>
      </c>
      <c r="E23">
        <f>IF(D23=1,0,IF(B23="RETURN",IF(COUNTIFS($A$1:A22,A23,$B$1:B22,"SALE",$E$1:E22,1)&gt;0,1,0),1))</f>
        <v/>
      </c>
      <c r="F23">
        <f>IF(E23=1,IF(B23="RECEIPT",Transactions!E23,IF(AND(B23="RETURN",LOWER(TRIM(Transactions!H23))="resellable"),Transactions!E23,0)),0)</f>
        <v/>
      </c>
      <c r="G23">
        <f>IF(F23&gt;0,IF(B23="RECEIPT",Transactions!F23,IF(_xlfn.MAXIFS($H$2:H23,$A$2:A23,A23)&gt;0,INDEX(Transactions!$F:$F,_xlfn.MAXIFS($H$2:H23,$A$2:A23,A23)),W23)),0)</f>
        <v/>
      </c>
      <c r="H23">
        <f>IF(AND(E23=1,B23="RECEIPT"),ROW(),0)</f>
        <v/>
      </c>
      <c r="I23">
        <f>IF(E23=1,IF(OR(B23="SALE",B23="WRITEOFF"),Transactions!E23,0),0)</f>
        <v/>
      </c>
      <c r="J23">
        <f>SUMIFS($F$1:F22,$A$1:A22,A23)</f>
        <v/>
      </c>
      <c r="K23">
        <f>SUMIFS($I$1:I22,$A$1:A22,A23)</f>
        <v/>
      </c>
      <c r="L23">
        <f>IFERROR(VLOOKUP(A23,Opening!$A:$C,3,0),0)</f>
        <v/>
      </c>
      <c r="M23">
        <f>IF(I23=0,0,MAX(0,MIN(INDEX(Month!H$2:H$13,MATCH($A23,Month!$A$2:$A$13,0))-K23,I23)))</f>
        <v/>
      </c>
      <c r="N23">
        <f>IF(I23=0,0,MAX(0,MIN(INDEX(Month!I$2:I$13,MATCH($A23,Month!$A$2:$A$13,0))-K23,I23)))</f>
        <v/>
      </c>
      <c r="O23">
        <f>IF(I23=0,0,MAX(0,MIN(INDEX(Month!J$2:J$13,MATCH($A23,Month!$A$2:$A$13,0))-K23,I23)))</f>
        <v/>
      </c>
      <c r="P23">
        <f>IF(I23=0,0,(MIN(MAX(K23,0),L23)*W23+SUMPRODUCT((Calc!$A$2:$A$1001=A23)*Calc!$G$2:$G$1001*(((K23-(L23+Calc!$J$2:$J$1001))&gt;0)*((K23-(L23+Calc!$J$2:$J$1001))&lt;Calc!$F$2:$F$1001)*(K23-(L23+Calc!$J$2:$J$1001))+((K23-(L23+Calc!$J$2:$J$1001))&gt;=Calc!$F$2:$F$1001)*Calc!$F$2:$F$1001))))</f>
        <v/>
      </c>
      <c r="Q23">
        <f>IF(I23=0,0,(MIN(MAX((K23+M23),0),L23)*W23+SUMPRODUCT((Calc!$A$2:$A$1001=A23)*Calc!$G$2:$G$1001*((((K23+M23)-(L23+Calc!$J$2:$J$1001))&gt;0)*(((K23+M23)-(L23+Calc!$J$2:$J$1001))&lt;Calc!$F$2:$F$1001)*((K23+M23)-(L23+Calc!$J$2:$J$1001))+(((K23+M23)-(L23+Calc!$J$2:$J$1001))&gt;=Calc!$F$2:$F$1001)*Calc!$F$2:$F$1001))))</f>
        <v/>
      </c>
      <c r="R23">
        <f>IF(I23=0,0,(MIN(MAX((K23+N23),0),L23)*W23+SUMPRODUCT((Calc!$A$2:$A$1001=A23)*Calc!$G$2:$G$1001*((((K23+N23)-(L23+Calc!$J$2:$J$1001))&gt;0)*(((K23+N23)-(L23+Calc!$J$2:$J$1001))&lt;Calc!$F$2:$F$1001)*((K23+N23)-(L23+Calc!$J$2:$J$1001))+(((K23+N23)-(L23+Calc!$J$2:$J$1001))&gt;=Calc!$F$2:$F$1001)*Calc!$F$2:$F$1001))))</f>
        <v/>
      </c>
      <c r="S23">
        <f>IF(I23=0,0,(MIN(MAX((K23+O23),0),L23)*W23+SUMPRODUCT((Calc!$A$2:$A$1001=A23)*Calc!$G$2:$G$1001*((((K23+O23)-(L23+Calc!$J$2:$J$1001))&gt;0)*(((K23+O23)-(L23+Calc!$J$2:$J$1001))&lt;Calc!$F$2:$F$1001)*((K23+O23)-(L23+Calc!$J$2:$J$1001))+(((K23+O23)-(L23+Calc!$J$2:$J$1001))&gt;=Calc!$F$2:$F$1001)*Calc!$F$2:$F$1001))))</f>
        <v/>
      </c>
      <c r="T23">
        <f>IF(AND(E23=1,B23="RETURN"),Transactions!E23*Transactions!G23,0)</f>
        <v/>
      </c>
      <c r="U23">
        <f>IF(AND(E23=1,B23="EXPENSE"),Transactions!J23,0)</f>
        <v/>
      </c>
      <c r="V23">
        <f>IF(AND(Transactions!A23&lt;&gt;"",E23=0),ROW(),"")</f>
        <v/>
      </c>
      <c r="W23">
        <f>IFERROR(VLOOKUP(A23,Opening!$A:$D,4,0),0)</f>
        <v/>
      </c>
    </row>
    <row r="24">
      <c r="A24">
        <f>IF(Transactions!D24="","",UPPER(TRIM(Transactions!D24)))</f>
        <v/>
      </c>
      <c r="B24">
        <f>IF(Transactions!C24="","",UPPER(TRIM(Transactions!C24)))</f>
        <v/>
      </c>
      <c r="C24">
        <f>IF(Transactions!B24="",0,YEAR(Transactions!B24)*100+MONTH(Transactions!B24))</f>
        <v/>
      </c>
      <c r="D24">
        <f>IF(Transactions!A24="",1,IF(COUNTIF(Transactions!$A$1:A23,Transactions!A24)&gt;0,1,0))</f>
        <v/>
      </c>
      <c r="E24">
        <f>IF(D24=1,0,IF(B24="RETURN",IF(COUNTIFS($A$1:A23,A24,$B$1:B23,"SALE",$E$1:E23,1)&gt;0,1,0),1))</f>
        <v/>
      </c>
      <c r="F24">
        <f>IF(E24=1,IF(B24="RECEIPT",Transactions!E24,IF(AND(B24="RETURN",LOWER(TRIM(Transactions!H24))="resellable"),Transactions!E24,0)),0)</f>
        <v/>
      </c>
      <c r="G24">
        <f>IF(F24&gt;0,IF(B24="RECEIPT",Transactions!F24,IF(_xlfn.MAXIFS($H$2:H24,$A$2:A24,A24)&gt;0,INDEX(Transactions!$F:$F,_xlfn.MAXIFS($H$2:H24,$A$2:A24,A24)),W24)),0)</f>
        <v/>
      </c>
      <c r="H24">
        <f>IF(AND(E24=1,B24="RECEIPT"),ROW(),0)</f>
        <v/>
      </c>
      <c r="I24">
        <f>IF(E24=1,IF(OR(B24="SALE",B24="WRITEOFF"),Transactions!E24,0),0)</f>
        <v/>
      </c>
      <c r="J24">
        <f>SUMIFS($F$1:F23,$A$1:A23,A24)</f>
        <v/>
      </c>
      <c r="K24">
        <f>SUMIFS($I$1:I23,$A$1:A23,A24)</f>
        <v/>
      </c>
      <c r="L24">
        <f>IFERROR(VLOOKUP(A24,Opening!$A:$C,3,0),0)</f>
        <v/>
      </c>
      <c r="M24">
        <f>IF(I24=0,0,MAX(0,MIN(INDEX(Month!H$2:H$13,MATCH($A24,Month!$A$2:$A$13,0))-K24,I24)))</f>
        <v/>
      </c>
      <c r="N24">
        <f>IF(I24=0,0,MAX(0,MIN(INDEX(Month!I$2:I$13,MATCH($A24,Month!$A$2:$A$13,0))-K24,I24)))</f>
        <v/>
      </c>
      <c r="O24">
        <f>IF(I24=0,0,MAX(0,MIN(INDEX(Month!J$2:J$13,MATCH($A24,Month!$A$2:$A$13,0))-K24,I24)))</f>
        <v/>
      </c>
      <c r="P24">
        <f>IF(I24=0,0,(MIN(MAX(K24,0),L24)*W24+SUMPRODUCT((Calc!$A$2:$A$1001=A24)*Calc!$G$2:$G$1001*(((K24-(L24+Calc!$J$2:$J$1001))&gt;0)*((K24-(L24+Calc!$J$2:$J$1001))&lt;Calc!$F$2:$F$1001)*(K24-(L24+Calc!$J$2:$J$1001))+((K24-(L24+Calc!$J$2:$J$1001))&gt;=Calc!$F$2:$F$1001)*Calc!$F$2:$F$1001))))</f>
        <v/>
      </c>
      <c r="Q24">
        <f>IF(I24=0,0,(MIN(MAX((K24+M24),0),L24)*W24+SUMPRODUCT((Calc!$A$2:$A$1001=A24)*Calc!$G$2:$G$1001*((((K24+M24)-(L24+Calc!$J$2:$J$1001))&gt;0)*(((K24+M24)-(L24+Calc!$J$2:$J$1001))&lt;Calc!$F$2:$F$1001)*((K24+M24)-(L24+Calc!$J$2:$J$1001))+(((K24+M24)-(L24+Calc!$J$2:$J$1001))&gt;=Calc!$F$2:$F$1001)*Calc!$F$2:$F$1001))))</f>
        <v/>
      </c>
      <c r="R24">
        <f>IF(I24=0,0,(MIN(MAX((K24+N24),0),L24)*W24+SUMPRODUCT((Calc!$A$2:$A$1001=A24)*Calc!$G$2:$G$1001*((((K24+N24)-(L24+Calc!$J$2:$J$1001))&gt;0)*(((K24+N24)-(L24+Calc!$J$2:$J$1001))&lt;Calc!$F$2:$F$1001)*((K24+N24)-(L24+Calc!$J$2:$J$1001))+(((K24+N24)-(L24+Calc!$J$2:$J$1001))&gt;=Calc!$F$2:$F$1001)*Calc!$F$2:$F$1001))))</f>
        <v/>
      </c>
      <c r="S24">
        <f>IF(I24=0,0,(MIN(MAX((K24+O24),0),L24)*W24+SUMPRODUCT((Calc!$A$2:$A$1001=A24)*Calc!$G$2:$G$1001*((((K24+O24)-(L24+Calc!$J$2:$J$1001))&gt;0)*(((K24+O24)-(L24+Calc!$J$2:$J$1001))&lt;Calc!$F$2:$F$1001)*((K24+O24)-(L24+Calc!$J$2:$J$1001))+(((K24+O24)-(L24+Calc!$J$2:$J$1001))&gt;=Calc!$F$2:$F$1001)*Calc!$F$2:$F$1001))))</f>
        <v/>
      </c>
      <c r="T24">
        <f>IF(AND(E24=1,B24="RETURN"),Transactions!E24*Transactions!G24,0)</f>
        <v/>
      </c>
      <c r="U24">
        <f>IF(AND(E24=1,B24="EXPENSE"),Transactions!J24,0)</f>
        <v/>
      </c>
      <c r="V24">
        <f>IF(AND(Transactions!A24&lt;&gt;"",E24=0),ROW(),"")</f>
        <v/>
      </c>
      <c r="W24">
        <f>IFERROR(VLOOKUP(A24,Opening!$A:$D,4,0),0)</f>
        <v/>
      </c>
    </row>
    <row r="25">
      <c r="A25">
        <f>IF(Transactions!D25="","",UPPER(TRIM(Transactions!D25)))</f>
        <v/>
      </c>
      <c r="B25">
        <f>IF(Transactions!C25="","",UPPER(TRIM(Transactions!C25)))</f>
        <v/>
      </c>
      <c r="C25">
        <f>IF(Transactions!B25="",0,YEAR(Transactions!B25)*100+MONTH(Transactions!B25))</f>
        <v/>
      </c>
      <c r="D25">
        <f>IF(Transactions!A25="",1,IF(COUNTIF(Transactions!$A$1:A24,Transactions!A25)&gt;0,1,0))</f>
        <v/>
      </c>
      <c r="E25">
        <f>IF(D25=1,0,IF(B25="RETURN",IF(COUNTIFS($A$1:A24,A25,$B$1:B24,"SALE",$E$1:E24,1)&gt;0,1,0),1))</f>
        <v/>
      </c>
      <c r="F25">
        <f>IF(E25=1,IF(B25="RECEIPT",Transactions!E25,IF(AND(B25="RETURN",LOWER(TRIM(Transactions!H25))="resellable"),Transactions!E25,0)),0)</f>
        <v/>
      </c>
      <c r="G25">
        <f>IF(F25&gt;0,IF(B25="RECEIPT",Transactions!F25,IF(_xlfn.MAXIFS($H$2:H25,$A$2:A25,A25)&gt;0,INDEX(Transactions!$F:$F,_xlfn.MAXIFS($H$2:H25,$A$2:A25,A25)),W25)),0)</f>
        <v/>
      </c>
      <c r="H25">
        <f>IF(AND(E25=1,B25="RECEIPT"),ROW(),0)</f>
        <v/>
      </c>
      <c r="I25">
        <f>IF(E25=1,IF(OR(B25="SALE",B25="WRITEOFF"),Transactions!E25,0),0)</f>
        <v/>
      </c>
      <c r="J25">
        <f>SUMIFS($F$1:F24,$A$1:A24,A25)</f>
        <v/>
      </c>
      <c r="K25">
        <f>SUMIFS($I$1:I24,$A$1:A24,A25)</f>
        <v/>
      </c>
      <c r="L25">
        <f>IFERROR(VLOOKUP(A25,Opening!$A:$C,3,0),0)</f>
        <v/>
      </c>
      <c r="M25">
        <f>IF(I25=0,0,MAX(0,MIN(INDEX(Month!H$2:H$13,MATCH($A25,Month!$A$2:$A$13,0))-K25,I25)))</f>
        <v/>
      </c>
      <c r="N25">
        <f>IF(I25=0,0,MAX(0,MIN(INDEX(Month!I$2:I$13,MATCH($A25,Month!$A$2:$A$13,0))-K25,I25)))</f>
        <v/>
      </c>
      <c r="O25">
        <f>IF(I25=0,0,MAX(0,MIN(INDEX(Month!J$2:J$13,MATCH($A25,Month!$A$2:$A$13,0))-K25,I25)))</f>
        <v/>
      </c>
      <c r="P25">
        <f>IF(I25=0,0,(MIN(MAX(K25,0),L25)*W25+SUMPRODUCT((Calc!$A$2:$A$1001=A25)*Calc!$G$2:$G$1001*(((K25-(L25+Calc!$J$2:$J$1001))&gt;0)*((K25-(L25+Calc!$J$2:$J$1001))&lt;Calc!$F$2:$F$1001)*(K25-(L25+Calc!$J$2:$J$1001))+((K25-(L25+Calc!$J$2:$J$1001))&gt;=Calc!$F$2:$F$1001)*Calc!$F$2:$F$1001))))</f>
        <v/>
      </c>
      <c r="Q25">
        <f>IF(I25=0,0,(MIN(MAX((K25+M25),0),L25)*W25+SUMPRODUCT((Calc!$A$2:$A$1001=A25)*Calc!$G$2:$G$1001*((((K25+M25)-(L25+Calc!$J$2:$J$1001))&gt;0)*(((K25+M25)-(L25+Calc!$J$2:$J$1001))&lt;Calc!$F$2:$F$1001)*((K25+M25)-(L25+Calc!$J$2:$J$1001))+(((K25+M25)-(L25+Calc!$J$2:$J$1001))&gt;=Calc!$F$2:$F$1001)*Calc!$F$2:$F$1001))))</f>
        <v/>
      </c>
      <c r="R25">
        <f>IF(I25=0,0,(MIN(MAX((K25+N25),0),L25)*W25+SUMPRODUCT((Calc!$A$2:$A$1001=A25)*Calc!$G$2:$G$1001*((((K25+N25)-(L25+Calc!$J$2:$J$1001))&gt;0)*(((K25+N25)-(L25+Calc!$J$2:$J$1001))&lt;Calc!$F$2:$F$1001)*((K25+N25)-(L25+Calc!$J$2:$J$1001))+(((K25+N25)-(L25+Calc!$J$2:$J$1001))&gt;=Calc!$F$2:$F$1001)*Calc!$F$2:$F$1001))))</f>
        <v/>
      </c>
      <c r="S25">
        <f>IF(I25=0,0,(MIN(MAX((K25+O25),0),L25)*W25+SUMPRODUCT((Calc!$A$2:$A$1001=A25)*Calc!$G$2:$G$1001*((((K25+O25)-(L25+Calc!$J$2:$J$1001))&gt;0)*(((K25+O25)-(L25+Calc!$J$2:$J$1001))&lt;Calc!$F$2:$F$1001)*((K25+O25)-(L25+Calc!$J$2:$J$1001))+(((K25+O25)-(L25+Calc!$J$2:$J$1001))&gt;=Calc!$F$2:$F$1001)*Calc!$F$2:$F$1001))))</f>
        <v/>
      </c>
      <c r="T25">
        <f>IF(AND(E25=1,B25="RETURN"),Transactions!E25*Transactions!G25,0)</f>
        <v/>
      </c>
      <c r="U25">
        <f>IF(AND(E25=1,B25="EXPENSE"),Transactions!J25,0)</f>
        <v/>
      </c>
      <c r="V25">
        <f>IF(AND(Transactions!A25&lt;&gt;"",E25=0),ROW(),"")</f>
        <v/>
      </c>
      <c r="W25">
        <f>IFERROR(VLOOKUP(A25,Opening!$A:$D,4,0),0)</f>
        <v/>
      </c>
    </row>
    <row r="26">
      <c r="A26">
        <f>IF(Transactions!D26="","",UPPER(TRIM(Transactions!D26)))</f>
        <v/>
      </c>
      <c r="B26">
        <f>IF(Transactions!C26="","",UPPER(TRIM(Transactions!C26)))</f>
        <v/>
      </c>
      <c r="C26">
        <f>IF(Transactions!B26="",0,YEAR(Transactions!B26)*100+MONTH(Transactions!B26))</f>
        <v/>
      </c>
      <c r="D26">
        <f>IF(Transactions!A26="",1,IF(COUNTIF(Transactions!$A$1:A25,Transactions!A26)&gt;0,1,0))</f>
        <v/>
      </c>
      <c r="E26">
        <f>IF(D26=1,0,IF(B26="RETURN",IF(COUNTIFS($A$1:A25,A26,$B$1:B25,"SALE",$E$1:E25,1)&gt;0,1,0),1))</f>
        <v/>
      </c>
      <c r="F26">
        <f>IF(E26=1,IF(B26="RECEIPT",Transactions!E26,IF(AND(B26="RETURN",LOWER(TRIM(Transactions!H26))="resellable"),Transactions!E26,0)),0)</f>
        <v/>
      </c>
      <c r="G26">
        <f>IF(F26&gt;0,IF(B26="RECEIPT",Transactions!F26,IF(_xlfn.MAXIFS($H$2:H26,$A$2:A26,A26)&gt;0,INDEX(Transactions!$F:$F,_xlfn.MAXIFS($H$2:H26,$A$2:A26,A26)),W26)),0)</f>
        <v/>
      </c>
      <c r="H26">
        <f>IF(AND(E26=1,B26="RECEIPT"),ROW(),0)</f>
        <v/>
      </c>
      <c r="I26">
        <f>IF(E26=1,IF(OR(B26="SALE",B26="WRITEOFF"),Transactions!E26,0),0)</f>
        <v/>
      </c>
      <c r="J26">
        <f>SUMIFS($F$1:F25,$A$1:A25,A26)</f>
        <v/>
      </c>
      <c r="K26">
        <f>SUMIFS($I$1:I25,$A$1:A25,A26)</f>
        <v/>
      </c>
      <c r="L26">
        <f>IFERROR(VLOOKUP(A26,Opening!$A:$C,3,0),0)</f>
        <v/>
      </c>
      <c r="M26">
        <f>IF(I26=0,0,MAX(0,MIN(INDEX(Month!H$2:H$13,MATCH($A26,Month!$A$2:$A$13,0))-K26,I26)))</f>
        <v/>
      </c>
      <c r="N26">
        <f>IF(I26=0,0,MAX(0,MIN(INDEX(Month!I$2:I$13,MATCH($A26,Month!$A$2:$A$13,0))-K26,I26)))</f>
        <v/>
      </c>
      <c r="O26">
        <f>IF(I26=0,0,MAX(0,MIN(INDEX(Month!J$2:J$13,MATCH($A26,Month!$A$2:$A$13,0))-K26,I26)))</f>
        <v/>
      </c>
      <c r="P26">
        <f>IF(I26=0,0,(MIN(MAX(K26,0),L26)*W26+SUMPRODUCT((Calc!$A$2:$A$1001=A26)*Calc!$G$2:$G$1001*(((K26-(L26+Calc!$J$2:$J$1001))&gt;0)*((K26-(L26+Calc!$J$2:$J$1001))&lt;Calc!$F$2:$F$1001)*(K26-(L26+Calc!$J$2:$J$1001))+((K26-(L26+Calc!$J$2:$J$1001))&gt;=Calc!$F$2:$F$1001)*Calc!$F$2:$F$1001))))</f>
        <v/>
      </c>
      <c r="Q26">
        <f>IF(I26=0,0,(MIN(MAX((K26+M26),0),L26)*W26+SUMPRODUCT((Calc!$A$2:$A$1001=A26)*Calc!$G$2:$G$1001*((((K26+M26)-(L26+Calc!$J$2:$J$1001))&gt;0)*(((K26+M26)-(L26+Calc!$J$2:$J$1001))&lt;Calc!$F$2:$F$1001)*((K26+M26)-(L26+Calc!$J$2:$J$1001))+(((K26+M26)-(L26+Calc!$J$2:$J$1001))&gt;=Calc!$F$2:$F$1001)*Calc!$F$2:$F$1001))))</f>
        <v/>
      </c>
      <c r="R26">
        <f>IF(I26=0,0,(MIN(MAX((K26+N26),0),L26)*W26+SUMPRODUCT((Calc!$A$2:$A$1001=A26)*Calc!$G$2:$G$1001*((((K26+N26)-(L26+Calc!$J$2:$J$1001))&gt;0)*(((K26+N26)-(L26+Calc!$J$2:$J$1001))&lt;Calc!$F$2:$F$1001)*((K26+N26)-(L26+Calc!$J$2:$J$1001))+(((K26+N26)-(L26+Calc!$J$2:$J$1001))&gt;=Calc!$F$2:$F$1001)*Calc!$F$2:$F$1001))))</f>
        <v/>
      </c>
      <c r="S26">
        <f>IF(I26=0,0,(MIN(MAX((K26+O26),0),L26)*W26+SUMPRODUCT((Calc!$A$2:$A$1001=A26)*Calc!$G$2:$G$1001*((((K26+O26)-(L26+Calc!$J$2:$J$1001))&gt;0)*(((K26+O26)-(L26+Calc!$J$2:$J$1001))&lt;Calc!$F$2:$F$1001)*((K26+O26)-(L26+Calc!$J$2:$J$1001))+(((K26+O26)-(L26+Calc!$J$2:$J$1001))&gt;=Calc!$F$2:$F$1001)*Calc!$F$2:$F$1001))))</f>
        <v/>
      </c>
      <c r="T26">
        <f>IF(AND(E26=1,B26="RETURN"),Transactions!E26*Transactions!G26,0)</f>
        <v/>
      </c>
      <c r="U26">
        <f>IF(AND(E26=1,B26="EXPENSE"),Transactions!J26,0)</f>
        <v/>
      </c>
      <c r="V26">
        <f>IF(AND(Transactions!A26&lt;&gt;"",E26=0),ROW(),"")</f>
        <v/>
      </c>
      <c r="W26">
        <f>IFERROR(VLOOKUP(A26,Opening!$A:$D,4,0),0)</f>
        <v/>
      </c>
    </row>
    <row r="27">
      <c r="A27">
        <f>IF(Transactions!D27="","",UPPER(TRIM(Transactions!D27)))</f>
        <v/>
      </c>
      <c r="B27">
        <f>IF(Transactions!C27="","",UPPER(TRIM(Transactions!C27)))</f>
        <v/>
      </c>
      <c r="C27">
        <f>IF(Transactions!B27="",0,YEAR(Transactions!B27)*100+MONTH(Transactions!B27))</f>
        <v/>
      </c>
      <c r="D27">
        <f>IF(Transactions!A27="",1,IF(COUNTIF(Transactions!$A$1:A26,Transactions!A27)&gt;0,1,0))</f>
        <v/>
      </c>
      <c r="E27">
        <f>IF(D27=1,0,IF(B27="RETURN",IF(COUNTIFS($A$1:A26,A27,$B$1:B26,"SALE",$E$1:E26,1)&gt;0,1,0),1))</f>
        <v/>
      </c>
      <c r="F27">
        <f>IF(E27=1,IF(B27="RECEIPT",Transactions!E27,IF(AND(B27="RETURN",LOWER(TRIM(Transactions!H27))="resellable"),Transactions!E27,0)),0)</f>
        <v/>
      </c>
      <c r="G27">
        <f>IF(F27&gt;0,IF(B27="RECEIPT",Transactions!F27,IF(_xlfn.MAXIFS($H$2:H27,$A$2:A27,A27)&gt;0,INDEX(Transactions!$F:$F,_xlfn.MAXIFS($H$2:H27,$A$2:A27,A27)),W27)),0)</f>
        <v/>
      </c>
      <c r="H27">
        <f>IF(AND(E27=1,B27="RECEIPT"),ROW(),0)</f>
        <v/>
      </c>
      <c r="I27">
        <f>IF(E27=1,IF(OR(B27="SALE",B27="WRITEOFF"),Transactions!E27,0),0)</f>
        <v/>
      </c>
      <c r="J27">
        <f>SUMIFS($F$1:F26,$A$1:A26,A27)</f>
        <v/>
      </c>
      <c r="K27">
        <f>SUMIFS($I$1:I26,$A$1:A26,A27)</f>
        <v/>
      </c>
      <c r="L27">
        <f>IFERROR(VLOOKUP(A27,Opening!$A:$C,3,0),0)</f>
        <v/>
      </c>
      <c r="M27">
        <f>IF(I27=0,0,MAX(0,MIN(INDEX(Month!H$2:H$13,MATCH($A27,Month!$A$2:$A$13,0))-K27,I27)))</f>
        <v/>
      </c>
      <c r="N27">
        <f>IF(I27=0,0,MAX(0,MIN(INDEX(Month!I$2:I$13,MATCH($A27,Month!$A$2:$A$13,0))-K27,I27)))</f>
        <v/>
      </c>
      <c r="O27">
        <f>IF(I27=0,0,MAX(0,MIN(INDEX(Month!J$2:J$13,MATCH($A27,Month!$A$2:$A$13,0))-K27,I27)))</f>
        <v/>
      </c>
      <c r="P27">
        <f>IF(I27=0,0,(MIN(MAX(K27,0),L27)*W27+SUMPRODUCT((Calc!$A$2:$A$1001=A27)*Calc!$G$2:$G$1001*(((K27-(L27+Calc!$J$2:$J$1001))&gt;0)*((K27-(L27+Calc!$J$2:$J$1001))&lt;Calc!$F$2:$F$1001)*(K27-(L27+Calc!$J$2:$J$1001))+((K27-(L27+Calc!$J$2:$J$1001))&gt;=Calc!$F$2:$F$1001)*Calc!$F$2:$F$1001))))</f>
        <v/>
      </c>
      <c r="Q27">
        <f>IF(I27=0,0,(MIN(MAX((K27+M27),0),L27)*W27+SUMPRODUCT((Calc!$A$2:$A$1001=A27)*Calc!$G$2:$G$1001*((((K27+M27)-(L27+Calc!$J$2:$J$1001))&gt;0)*(((K27+M27)-(L27+Calc!$J$2:$J$1001))&lt;Calc!$F$2:$F$1001)*((K27+M27)-(L27+Calc!$J$2:$J$1001))+(((K27+M27)-(L27+Calc!$J$2:$J$1001))&gt;=Calc!$F$2:$F$1001)*Calc!$F$2:$F$1001))))</f>
        <v/>
      </c>
      <c r="R27">
        <f>IF(I27=0,0,(MIN(MAX((K27+N27),0),L27)*W27+SUMPRODUCT((Calc!$A$2:$A$1001=A27)*Calc!$G$2:$G$1001*((((K27+N27)-(L27+Calc!$J$2:$J$1001))&gt;0)*(((K27+N27)-(L27+Calc!$J$2:$J$1001))&lt;Calc!$F$2:$F$1001)*((K27+N27)-(L27+Calc!$J$2:$J$1001))+(((K27+N27)-(L27+Calc!$J$2:$J$1001))&gt;=Calc!$F$2:$F$1001)*Calc!$F$2:$F$1001))))</f>
        <v/>
      </c>
      <c r="S27">
        <f>IF(I27=0,0,(MIN(MAX((K27+O27),0),L27)*W27+SUMPRODUCT((Calc!$A$2:$A$1001=A27)*Calc!$G$2:$G$1001*((((K27+O27)-(L27+Calc!$J$2:$J$1001))&gt;0)*(((K27+O27)-(L27+Calc!$J$2:$J$1001))&lt;Calc!$F$2:$F$1001)*((K27+O27)-(L27+Calc!$J$2:$J$1001))+(((K27+O27)-(L27+Calc!$J$2:$J$1001))&gt;=Calc!$F$2:$F$1001)*Calc!$F$2:$F$1001))))</f>
        <v/>
      </c>
      <c r="T27">
        <f>IF(AND(E27=1,B27="RETURN"),Transactions!E27*Transactions!G27,0)</f>
        <v/>
      </c>
      <c r="U27">
        <f>IF(AND(E27=1,B27="EXPENSE"),Transactions!J27,0)</f>
        <v/>
      </c>
      <c r="V27">
        <f>IF(AND(Transactions!A27&lt;&gt;"",E27=0),ROW(),"")</f>
        <v/>
      </c>
      <c r="W27">
        <f>IFERROR(VLOOKUP(A27,Opening!$A:$D,4,0),0)</f>
        <v/>
      </c>
    </row>
    <row r="28">
      <c r="A28">
        <f>IF(Transactions!D28="","",UPPER(TRIM(Transactions!D28)))</f>
        <v/>
      </c>
      <c r="B28">
        <f>IF(Transactions!C28="","",UPPER(TRIM(Transactions!C28)))</f>
        <v/>
      </c>
      <c r="C28">
        <f>IF(Transactions!B28="",0,YEAR(Transactions!B28)*100+MONTH(Transactions!B28))</f>
        <v/>
      </c>
      <c r="D28">
        <f>IF(Transactions!A28="",1,IF(COUNTIF(Transactions!$A$1:A27,Transactions!A28)&gt;0,1,0))</f>
        <v/>
      </c>
      <c r="E28">
        <f>IF(D28=1,0,IF(B28="RETURN",IF(COUNTIFS($A$1:A27,A28,$B$1:B27,"SALE",$E$1:E27,1)&gt;0,1,0),1))</f>
        <v/>
      </c>
      <c r="F28">
        <f>IF(E28=1,IF(B28="RECEIPT",Transactions!E28,IF(AND(B28="RETURN",LOWER(TRIM(Transactions!H28))="resellable"),Transactions!E28,0)),0)</f>
        <v/>
      </c>
      <c r="G28">
        <f>IF(F28&gt;0,IF(B28="RECEIPT",Transactions!F28,IF(_xlfn.MAXIFS($H$2:H28,$A$2:A28,A28)&gt;0,INDEX(Transactions!$F:$F,_xlfn.MAXIFS($H$2:H28,$A$2:A28,A28)),W28)),0)</f>
        <v/>
      </c>
      <c r="H28">
        <f>IF(AND(E28=1,B28="RECEIPT"),ROW(),0)</f>
        <v/>
      </c>
      <c r="I28">
        <f>IF(E28=1,IF(OR(B28="SALE",B28="WRITEOFF"),Transactions!E28,0),0)</f>
        <v/>
      </c>
      <c r="J28">
        <f>SUMIFS($F$1:F27,$A$1:A27,A28)</f>
        <v/>
      </c>
      <c r="K28">
        <f>SUMIFS($I$1:I27,$A$1:A27,A28)</f>
        <v/>
      </c>
      <c r="L28">
        <f>IFERROR(VLOOKUP(A28,Opening!$A:$C,3,0),0)</f>
        <v/>
      </c>
      <c r="M28">
        <f>IF(I28=0,0,MAX(0,MIN(INDEX(Month!H$2:H$13,MATCH($A28,Month!$A$2:$A$13,0))-K28,I28)))</f>
        <v/>
      </c>
      <c r="N28">
        <f>IF(I28=0,0,MAX(0,MIN(INDEX(Month!I$2:I$13,MATCH($A28,Month!$A$2:$A$13,0))-K28,I28)))</f>
        <v/>
      </c>
      <c r="O28">
        <f>IF(I28=0,0,MAX(0,MIN(INDEX(Month!J$2:J$13,MATCH($A28,Month!$A$2:$A$13,0))-K28,I28)))</f>
        <v/>
      </c>
      <c r="P28">
        <f>IF(I28=0,0,(MIN(MAX(K28,0),L28)*W28+SUMPRODUCT((Calc!$A$2:$A$1001=A28)*Calc!$G$2:$G$1001*(((K28-(L28+Calc!$J$2:$J$1001))&gt;0)*((K28-(L28+Calc!$J$2:$J$1001))&lt;Calc!$F$2:$F$1001)*(K28-(L28+Calc!$J$2:$J$1001))+((K28-(L28+Calc!$J$2:$J$1001))&gt;=Calc!$F$2:$F$1001)*Calc!$F$2:$F$1001))))</f>
        <v/>
      </c>
      <c r="Q28">
        <f>IF(I28=0,0,(MIN(MAX((K28+M28),0),L28)*W28+SUMPRODUCT((Calc!$A$2:$A$1001=A28)*Calc!$G$2:$G$1001*((((K28+M28)-(L28+Calc!$J$2:$J$1001))&gt;0)*(((K28+M28)-(L28+Calc!$J$2:$J$1001))&lt;Calc!$F$2:$F$1001)*((K28+M28)-(L28+Calc!$J$2:$J$1001))+(((K28+M28)-(L28+Calc!$J$2:$J$1001))&gt;=Calc!$F$2:$F$1001)*Calc!$F$2:$F$1001))))</f>
        <v/>
      </c>
      <c r="R28">
        <f>IF(I28=0,0,(MIN(MAX((K28+N28),0),L28)*W28+SUMPRODUCT((Calc!$A$2:$A$1001=A28)*Calc!$G$2:$G$1001*((((K28+N28)-(L28+Calc!$J$2:$J$1001))&gt;0)*(((K28+N28)-(L28+Calc!$J$2:$J$1001))&lt;Calc!$F$2:$F$1001)*((K28+N28)-(L28+Calc!$J$2:$J$1001))+(((K28+N28)-(L28+Calc!$J$2:$J$1001))&gt;=Calc!$F$2:$F$1001)*Calc!$F$2:$F$1001))))</f>
        <v/>
      </c>
      <c r="S28">
        <f>IF(I28=0,0,(MIN(MAX((K28+O28),0),L28)*W28+SUMPRODUCT((Calc!$A$2:$A$1001=A28)*Calc!$G$2:$G$1001*((((K28+O28)-(L28+Calc!$J$2:$J$1001))&gt;0)*(((K28+O28)-(L28+Calc!$J$2:$J$1001))&lt;Calc!$F$2:$F$1001)*((K28+O28)-(L28+Calc!$J$2:$J$1001))+(((K28+O28)-(L28+Calc!$J$2:$J$1001))&gt;=Calc!$F$2:$F$1001)*Calc!$F$2:$F$1001))))</f>
        <v/>
      </c>
      <c r="T28">
        <f>IF(AND(E28=1,B28="RETURN"),Transactions!E28*Transactions!G28,0)</f>
        <v/>
      </c>
      <c r="U28">
        <f>IF(AND(E28=1,B28="EXPENSE"),Transactions!J28,0)</f>
        <v/>
      </c>
      <c r="V28">
        <f>IF(AND(Transactions!A28&lt;&gt;"",E28=0),ROW(),"")</f>
        <v/>
      </c>
      <c r="W28">
        <f>IFERROR(VLOOKUP(A28,Opening!$A:$D,4,0),0)</f>
        <v/>
      </c>
    </row>
    <row r="29">
      <c r="A29">
        <f>IF(Transactions!D29="","",UPPER(TRIM(Transactions!D29)))</f>
        <v/>
      </c>
      <c r="B29">
        <f>IF(Transactions!C29="","",UPPER(TRIM(Transactions!C29)))</f>
        <v/>
      </c>
      <c r="C29">
        <f>IF(Transactions!B29="",0,YEAR(Transactions!B29)*100+MONTH(Transactions!B29))</f>
        <v/>
      </c>
      <c r="D29">
        <f>IF(Transactions!A29="",1,IF(COUNTIF(Transactions!$A$1:A28,Transactions!A29)&gt;0,1,0))</f>
        <v/>
      </c>
      <c r="E29">
        <f>IF(D29=1,0,IF(B29="RETURN",IF(COUNTIFS($A$1:A28,A29,$B$1:B28,"SALE",$E$1:E28,1)&gt;0,1,0),1))</f>
        <v/>
      </c>
      <c r="F29">
        <f>IF(E29=1,IF(B29="RECEIPT",Transactions!E29,IF(AND(B29="RETURN",LOWER(TRIM(Transactions!H29))="resellable"),Transactions!E29,0)),0)</f>
        <v/>
      </c>
      <c r="G29">
        <f>IF(F29&gt;0,IF(B29="RECEIPT",Transactions!F29,IF(_xlfn.MAXIFS($H$2:H29,$A$2:A29,A29)&gt;0,INDEX(Transactions!$F:$F,_xlfn.MAXIFS($H$2:H29,$A$2:A29,A29)),W29)),0)</f>
        <v/>
      </c>
      <c r="H29">
        <f>IF(AND(E29=1,B29="RECEIPT"),ROW(),0)</f>
        <v/>
      </c>
      <c r="I29">
        <f>IF(E29=1,IF(OR(B29="SALE",B29="WRITEOFF"),Transactions!E29,0),0)</f>
        <v/>
      </c>
      <c r="J29">
        <f>SUMIFS($F$1:F28,$A$1:A28,A29)</f>
        <v/>
      </c>
      <c r="K29">
        <f>SUMIFS($I$1:I28,$A$1:A28,A29)</f>
        <v/>
      </c>
      <c r="L29">
        <f>IFERROR(VLOOKUP(A29,Opening!$A:$C,3,0),0)</f>
        <v/>
      </c>
      <c r="M29">
        <f>IF(I29=0,0,MAX(0,MIN(INDEX(Month!H$2:H$13,MATCH($A29,Month!$A$2:$A$13,0))-K29,I29)))</f>
        <v/>
      </c>
      <c r="N29">
        <f>IF(I29=0,0,MAX(0,MIN(INDEX(Month!I$2:I$13,MATCH($A29,Month!$A$2:$A$13,0))-K29,I29)))</f>
        <v/>
      </c>
      <c r="O29">
        <f>IF(I29=0,0,MAX(0,MIN(INDEX(Month!J$2:J$13,MATCH($A29,Month!$A$2:$A$13,0))-K29,I29)))</f>
        <v/>
      </c>
      <c r="P29">
        <f>IF(I29=0,0,(MIN(MAX(K29,0),L29)*W29+SUMPRODUCT((Calc!$A$2:$A$1001=A29)*Calc!$G$2:$G$1001*(((K29-(L29+Calc!$J$2:$J$1001))&gt;0)*((K29-(L29+Calc!$J$2:$J$1001))&lt;Calc!$F$2:$F$1001)*(K29-(L29+Calc!$J$2:$J$1001))+((K29-(L29+Calc!$J$2:$J$1001))&gt;=Calc!$F$2:$F$1001)*Calc!$F$2:$F$1001))))</f>
        <v/>
      </c>
      <c r="Q29">
        <f>IF(I29=0,0,(MIN(MAX((K29+M29),0),L29)*W29+SUMPRODUCT((Calc!$A$2:$A$1001=A29)*Calc!$G$2:$G$1001*((((K29+M29)-(L29+Calc!$J$2:$J$1001))&gt;0)*(((K29+M29)-(L29+Calc!$J$2:$J$1001))&lt;Calc!$F$2:$F$1001)*((K29+M29)-(L29+Calc!$J$2:$J$1001))+(((K29+M29)-(L29+Calc!$J$2:$J$1001))&gt;=Calc!$F$2:$F$1001)*Calc!$F$2:$F$1001))))</f>
        <v/>
      </c>
      <c r="R29">
        <f>IF(I29=0,0,(MIN(MAX((K29+N29),0),L29)*W29+SUMPRODUCT((Calc!$A$2:$A$1001=A29)*Calc!$G$2:$G$1001*((((K29+N29)-(L29+Calc!$J$2:$J$1001))&gt;0)*(((K29+N29)-(L29+Calc!$J$2:$J$1001))&lt;Calc!$F$2:$F$1001)*((K29+N29)-(L29+Calc!$J$2:$J$1001))+(((K29+N29)-(L29+Calc!$J$2:$J$1001))&gt;=Calc!$F$2:$F$1001)*Calc!$F$2:$F$1001))))</f>
        <v/>
      </c>
      <c r="S29">
        <f>IF(I29=0,0,(MIN(MAX((K29+O29),0),L29)*W29+SUMPRODUCT((Calc!$A$2:$A$1001=A29)*Calc!$G$2:$G$1001*((((K29+O29)-(L29+Calc!$J$2:$J$1001))&gt;0)*(((K29+O29)-(L29+Calc!$J$2:$J$1001))&lt;Calc!$F$2:$F$1001)*((K29+O29)-(L29+Calc!$J$2:$J$1001))+(((K29+O29)-(L29+Calc!$J$2:$J$1001))&gt;=Calc!$F$2:$F$1001)*Calc!$F$2:$F$1001))))</f>
        <v/>
      </c>
      <c r="T29">
        <f>IF(AND(E29=1,B29="RETURN"),Transactions!E29*Transactions!G29,0)</f>
        <v/>
      </c>
      <c r="U29">
        <f>IF(AND(E29=1,B29="EXPENSE"),Transactions!J29,0)</f>
        <v/>
      </c>
      <c r="V29">
        <f>IF(AND(Transactions!A29&lt;&gt;"",E29=0),ROW(),"")</f>
        <v/>
      </c>
      <c r="W29">
        <f>IFERROR(VLOOKUP(A29,Opening!$A:$D,4,0),0)</f>
        <v/>
      </c>
    </row>
    <row r="30">
      <c r="A30">
        <f>IF(Transactions!D30="","",UPPER(TRIM(Transactions!D30)))</f>
        <v/>
      </c>
      <c r="B30">
        <f>IF(Transactions!C30="","",UPPER(TRIM(Transactions!C30)))</f>
        <v/>
      </c>
      <c r="C30">
        <f>IF(Transactions!B30="",0,YEAR(Transactions!B30)*100+MONTH(Transactions!B30))</f>
        <v/>
      </c>
      <c r="D30">
        <f>IF(Transactions!A30="",1,IF(COUNTIF(Transactions!$A$1:A29,Transactions!A30)&gt;0,1,0))</f>
        <v/>
      </c>
      <c r="E30">
        <f>IF(D30=1,0,IF(B30="RETURN",IF(COUNTIFS($A$1:A29,A30,$B$1:B29,"SALE",$E$1:E29,1)&gt;0,1,0),1))</f>
        <v/>
      </c>
      <c r="F30">
        <f>IF(E30=1,IF(B30="RECEIPT",Transactions!E30,IF(AND(B30="RETURN",LOWER(TRIM(Transactions!H30))="resellable"),Transactions!E30,0)),0)</f>
        <v/>
      </c>
      <c r="G30">
        <f>IF(F30&gt;0,IF(B30="RECEIPT",Transactions!F30,IF(_xlfn.MAXIFS($H$2:H30,$A$2:A30,A30)&gt;0,INDEX(Transactions!$F:$F,_xlfn.MAXIFS($H$2:H30,$A$2:A30,A30)),W30)),0)</f>
        <v/>
      </c>
      <c r="H30">
        <f>IF(AND(E30=1,B30="RECEIPT"),ROW(),0)</f>
        <v/>
      </c>
      <c r="I30">
        <f>IF(E30=1,IF(OR(B30="SALE",B30="WRITEOFF"),Transactions!E30,0),0)</f>
        <v/>
      </c>
      <c r="J30">
        <f>SUMIFS($F$1:F29,$A$1:A29,A30)</f>
        <v/>
      </c>
      <c r="K30">
        <f>SUMIFS($I$1:I29,$A$1:A29,A30)</f>
        <v/>
      </c>
      <c r="L30">
        <f>IFERROR(VLOOKUP(A30,Opening!$A:$C,3,0),0)</f>
        <v/>
      </c>
      <c r="M30">
        <f>IF(I30=0,0,MAX(0,MIN(INDEX(Month!H$2:H$13,MATCH($A30,Month!$A$2:$A$13,0))-K30,I30)))</f>
        <v/>
      </c>
      <c r="N30">
        <f>IF(I30=0,0,MAX(0,MIN(INDEX(Month!I$2:I$13,MATCH($A30,Month!$A$2:$A$13,0))-K30,I30)))</f>
        <v/>
      </c>
      <c r="O30">
        <f>IF(I30=0,0,MAX(0,MIN(INDEX(Month!J$2:J$13,MATCH($A30,Month!$A$2:$A$13,0))-K30,I30)))</f>
        <v/>
      </c>
      <c r="P30">
        <f>IF(I30=0,0,(MIN(MAX(K30,0),L30)*W30+SUMPRODUCT((Calc!$A$2:$A$1001=A30)*Calc!$G$2:$G$1001*(((K30-(L30+Calc!$J$2:$J$1001))&gt;0)*((K30-(L30+Calc!$J$2:$J$1001))&lt;Calc!$F$2:$F$1001)*(K30-(L30+Calc!$J$2:$J$1001))+((K30-(L30+Calc!$J$2:$J$1001))&gt;=Calc!$F$2:$F$1001)*Calc!$F$2:$F$1001))))</f>
        <v/>
      </c>
      <c r="Q30">
        <f>IF(I30=0,0,(MIN(MAX((K30+M30),0),L30)*W30+SUMPRODUCT((Calc!$A$2:$A$1001=A30)*Calc!$G$2:$G$1001*((((K30+M30)-(L30+Calc!$J$2:$J$1001))&gt;0)*(((K30+M30)-(L30+Calc!$J$2:$J$1001))&lt;Calc!$F$2:$F$1001)*((K30+M30)-(L30+Calc!$J$2:$J$1001))+(((K30+M30)-(L30+Calc!$J$2:$J$1001))&gt;=Calc!$F$2:$F$1001)*Calc!$F$2:$F$1001))))</f>
        <v/>
      </c>
      <c r="R30">
        <f>IF(I30=0,0,(MIN(MAX((K30+N30),0),L30)*W30+SUMPRODUCT((Calc!$A$2:$A$1001=A30)*Calc!$G$2:$G$1001*((((K30+N30)-(L30+Calc!$J$2:$J$1001))&gt;0)*(((K30+N30)-(L30+Calc!$J$2:$J$1001))&lt;Calc!$F$2:$F$1001)*((K30+N30)-(L30+Calc!$J$2:$J$1001))+(((K30+N30)-(L30+Calc!$J$2:$J$1001))&gt;=Calc!$F$2:$F$1001)*Calc!$F$2:$F$1001))))</f>
        <v/>
      </c>
      <c r="S30">
        <f>IF(I30=0,0,(MIN(MAX((K30+O30),0),L30)*W30+SUMPRODUCT((Calc!$A$2:$A$1001=A30)*Calc!$G$2:$G$1001*((((K30+O30)-(L30+Calc!$J$2:$J$1001))&gt;0)*(((K30+O30)-(L30+Calc!$J$2:$J$1001))&lt;Calc!$F$2:$F$1001)*((K30+O30)-(L30+Calc!$J$2:$J$1001))+(((K30+O30)-(L30+Calc!$J$2:$J$1001))&gt;=Calc!$F$2:$F$1001)*Calc!$F$2:$F$1001))))</f>
        <v/>
      </c>
      <c r="T30">
        <f>IF(AND(E30=1,B30="RETURN"),Transactions!E30*Transactions!G30,0)</f>
        <v/>
      </c>
      <c r="U30">
        <f>IF(AND(E30=1,B30="EXPENSE"),Transactions!J30,0)</f>
        <v/>
      </c>
      <c r="V30">
        <f>IF(AND(Transactions!A30&lt;&gt;"",E30=0),ROW(),"")</f>
        <v/>
      </c>
      <c r="W30">
        <f>IFERROR(VLOOKUP(A30,Opening!$A:$D,4,0),0)</f>
        <v/>
      </c>
    </row>
    <row r="31">
      <c r="A31">
        <f>IF(Transactions!D31="","",UPPER(TRIM(Transactions!D31)))</f>
        <v/>
      </c>
      <c r="B31">
        <f>IF(Transactions!C31="","",UPPER(TRIM(Transactions!C31)))</f>
        <v/>
      </c>
      <c r="C31">
        <f>IF(Transactions!B31="",0,YEAR(Transactions!B31)*100+MONTH(Transactions!B31))</f>
        <v/>
      </c>
      <c r="D31">
        <f>IF(Transactions!A31="",1,IF(COUNTIF(Transactions!$A$1:A30,Transactions!A31)&gt;0,1,0))</f>
        <v/>
      </c>
      <c r="E31">
        <f>IF(D31=1,0,IF(B31="RETURN",IF(COUNTIFS($A$1:A30,A31,$B$1:B30,"SALE",$E$1:E30,1)&gt;0,1,0),1))</f>
        <v/>
      </c>
      <c r="F31">
        <f>IF(E31=1,IF(B31="RECEIPT",Transactions!E31,IF(AND(B31="RETURN",LOWER(TRIM(Transactions!H31))="resellable"),Transactions!E31,0)),0)</f>
        <v/>
      </c>
      <c r="G31">
        <f>IF(F31&gt;0,IF(B31="RECEIPT",Transactions!F31,IF(_xlfn.MAXIFS($H$2:H31,$A$2:A31,A31)&gt;0,INDEX(Transactions!$F:$F,_xlfn.MAXIFS($H$2:H31,$A$2:A31,A31)),W31)),0)</f>
        <v/>
      </c>
      <c r="H31">
        <f>IF(AND(E31=1,B31="RECEIPT"),ROW(),0)</f>
        <v/>
      </c>
      <c r="I31">
        <f>IF(E31=1,IF(OR(B31="SALE",B31="WRITEOFF"),Transactions!E31,0),0)</f>
        <v/>
      </c>
      <c r="J31">
        <f>SUMIFS($F$1:F30,$A$1:A30,A31)</f>
        <v/>
      </c>
      <c r="K31">
        <f>SUMIFS($I$1:I30,$A$1:A30,A31)</f>
        <v/>
      </c>
      <c r="L31">
        <f>IFERROR(VLOOKUP(A31,Opening!$A:$C,3,0),0)</f>
        <v/>
      </c>
      <c r="M31">
        <f>IF(I31=0,0,MAX(0,MIN(INDEX(Month!H$2:H$13,MATCH($A31,Month!$A$2:$A$13,0))-K31,I31)))</f>
        <v/>
      </c>
      <c r="N31">
        <f>IF(I31=0,0,MAX(0,MIN(INDEX(Month!I$2:I$13,MATCH($A31,Month!$A$2:$A$13,0))-K31,I31)))</f>
        <v/>
      </c>
      <c r="O31">
        <f>IF(I31=0,0,MAX(0,MIN(INDEX(Month!J$2:J$13,MATCH($A31,Month!$A$2:$A$13,0))-K31,I31)))</f>
        <v/>
      </c>
      <c r="P31">
        <f>IF(I31=0,0,(MIN(MAX(K31,0),L31)*W31+SUMPRODUCT((Calc!$A$2:$A$1001=A31)*Calc!$G$2:$G$1001*(((K31-(L31+Calc!$J$2:$J$1001))&gt;0)*((K31-(L31+Calc!$J$2:$J$1001))&lt;Calc!$F$2:$F$1001)*(K31-(L31+Calc!$J$2:$J$1001))+((K31-(L31+Calc!$J$2:$J$1001))&gt;=Calc!$F$2:$F$1001)*Calc!$F$2:$F$1001))))</f>
        <v/>
      </c>
      <c r="Q31">
        <f>IF(I31=0,0,(MIN(MAX((K31+M31),0),L31)*W31+SUMPRODUCT((Calc!$A$2:$A$1001=A31)*Calc!$G$2:$G$1001*((((K31+M31)-(L31+Calc!$J$2:$J$1001))&gt;0)*(((K31+M31)-(L31+Calc!$J$2:$J$1001))&lt;Calc!$F$2:$F$1001)*((K31+M31)-(L31+Calc!$J$2:$J$1001))+(((K31+M31)-(L31+Calc!$J$2:$J$1001))&gt;=Calc!$F$2:$F$1001)*Calc!$F$2:$F$1001))))</f>
        <v/>
      </c>
      <c r="R31">
        <f>IF(I31=0,0,(MIN(MAX((K31+N31),0),L31)*W31+SUMPRODUCT((Calc!$A$2:$A$1001=A31)*Calc!$G$2:$G$1001*((((K31+N31)-(L31+Calc!$J$2:$J$1001))&gt;0)*(((K31+N31)-(L31+Calc!$J$2:$J$1001))&lt;Calc!$F$2:$F$1001)*((K31+N31)-(L31+Calc!$J$2:$J$1001))+(((K31+N31)-(L31+Calc!$J$2:$J$1001))&gt;=Calc!$F$2:$F$1001)*Calc!$F$2:$F$1001))))</f>
        <v/>
      </c>
      <c r="S31">
        <f>IF(I31=0,0,(MIN(MAX((K31+O31),0),L31)*W31+SUMPRODUCT((Calc!$A$2:$A$1001=A31)*Calc!$G$2:$G$1001*((((K31+O31)-(L31+Calc!$J$2:$J$1001))&gt;0)*(((K31+O31)-(L31+Calc!$J$2:$J$1001))&lt;Calc!$F$2:$F$1001)*((K31+O31)-(L31+Calc!$J$2:$J$1001))+(((K31+O31)-(L31+Calc!$J$2:$J$1001))&gt;=Calc!$F$2:$F$1001)*Calc!$F$2:$F$1001))))</f>
        <v/>
      </c>
      <c r="T31">
        <f>IF(AND(E31=1,B31="RETURN"),Transactions!E31*Transactions!G31,0)</f>
        <v/>
      </c>
      <c r="U31">
        <f>IF(AND(E31=1,B31="EXPENSE"),Transactions!J31,0)</f>
        <v/>
      </c>
      <c r="V31">
        <f>IF(AND(Transactions!A31&lt;&gt;"",E31=0),ROW(),"")</f>
        <v/>
      </c>
      <c r="W31">
        <f>IFERROR(VLOOKUP(A31,Opening!$A:$D,4,0),0)</f>
        <v/>
      </c>
    </row>
    <row r="32">
      <c r="A32">
        <f>IF(Transactions!D32="","",UPPER(TRIM(Transactions!D32)))</f>
        <v/>
      </c>
      <c r="B32">
        <f>IF(Transactions!C32="","",UPPER(TRIM(Transactions!C32)))</f>
        <v/>
      </c>
      <c r="C32">
        <f>IF(Transactions!B32="",0,YEAR(Transactions!B32)*100+MONTH(Transactions!B32))</f>
        <v/>
      </c>
      <c r="D32">
        <f>IF(Transactions!A32="",1,IF(COUNTIF(Transactions!$A$1:A31,Transactions!A32)&gt;0,1,0))</f>
        <v/>
      </c>
      <c r="E32">
        <f>IF(D32=1,0,IF(B32="RETURN",IF(COUNTIFS($A$1:A31,A32,$B$1:B31,"SALE",$E$1:E31,1)&gt;0,1,0),1))</f>
        <v/>
      </c>
      <c r="F32">
        <f>IF(E32=1,IF(B32="RECEIPT",Transactions!E32,IF(AND(B32="RETURN",LOWER(TRIM(Transactions!H32))="resellable"),Transactions!E32,0)),0)</f>
        <v/>
      </c>
      <c r="G32">
        <f>IF(F32&gt;0,IF(B32="RECEIPT",Transactions!F32,IF(_xlfn.MAXIFS($H$2:H32,$A$2:A32,A32)&gt;0,INDEX(Transactions!$F:$F,_xlfn.MAXIFS($H$2:H32,$A$2:A32,A32)),W32)),0)</f>
        <v/>
      </c>
      <c r="H32">
        <f>IF(AND(E32=1,B32="RECEIPT"),ROW(),0)</f>
        <v/>
      </c>
      <c r="I32">
        <f>IF(E32=1,IF(OR(B32="SALE",B32="WRITEOFF"),Transactions!E32,0),0)</f>
        <v/>
      </c>
      <c r="J32">
        <f>SUMIFS($F$1:F31,$A$1:A31,A32)</f>
        <v/>
      </c>
      <c r="K32">
        <f>SUMIFS($I$1:I31,$A$1:A31,A32)</f>
        <v/>
      </c>
      <c r="L32">
        <f>IFERROR(VLOOKUP(A32,Opening!$A:$C,3,0),0)</f>
        <v/>
      </c>
      <c r="M32">
        <f>IF(I32=0,0,MAX(0,MIN(INDEX(Month!H$2:H$13,MATCH($A32,Month!$A$2:$A$13,0))-K32,I32)))</f>
        <v/>
      </c>
      <c r="N32">
        <f>IF(I32=0,0,MAX(0,MIN(INDEX(Month!I$2:I$13,MATCH($A32,Month!$A$2:$A$13,0))-K32,I32)))</f>
        <v/>
      </c>
      <c r="O32">
        <f>IF(I32=0,0,MAX(0,MIN(INDEX(Month!J$2:J$13,MATCH($A32,Month!$A$2:$A$13,0))-K32,I32)))</f>
        <v/>
      </c>
      <c r="P32">
        <f>IF(I32=0,0,(MIN(MAX(K32,0),L32)*W32+SUMPRODUCT((Calc!$A$2:$A$1001=A32)*Calc!$G$2:$G$1001*(((K32-(L32+Calc!$J$2:$J$1001))&gt;0)*((K32-(L32+Calc!$J$2:$J$1001))&lt;Calc!$F$2:$F$1001)*(K32-(L32+Calc!$J$2:$J$1001))+((K32-(L32+Calc!$J$2:$J$1001))&gt;=Calc!$F$2:$F$1001)*Calc!$F$2:$F$1001))))</f>
        <v/>
      </c>
      <c r="Q32">
        <f>IF(I32=0,0,(MIN(MAX((K32+M32),0),L32)*W32+SUMPRODUCT((Calc!$A$2:$A$1001=A32)*Calc!$G$2:$G$1001*((((K32+M32)-(L32+Calc!$J$2:$J$1001))&gt;0)*(((K32+M32)-(L32+Calc!$J$2:$J$1001))&lt;Calc!$F$2:$F$1001)*((K32+M32)-(L32+Calc!$J$2:$J$1001))+(((K32+M32)-(L32+Calc!$J$2:$J$1001))&gt;=Calc!$F$2:$F$1001)*Calc!$F$2:$F$1001))))</f>
        <v/>
      </c>
      <c r="R32">
        <f>IF(I32=0,0,(MIN(MAX((K32+N32),0),L32)*W32+SUMPRODUCT((Calc!$A$2:$A$1001=A32)*Calc!$G$2:$G$1001*((((K32+N32)-(L32+Calc!$J$2:$J$1001))&gt;0)*(((K32+N32)-(L32+Calc!$J$2:$J$1001))&lt;Calc!$F$2:$F$1001)*((K32+N32)-(L32+Calc!$J$2:$J$1001))+(((K32+N32)-(L32+Calc!$J$2:$J$1001))&gt;=Calc!$F$2:$F$1001)*Calc!$F$2:$F$1001))))</f>
        <v/>
      </c>
      <c r="S32">
        <f>IF(I32=0,0,(MIN(MAX((K32+O32),0),L32)*W32+SUMPRODUCT((Calc!$A$2:$A$1001=A32)*Calc!$G$2:$G$1001*((((K32+O32)-(L32+Calc!$J$2:$J$1001))&gt;0)*(((K32+O32)-(L32+Calc!$J$2:$J$1001))&lt;Calc!$F$2:$F$1001)*((K32+O32)-(L32+Calc!$J$2:$J$1001))+(((K32+O32)-(L32+Calc!$J$2:$J$1001))&gt;=Calc!$F$2:$F$1001)*Calc!$F$2:$F$1001))))</f>
        <v/>
      </c>
      <c r="T32">
        <f>IF(AND(E32=1,B32="RETURN"),Transactions!E32*Transactions!G32,0)</f>
        <v/>
      </c>
      <c r="U32">
        <f>IF(AND(E32=1,B32="EXPENSE"),Transactions!J32,0)</f>
        <v/>
      </c>
      <c r="V32">
        <f>IF(AND(Transactions!A32&lt;&gt;"",E32=0),ROW(),"")</f>
        <v/>
      </c>
      <c r="W32">
        <f>IFERROR(VLOOKUP(A32,Opening!$A:$D,4,0),0)</f>
        <v/>
      </c>
    </row>
    <row r="33">
      <c r="A33">
        <f>IF(Transactions!D33="","",UPPER(TRIM(Transactions!D33)))</f>
        <v/>
      </c>
      <c r="B33">
        <f>IF(Transactions!C33="","",UPPER(TRIM(Transactions!C33)))</f>
        <v/>
      </c>
      <c r="C33">
        <f>IF(Transactions!B33="",0,YEAR(Transactions!B33)*100+MONTH(Transactions!B33))</f>
        <v/>
      </c>
      <c r="D33">
        <f>IF(Transactions!A33="",1,IF(COUNTIF(Transactions!$A$1:A32,Transactions!A33)&gt;0,1,0))</f>
        <v/>
      </c>
      <c r="E33">
        <f>IF(D33=1,0,IF(B33="RETURN",IF(COUNTIFS($A$1:A32,A33,$B$1:B32,"SALE",$E$1:E32,1)&gt;0,1,0),1))</f>
        <v/>
      </c>
      <c r="F33">
        <f>IF(E33=1,IF(B33="RECEIPT",Transactions!E33,IF(AND(B33="RETURN",LOWER(TRIM(Transactions!H33))="resellable"),Transactions!E33,0)),0)</f>
        <v/>
      </c>
      <c r="G33">
        <f>IF(F33&gt;0,IF(B33="RECEIPT",Transactions!F33,IF(_xlfn.MAXIFS($H$2:H33,$A$2:A33,A33)&gt;0,INDEX(Transactions!$F:$F,_xlfn.MAXIFS($H$2:H33,$A$2:A33,A33)),W33)),0)</f>
        <v/>
      </c>
      <c r="H33">
        <f>IF(AND(E33=1,B33="RECEIPT"),ROW(),0)</f>
        <v/>
      </c>
      <c r="I33">
        <f>IF(E33=1,IF(OR(B33="SALE",B33="WRITEOFF"),Transactions!E33,0),0)</f>
        <v/>
      </c>
      <c r="J33">
        <f>SUMIFS($F$1:F32,$A$1:A32,A33)</f>
        <v/>
      </c>
      <c r="K33">
        <f>SUMIFS($I$1:I32,$A$1:A32,A33)</f>
        <v/>
      </c>
      <c r="L33">
        <f>IFERROR(VLOOKUP(A33,Opening!$A:$C,3,0),0)</f>
        <v/>
      </c>
      <c r="M33">
        <f>IF(I33=0,0,MAX(0,MIN(INDEX(Month!H$2:H$13,MATCH($A33,Month!$A$2:$A$13,0))-K33,I33)))</f>
        <v/>
      </c>
      <c r="N33">
        <f>IF(I33=0,0,MAX(0,MIN(INDEX(Month!I$2:I$13,MATCH($A33,Month!$A$2:$A$13,0))-K33,I33)))</f>
        <v/>
      </c>
      <c r="O33">
        <f>IF(I33=0,0,MAX(0,MIN(INDEX(Month!J$2:J$13,MATCH($A33,Month!$A$2:$A$13,0))-K33,I33)))</f>
        <v/>
      </c>
      <c r="P33">
        <f>IF(I33=0,0,(MIN(MAX(K33,0),L33)*W33+SUMPRODUCT((Calc!$A$2:$A$1001=A33)*Calc!$G$2:$G$1001*(((K33-(L33+Calc!$J$2:$J$1001))&gt;0)*((K33-(L33+Calc!$J$2:$J$1001))&lt;Calc!$F$2:$F$1001)*(K33-(L33+Calc!$J$2:$J$1001))+((K33-(L33+Calc!$J$2:$J$1001))&gt;=Calc!$F$2:$F$1001)*Calc!$F$2:$F$1001))))</f>
        <v/>
      </c>
      <c r="Q33">
        <f>IF(I33=0,0,(MIN(MAX((K33+M33),0),L33)*W33+SUMPRODUCT((Calc!$A$2:$A$1001=A33)*Calc!$G$2:$G$1001*((((K33+M33)-(L33+Calc!$J$2:$J$1001))&gt;0)*(((K33+M33)-(L33+Calc!$J$2:$J$1001))&lt;Calc!$F$2:$F$1001)*((K33+M33)-(L33+Calc!$J$2:$J$1001))+(((K33+M33)-(L33+Calc!$J$2:$J$1001))&gt;=Calc!$F$2:$F$1001)*Calc!$F$2:$F$1001))))</f>
        <v/>
      </c>
      <c r="R33">
        <f>IF(I33=0,0,(MIN(MAX((K33+N33),0),L33)*W33+SUMPRODUCT((Calc!$A$2:$A$1001=A33)*Calc!$G$2:$G$1001*((((K33+N33)-(L33+Calc!$J$2:$J$1001))&gt;0)*(((K33+N33)-(L33+Calc!$J$2:$J$1001))&lt;Calc!$F$2:$F$1001)*((K33+N33)-(L33+Calc!$J$2:$J$1001))+(((K33+N33)-(L33+Calc!$J$2:$J$1001))&gt;=Calc!$F$2:$F$1001)*Calc!$F$2:$F$1001))))</f>
        <v/>
      </c>
      <c r="S33">
        <f>IF(I33=0,0,(MIN(MAX((K33+O33),0),L33)*W33+SUMPRODUCT((Calc!$A$2:$A$1001=A33)*Calc!$G$2:$G$1001*((((K33+O33)-(L33+Calc!$J$2:$J$1001))&gt;0)*(((K33+O33)-(L33+Calc!$J$2:$J$1001))&lt;Calc!$F$2:$F$1001)*((K33+O33)-(L33+Calc!$J$2:$J$1001))+(((K33+O33)-(L33+Calc!$J$2:$J$1001))&gt;=Calc!$F$2:$F$1001)*Calc!$F$2:$F$1001))))</f>
        <v/>
      </c>
      <c r="T33">
        <f>IF(AND(E33=1,B33="RETURN"),Transactions!E33*Transactions!G33,0)</f>
        <v/>
      </c>
      <c r="U33">
        <f>IF(AND(E33=1,B33="EXPENSE"),Transactions!J33,0)</f>
        <v/>
      </c>
      <c r="V33">
        <f>IF(AND(Transactions!A33&lt;&gt;"",E33=0),ROW(),"")</f>
        <v/>
      </c>
      <c r="W33">
        <f>IFERROR(VLOOKUP(A33,Opening!$A:$D,4,0),0)</f>
        <v/>
      </c>
    </row>
    <row r="34">
      <c r="A34">
        <f>IF(Transactions!D34="","",UPPER(TRIM(Transactions!D34)))</f>
        <v/>
      </c>
      <c r="B34">
        <f>IF(Transactions!C34="","",UPPER(TRIM(Transactions!C34)))</f>
        <v/>
      </c>
      <c r="C34">
        <f>IF(Transactions!B34="",0,YEAR(Transactions!B34)*100+MONTH(Transactions!B34))</f>
        <v/>
      </c>
      <c r="D34">
        <f>IF(Transactions!A34="",1,IF(COUNTIF(Transactions!$A$1:A33,Transactions!A34)&gt;0,1,0))</f>
        <v/>
      </c>
      <c r="E34">
        <f>IF(D34=1,0,IF(B34="RETURN",IF(COUNTIFS($A$1:A33,A34,$B$1:B33,"SALE",$E$1:E33,1)&gt;0,1,0),1))</f>
        <v/>
      </c>
      <c r="F34">
        <f>IF(E34=1,IF(B34="RECEIPT",Transactions!E34,IF(AND(B34="RETURN",LOWER(TRIM(Transactions!H34))="resellable"),Transactions!E34,0)),0)</f>
        <v/>
      </c>
      <c r="G34">
        <f>IF(F34&gt;0,IF(B34="RECEIPT",Transactions!F34,IF(_xlfn.MAXIFS($H$2:H34,$A$2:A34,A34)&gt;0,INDEX(Transactions!$F:$F,_xlfn.MAXIFS($H$2:H34,$A$2:A34,A34)),W34)),0)</f>
        <v/>
      </c>
      <c r="H34">
        <f>IF(AND(E34=1,B34="RECEIPT"),ROW(),0)</f>
        <v/>
      </c>
      <c r="I34">
        <f>IF(E34=1,IF(OR(B34="SALE",B34="WRITEOFF"),Transactions!E34,0),0)</f>
        <v/>
      </c>
      <c r="J34">
        <f>SUMIFS($F$1:F33,$A$1:A33,A34)</f>
        <v/>
      </c>
      <c r="K34">
        <f>SUMIFS($I$1:I33,$A$1:A33,A34)</f>
        <v/>
      </c>
      <c r="L34">
        <f>IFERROR(VLOOKUP(A34,Opening!$A:$C,3,0),0)</f>
        <v/>
      </c>
      <c r="M34">
        <f>IF(I34=0,0,MAX(0,MIN(INDEX(Month!H$2:H$13,MATCH($A34,Month!$A$2:$A$13,0))-K34,I34)))</f>
        <v/>
      </c>
      <c r="N34">
        <f>IF(I34=0,0,MAX(0,MIN(INDEX(Month!I$2:I$13,MATCH($A34,Month!$A$2:$A$13,0))-K34,I34)))</f>
        <v/>
      </c>
      <c r="O34">
        <f>IF(I34=0,0,MAX(0,MIN(INDEX(Month!J$2:J$13,MATCH($A34,Month!$A$2:$A$13,0))-K34,I34)))</f>
        <v/>
      </c>
      <c r="P34">
        <f>IF(I34=0,0,(MIN(MAX(K34,0),L34)*W34+SUMPRODUCT((Calc!$A$2:$A$1001=A34)*Calc!$G$2:$G$1001*(((K34-(L34+Calc!$J$2:$J$1001))&gt;0)*((K34-(L34+Calc!$J$2:$J$1001))&lt;Calc!$F$2:$F$1001)*(K34-(L34+Calc!$J$2:$J$1001))+((K34-(L34+Calc!$J$2:$J$1001))&gt;=Calc!$F$2:$F$1001)*Calc!$F$2:$F$1001))))</f>
        <v/>
      </c>
      <c r="Q34">
        <f>IF(I34=0,0,(MIN(MAX((K34+M34),0),L34)*W34+SUMPRODUCT((Calc!$A$2:$A$1001=A34)*Calc!$G$2:$G$1001*((((K34+M34)-(L34+Calc!$J$2:$J$1001))&gt;0)*(((K34+M34)-(L34+Calc!$J$2:$J$1001))&lt;Calc!$F$2:$F$1001)*((K34+M34)-(L34+Calc!$J$2:$J$1001))+(((K34+M34)-(L34+Calc!$J$2:$J$1001))&gt;=Calc!$F$2:$F$1001)*Calc!$F$2:$F$1001))))</f>
        <v/>
      </c>
      <c r="R34">
        <f>IF(I34=0,0,(MIN(MAX((K34+N34),0),L34)*W34+SUMPRODUCT((Calc!$A$2:$A$1001=A34)*Calc!$G$2:$G$1001*((((K34+N34)-(L34+Calc!$J$2:$J$1001))&gt;0)*(((K34+N34)-(L34+Calc!$J$2:$J$1001))&lt;Calc!$F$2:$F$1001)*((K34+N34)-(L34+Calc!$J$2:$J$1001))+(((K34+N34)-(L34+Calc!$J$2:$J$1001))&gt;=Calc!$F$2:$F$1001)*Calc!$F$2:$F$1001))))</f>
        <v/>
      </c>
      <c r="S34">
        <f>IF(I34=0,0,(MIN(MAX((K34+O34),0),L34)*W34+SUMPRODUCT((Calc!$A$2:$A$1001=A34)*Calc!$G$2:$G$1001*((((K34+O34)-(L34+Calc!$J$2:$J$1001))&gt;0)*(((K34+O34)-(L34+Calc!$J$2:$J$1001))&lt;Calc!$F$2:$F$1001)*((K34+O34)-(L34+Calc!$J$2:$J$1001))+(((K34+O34)-(L34+Calc!$J$2:$J$1001))&gt;=Calc!$F$2:$F$1001)*Calc!$F$2:$F$1001))))</f>
        <v/>
      </c>
      <c r="T34">
        <f>IF(AND(E34=1,B34="RETURN"),Transactions!E34*Transactions!G34,0)</f>
        <v/>
      </c>
      <c r="U34">
        <f>IF(AND(E34=1,B34="EXPENSE"),Transactions!J34,0)</f>
        <v/>
      </c>
      <c r="V34">
        <f>IF(AND(Transactions!A34&lt;&gt;"",E34=0),ROW(),"")</f>
        <v/>
      </c>
      <c r="W34">
        <f>IFERROR(VLOOKUP(A34,Opening!$A:$D,4,0),0)</f>
        <v/>
      </c>
    </row>
    <row r="35">
      <c r="A35">
        <f>IF(Transactions!D35="","",UPPER(TRIM(Transactions!D35)))</f>
        <v/>
      </c>
      <c r="B35">
        <f>IF(Transactions!C35="","",UPPER(TRIM(Transactions!C35)))</f>
        <v/>
      </c>
      <c r="C35">
        <f>IF(Transactions!B35="",0,YEAR(Transactions!B35)*100+MONTH(Transactions!B35))</f>
        <v/>
      </c>
      <c r="D35">
        <f>IF(Transactions!A35="",1,IF(COUNTIF(Transactions!$A$1:A34,Transactions!A35)&gt;0,1,0))</f>
        <v/>
      </c>
      <c r="E35">
        <f>IF(D35=1,0,IF(B35="RETURN",IF(COUNTIFS($A$1:A34,A35,$B$1:B34,"SALE",$E$1:E34,1)&gt;0,1,0),1))</f>
        <v/>
      </c>
      <c r="F35">
        <f>IF(E35=1,IF(B35="RECEIPT",Transactions!E35,IF(AND(B35="RETURN",LOWER(TRIM(Transactions!H35))="resellable"),Transactions!E35,0)),0)</f>
        <v/>
      </c>
      <c r="G35">
        <f>IF(F35&gt;0,IF(B35="RECEIPT",Transactions!F35,IF(_xlfn.MAXIFS($H$2:H35,$A$2:A35,A35)&gt;0,INDEX(Transactions!$F:$F,_xlfn.MAXIFS($H$2:H35,$A$2:A35,A35)),W35)),0)</f>
        <v/>
      </c>
      <c r="H35">
        <f>IF(AND(E35=1,B35="RECEIPT"),ROW(),0)</f>
        <v/>
      </c>
      <c r="I35">
        <f>IF(E35=1,IF(OR(B35="SALE",B35="WRITEOFF"),Transactions!E35,0),0)</f>
        <v/>
      </c>
      <c r="J35">
        <f>SUMIFS($F$1:F34,$A$1:A34,A35)</f>
        <v/>
      </c>
      <c r="K35">
        <f>SUMIFS($I$1:I34,$A$1:A34,A35)</f>
        <v/>
      </c>
      <c r="L35">
        <f>IFERROR(VLOOKUP(A35,Opening!$A:$C,3,0),0)</f>
        <v/>
      </c>
      <c r="M35">
        <f>IF(I35=0,0,MAX(0,MIN(INDEX(Month!H$2:H$13,MATCH($A35,Month!$A$2:$A$13,0))-K35,I35)))</f>
        <v/>
      </c>
      <c r="N35">
        <f>IF(I35=0,0,MAX(0,MIN(INDEX(Month!I$2:I$13,MATCH($A35,Month!$A$2:$A$13,0))-K35,I35)))</f>
        <v/>
      </c>
      <c r="O35">
        <f>IF(I35=0,0,MAX(0,MIN(INDEX(Month!J$2:J$13,MATCH($A35,Month!$A$2:$A$13,0))-K35,I35)))</f>
        <v/>
      </c>
      <c r="P35">
        <f>IF(I35=0,0,(MIN(MAX(K35,0),L35)*W35+SUMPRODUCT((Calc!$A$2:$A$1001=A35)*Calc!$G$2:$G$1001*(((K35-(L35+Calc!$J$2:$J$1001))&gt;0)*((K35-(L35+Calc!$J$2:$J$1001))&lt;Calc!$F$2:$F$1001)*(K35-(L35+Calc!$J$2:$J$1001))+((K35-(L35+Calc!$J$2:$J$1001))&gt;=Calc!$F$2:$F$1001)*Calc!$F$2:$F$1001))))</f>
        <v/>
      </c>
      <c r="Q35">
        <f>IF(I35=0,0,(MIN(MAX((K35+M35),0),L35)*W35+SUMPRODUCT((Calc!$A$2:$A$1001=A35)*Calc!$G$2:$G$1001*((((K35+M35)-(L35+Calc!$J$2:$J$1001))&gt;0)*(((K35+M35)-(L35+Calc!$J$2:$J$1001))&lt;Calc!$F$2:$F$1001)*((K35+M35)-(L35+Calc!$J$2:$J$1001))+(((K35+M35)-(L35+Calc!$J$2:$J$1001))&gt;=Calc!$F$2:$F$1001)*Calc!$F$2:$F$1001))))</f>
        <v/>
      </c>
      <c r="R35">
        <f>IF(I35=0,0,(MIN(MAX((K35+N35),0),L35)*W35+SUMPRODUCT((Calc!$A$2:$A$1001=A35)*Calc!$G$2:$G$1001*((((K35+N35)-(L35+Calc!$J$2:$J$1001))&gt;0)*(((K35+N35)-(L35+Calc!$J$2:$J$1001))&lt;Calc!$F$2:$F$1001)*((K35+N35)-(L35+Calc!$J$2:$J$1001))+(((K35+N35)-(L35+Calc!$J$2:$J$1001))&gt;=Calc!$F$2:$F$1001)*Calc!$F$2:$F$1001))))</f>
        <v/>
      </c>
      <c r="S35">
        <f>IF(I35=0,0,(MIN(MAX((K35+O35),0),L35)*W35+SUMPRODUCT((Calc!$A$2:$A$1001=A35)*Calc!$G$2:$G$1001*((((K35+O35)-(L35+Calc!$J$2:$J$1001))&gt;0)*(((K35+O35)-(L35+Calc!$J$2:$J$1001))&lt;Calc!$F$2:$F$1001)*((K35+O35)-(L35+Calc!$J$2:$J$1001))+(((K35+O35)-(L35+Calc!$J$2:$J$1001))&gt;=Calc!$F$2:$F$1001)*Calc!$F$2:$F$1001))))</f>
        <v/>
      </c>
      <c r="T35">
        <f>IF(AND(E35=1,B35="RETURN"),Transactions!E35*Transactions!G35,0)</f>
        <v/>
      </c>
      <c r="U35">
        <f>IF(AND(E35=1,B35="EXPENSE"),Transactions!J35,0)</f>
        <v/>
      </c>
      <c r="V35">
        <f>IF(AND(Transactions!A35&lt;&gt;"",E35=0),ROW(),"")</f>
        <v/>
      </c>
      <c r="W35">
        <f>IFERROR(VLOOKUP(A35,Opening!$A:$D,4,0),0)</f>
        <v/>
      </c>
    </row>
    <row r="36">
      <c r="A36">
        <f>IF(Transactions!D36="","",UPPER(TRIM(Transactions!D36)))</f>
        <v/>
      </c>
      <c r="B36">
        <f>IF(Transactions!C36="","",UPPER(TRIM(Transactions!C36)))</f>
        <v/>
      </c>
      <c r="C36">
        <f>IF(Transactions!B36="",0,YEAR(Transactions!B36)*100+MONTH(Transactions!B36))</f>
        <v/>
      </c>
      <c r="D36">
        <f>IF(Transactions!A36="",1,IF(COUNTIF(Transactions!$A$1:A35,Transactions!A36)&gt;0,1,0))</f>
        <v/>
      </c>
      <c r="E36">
        <f>IF(D36=1,0,IF(B36="RETURN",IF(COUNTIFS($A$1:A35,A36,$B$1:B35,"SALE",$E$1:E35,1)&gt;0,1,0),1))</f>
        <v/>
      </c>
      <c r="F36">
        <f>IF(E36=1,IF(B36="RECEIPT",Transactions!E36,IF(AND(B36="RETURN",LOWER(TRIM(Transactions!H36))="resellable"),Transactions!E36,0)),0)</f>
        <v/>
      </c>
      <c r="G36">
        <f>IF(F36&gt;0,IF(B36="RECEIPT",Transactions!F36,IF(_xlfn.MAXIFS($H$2:H36,$A$2:A36,A36)&gt;0,INDEX(Transactions!$F:$F,_xlfn.MAXIFS($H$2:H36,$A$2:A36,A36)),W36)),0)</f>
        <v/>
      </c>
      <c r="H36">
        <f>IF(AND(E36=1,B36="RECEIPT"),ROW(),0)</f>
        <v/>
      </c>
      <c r="I36">
        <f>IF(E36=1,IF(OR(B36="SALE",B36="WRITEOFF"),Transactions!E36,0),0)</f>
        <v/>
      </c>
      <c r="J36">
        <f>SUMIFS($F$1:F35,$A$1:A35,A36)</f>
        <v/>
      </c>
      <c r="K36">
        <f>SUMIFS($I$1:I35,$A$1:A35,A36)</f>
        <v/>
      </c>
      <c r="L36">
        <f>IFERROR(VLOOKUP(A36,Opening!$A:$C,3,0),0)</f>
        <v/>
      </c>
      <c r="M36">
        <f>IF(I36=0,0,MAX(0,MIN(INDEX(Month!H$2:H$13,MATCH($A36,Month!$A$2:$A$13,0))-K36,I36)))</f>
        <v/>
      </c>
      <c r="N36">
        <f>IF(I36=0,0,MAX(0,MIN(INDEX(Month!I$2:I$13,MATCH($A36,Month!$A$2:$A$13,0))-K36,I36)))</f>
        <v/>
      </c>
      <c r="O36">
        <f>IF(I36=0,0,MAX(0,MIN(INDEX(Month!J$2:J$13,MATCH($A36,Month!$A$2:$A$13,0))-K36,I36)))</f>
        <v/>
      </c>
      <c r="P36">
        <f>IF(I36=0,0,(MIN(MAX(K36,0),L36)*W36+SUMPRODUCT((Calc!$A$2:$A$1001=A36)*Calc!$G$2:$G$1001*(((K36-(L36+Calc!$J$2:$J$1001))&gt;0)*((K36-(L36+Calc!$J$2:$J$1001))&lt;Calc!$F$2:$F$1001)*(K36-(L36+Calc!$J$2:$J$1001))+((K36-(L36+Calc!$J$2:$J$1001))&gt;=Calc!$F$2:$F$1001)*Calc!$F$2:$F$1001))))</f>
        <v/>
      </c>
      <c r="Q36">
        <f>IF(I36=0,0,(MIN(MAX((K36+M36),0),L36)*W36+SUMPRODUCT((Calc!$A$2:$A$1001=A36)*Calc!$G$2:$G$1001*((((K36+M36)-(L36+Calc!$J$2:$J$1001))&gt;0)*(((K36+M36)-(L36+Calc!$J$2:$J$1001))&lt;Calc!$F$2:$F$1001)*((K36+M36)-(L36+Calc!$J$2:$J$1001))+(((K36+M36)-(L36+Calc!$J$2:$J$1001))&gt;=Calc!$F$2:$F$1001)*Calc!$F$2:$F$1001))))</f>
        <v/>
      </c>
      <c r="R36">
        <f>IF(I36=0,0,(MIN(MAX((K36+N36),0),L36)*W36+SUMPRODUCT((Calc!$A$2:$A$1001=A36)*Calc!$G$2:$G$1001*((((K36+N36)-(L36+Calc!$J$2:$J$1001))&gt;0)*(((K36+N36)-(L36+Calc!$J$2:$J$1001))&lt;Calc!$F$2:$F$1001)*((K36+N36)-(L36+Calc!$J$2:$J$1001))+(((K36+N36)-(L36+Calc!$J$2:$J$1001))&gt;=Calc!$F$2:$F$1001)*Calc!$F$2:$F$1001))))</f>
        <v/>
      </c>
      <c r="S36">
        <f>IF(I36=0,0,(MIN(MAX((K36+O36),0),L36)*W36+SUMPRODUCT((Calc!$A$2:$A$1001=A36)*Calc!$G$2:$G$1001*((((K36+O36)-(L36+Calc!$J$2:$J$1001))&gt;0)*(((K36+O36)-(L36+Calc!$J$2:$J$1001))&lt;Calc!$F$2:$F$1001)*((K36+O36)-(L36+Calc!$J$2:$J$1001))+(((K36+O36)-(L36+Calc!$J$2:$J$1001))&gt;=Calc!$F$2:$F$1001)*Calc!$F$2:$F$1001))))</f>
        <v/>
      </c>
      <c r="T36">
        <f>IF(AND(E36=1,B36="RETURN"),Transactions!E36*Transactions!G36,0)</f>
        <v/>
      </c>
      <c r="U36">
        <f>IF(AND(E36=1,B36="EXPENSE"),Transactions!J36,0)</f>
        <v/>
      </c>
      <c r="V36">
        <f>IF(AND(Transactions!A36&lt;&gt;"",E36=0),ROW(),"")</f>
        <v/>
      </c>
      <c r="W36">
        <f>IFERROR(VLOOKUP(A36,Opening!$A:$D,4,0),0)</f>
        <v/>
      </c>
    </row>
    <row r="37">
      <c r="A37">
        <f>IF(Transactions!D37="","",UPPER(TRIM(Transactions!D37)))</f>
        <v/>
      </c>
      <c r="B37">
        <f>IF(Transactions!C37="","",UPPER(TRIM(Transactions!C37)))</f>
        <v/>
      </c>
      <c r="C37">
        <f>IF(Transactions!B37="",0,YEAR(Transactions!B37)*100+MONTH(Transactions!B37))</f>
        <v/>
      </c>
      <c r="D37">
        <f>IF(Transactions!A37="",1,IF(COUNTIF(Transactions!$A$1:A36,Transactions!A37)&gt;0,1,0))</f>
        <v/>
      </c>
      <c r="E37">
        <f>IF(D37=1,0,IF(B37="RETURN",IF(COUNTIFS($A$1:A36,A37,$B$1:B36,"SALE",$E$1:E36,1)&gt;0,1,0),1))</f>
        <v/>
      </c>
      <c r="F37">
        <f>IF(E37=1,IF(B37="RECEIPT",Transactions!E37,IF(AND(B37="RETURN",LOWER(TRIM(Transactions!H37))="resellable"),Transactions!E37,0)),0)</f>
        <v/>
      </c>
      <c r="G37">
        <f>IF(F37&gt;0,IF(B37="RECEIPT",Transactions!F37,IF(_xlfn.MAXIFS($H$2:H37,$A$2:A37,A37)&gt;0,INDEX(Transactions!$F:$F,_xlfn.MAXIFS($H$2:H37,$A$2:A37,A37)),W37)),0)</f>
        <v/>
      </c>
      <c r="H37">
        <f>IF(AND(E37=1,B37="RECEIPT"),ROW(),0)</f>
        <v/>
      </c>
      <c r="I37">
        <f>IF(E37=1,IF(OR(B37="SALE",B37="WRITEOFF"),Transactions!E37,0),0)</f>
        <v/>
      </c>
      <c r="J37">
        <f>SUMIFS($F$1:F36,$A$1:A36,A37)</f>
        <v/>
      </c>
      <c r="K37">
        <f>SUMIFS($I$1:I36,$A$1:A36,A37)</f>
        <v/>
      </c>
      <c r="L37">
        <f>IFERROR(VLOOKUP(A37,Opening!$A:$C,3,0),0)</f>
        <v/>
      </c>
      <c r="M37">
        <f>IF(I37=0,0,MAX(0,MIN(INDEX(Month!H$2:H$13,MATCH($A37,Month!$A$2:$A$13,0))-K37,I37)))</f>
        <v/>
      </c>
      <c r="N37">
        <f>IF(I37=0,0,MAX(0,MIN(INDEX(Month!I$2:I$13,MATCH($A37,Month!$A$2:$A$13,0))-K37,I37)))</f>
        <v/>
      </c>
      <c r="O37">
        <f>IF(I37=0,0,MAX(0,MIN(INDEX(Month!J$2:J$13,MATCH($A37,Month!$A$2:$A$13,0))-K37,I37)))</f>
        <v/>
      </c>
      <c r="P37">
        <f>IF(I37=0,0,(MIN(MAX(K37,0),L37)*W37+SUMPRODUCT((Calc!$A$2:$A$1001=A37)*Calc!$G$2:$G$1001*(((K37-(L37+Calc!$J$2:$J$1001))&gt;0)*((K37-(L37+Calc!$J$2:$J$1001))&lt;Calc!$F$2:$F$1001)*(K37-(L37+Calc!$J$2:$J$1001))+((K37-(L37+Calc!$J$2:$J$1001))&gt;=Calc!$F$2:$F$1001)*Calc!$F$2:$F$1001))))</f>
        <v/>
      </c>
      <c r="Q37">
        <f>IF(I37=0,0,(MIN(MAX((K37+M37),0),L37)*W37+SUMPRODUCT((Calc!$A$2:$A$1001=A37)*Calc!$G$2:$G$1001*((((K37+M37)-(L37+Calc!$J$2:$J$1001))&gt;0)*(((K37+M37)-(L37+Calc!$J$2:$J$1001))&lt;Calc!$F$2:$F$1001)*((K37+M37)-(L37+Calc!$J$2:$J$1001))+(((K37+M37)-(L37+Calc!$J$2:$J$1001))&gt;=Calc!$F$2:$F$1001)*Calc!$F$2:$F$1001))))</f>
        <v/>
      </c>
      <c r="R37">
        <f>IF(I37=0,0,(MIN(MAX((K37+N37),0),L37)*W37+SUMPRODUCT((Calc!$A$2:$A$1001=A37)*Calc!$G$2:$G$1001*((((K37+N37)-(L37+Calc!$J$2:$J$1001))&gt;0)*(((K37+N37)-(L37+Calc!$J$2:$J$1001))&lt;Calc!$F$2:$F$1001)*((K37+N37)-(L37+Calc!$J$2:$J$1001))+(((K37+N37)-(L37+Calc!$J$2:$J$1001))&gt;=Calc!$F$2:$F$1001)*Calc!$F$2:$F$1001))))</f>
        <v/>
      </c>
      <c r="S37">
        <f>IF(I37=0,0,(MIN(MAX((K37+O37),0),L37)*W37+SUMPRODUCT((Calc!$A$2:$A$1001=A37)*Calc!$G$2:$G$1001*((((K37+O37)-(L37+Calc!$J$2:$J$1001))&gt;0)*(((K37+O37)-(L37+Calc!$J$2:$J$1001))&lt;Calc!$F$2:$F$1001)*((K37+O37)-(L37+Calc!$J$2:$J$1001))+(((K37+O37)-(L37+Calc!$J$2:$J$1001))&gt;=Calc!$F$2:$F$1001)*Calc!$F$2:$F$1001))))</f>
        <v/>
      </c>
      <c r="T37">
        <f>IF(AND(E37=1,B37="RETURN"),Transactions!E37*Transactions!G37,0)</f>
        <v/>
      </c>
      <c r="U37">
        <f>IF(AND(E37=1,B37="EXPENSE"),Transactions!J37,0)</f>
        <v/>
      </c>
      <c r="V37">
        <f>IF(AND(Transactions!A37&lt;&gt;"",E37=0),ROW(),"")</f>
        <v/>
      </c>
      <c r="W37">
        <f>IFERROR(VLOOKUP(A37,Opening!$A:$D,4,0),0)</f>
        <v/>
      </c>
    </row>
    <row r="38">
      <c r="A38">
        <f>IF(Transactions!D38="","",UPPER(TRIM(Transactions!D38)))</f>
        <v/>
      </c>
      <c r="B38">
        <f>IF(Transactions!C38="","",UPPER(TRIM(Transactions!C38)))</f>
        <v/>
      </c>
      <c r="C38">
        <f>IF(Transactions!B38="",0,YEAR(Transactions!B38)*100+MONTH(Transactions!B38))</f>
        <v/>
      </c>
      <c r="D38">
        <f>IF(Transactions!A38="",1,IF(COUNTIF(Transactions!$A$1:A37,Transactions!A38)&gt;0,1,0))</f>
        <v/>
      </c>
      <c r="E38">
        <f>IF(D38=1,0,IF(B38="RETURN",IF(COUNTIFS($A$1:A37,A38,$B$1:B37,"SALE",$E$1:E37,1)&gt;0,1,0),1))</f>
        <v/>
      </c>
      <c r="F38">
        <f>IF(E38=1,IF(B38="RECEIPT",Transactions!E38,IF(AND(B38="RETURN",LOWER(TRIM(Transactions!H38))="resellable"),Transactions!E38,0)),0)</f>
        <v/>
      </c>
      <c r="G38">
        <f>IF(F38&gt;0,IF(B38="RECEIPT",Transactions!F38,IF(_xlfn.MAXIFS($H$2:H38,$A$2:A38,A38)&gt;0,INDEX(Transactions!$F:$F,_xlfn.MAXIFS($H$2:H38,$A$2:A38,A38)),W38)),0)</f>
        <v/>
      </c>
      <c r="H38">
        <f>IF(AND(E38=1,B38="RECEIPT"),ROW(),0)</f>
        <v/>
      </c>
      <c r="I38">
        <f>IF(E38=1,IF(OR(B38="SALE",B38="WRITEOFF"),Transactions!E38,0),0)</f>
        <v/>
      </c>
      <c r="J38">
        <f>SUMIFS($F$1:F37,$A$1:A37,A38)</f>
        <v/>
      </c>
      <c r="K38">
        <f>SUMIFS($I$1:I37,$A$1:A37,A38)</f>
        <v/>
      </c>
      <c r="L38">
        <f>IFERROR(VLOOKUP(A38,Opening!$A:$C,3,0),0)</f>
        <v/>
      </c>
      <c r="M38">
        <f>IF(I38=0,0,MAX(0,MIN(INDEX(Month!H$2:H$13,MATCH($A38,Month!$A$2:$A$13,0))-K38,I38)))</f>
        <v/>
      </c>
      <c r="N38">
        <f>IF(I38=0,0,MAX(0,MIN(INDEX(Month!I$2:I$13,MATCH($A38,Month!$A$2:$A$13,0))-K38,I38)))</f>
        <v/>
      </c>
      <c r="O38">
        <f>IF(I38=0,0,MAX(0,MIN(INDEX(Month!J$2:J$13,MATCH($A38,Month!$A$2:$A$13,0))-K38,I38)))</f>
        <v/>
      </c>
      <c r="P38">
        <f>IF(I38=0,0,(MIN(MAX(K38,0),L38)*W38+SUMPRODUCT((Calc!$A$2:$A$1001=A38)*Calc!$G$2:$G$1001*(((K38-(L38+Calc!$J$2:$J$1001))&gt;0)*((K38-(L38+Calc!$J$2:$J$1001))&lt;Calc!$F$2:$F$1001)*(K38-(L38+Calc!$J$2:$J$1001))+((K38-(L38+Calc!$J$2:$J$1001))&gt;=Calc!$F$2:$F$1001)*Calc!$F$2:$F$1001))))</f>
        <v/>
      </c>
      <c r="Q38">
        <f>IF(I38=0,0,(MIN(MAX((K38+M38),0),L38)*W38+SUMPRODUCT((Calc!$A$2:$A$1001=A38)*Calc!$G$2:$G$1001*((((K38+M38)-(L38+Calc!$J$2:$J$1001))&gt;0)*(((K38+M38)-(L38+Calc!$J$2:$J$1001))&lt;Calc!$F$2:$F$1001)*((K38+M38)-(L38+Calc!$J$2:$J$1001))+(((K38+M38)-(L38+Calc!$J$2:$J$1001))&gt;=Calc!$F$2:$F$1001)*Calc!$F$2:$F$1001))))</f>
        <v/>
      </c>
      <c r="R38">
        <f>IF(I38=0,0,(MIN(MAX((K38+N38),0),L38)*W38+SUMPRODUCT((Calc!$A$2:$A$1001=A38)*Calc!$G$2:$G$1001*((((K38+N38)-(L38+Calc!$J$2:$J$1001))&gt;0)*(((K38+N38)-(L38+Calc!$J$2:$J$1001))&lt;Calc!$F$2:$F$1001)*((K38+N38)-(L38+Calc!$J$2:$J$1001))+(((K38+N38)-(L38+Calc!$J$2:$J$1001))&gt;=Calc!$F$2:$F$1001)*Calc!$F$2:$F$1001))))</f>
        <v/>
      </c>
      <c r="S38">
        <f>IF(I38=0,0,(MIN(MAX((K38+O38),0),L38)*W38+SUMPRODUCT((Calc!$A$2:$A$1001=A38)*Calc!$G$2:$G$1001*((((K38+O38)-(L38+Calc!$J$2:$J$1001))&gt;0)*(((K38+O38)-(L38+Calc!$J$2:$J$1001))&lt;Calc!$F$2:$F$1001)*((K38+O38)-(L38+Calc!$J$2:$J$1001))+(((K38+O38)-(L38+Calc!$J$2:$J$1001))&gt;=Calc!$F$2:$F$1001)*Calc!$F$2:$F$1001))))</f>
        <v/>
      </c>
      <c r="T38">
        <f>IF(AND(E38=1,B38="RETURN"),Transactions!E38*Transactions!G38,0)</f>
        <v/>
      </c>
      <c r="U38">
        <f>IF(AND(E38=1,B38="EXPENSE"),Transactions!J38,0)</f>
        <v/>
      </c>
      <c r="V38">
        <f>IF(AND(Transactions!A38&lt;&gt;"",E38=0),ROW(),"")</f>
        <v/>
      </c>
      <c r="W38">
        <f>IFERROR(VLOOKUP(A38,Opening!$A:$D,4,0),0)</f>
        <v/>
      </c>
    </row>
    <row r="39">
      <c r="A39">
        <f>IF(Transactions!D39="","",UPPER(TRIM(Transactions!D39)))</f>
        <v/>
      </c>
      <c r="B39">
        <f>IF(Transactions!C39="","",UPPER(TRIM(Transactions!C39)))</f>
        <v/>
      </c>
      <c r="C39">
        <f>IF(Transactions!B39="",0,YEAR(Transactions!B39)*100+MONTH(Transactions!B39))</f>
        <v/>
      </c>
      <c r="D39">
        <f>IF(Transactions!A39="",1,IF(COUNTIF(Transactions!$A$1:A38,Transactions!A39)&gt;0,1,0))</f>
        <v/>
      </c>
      <c r="E39">
        <f>IF(D39=1,0,IF(B39="RETURN",IF(COUNTIFS($A$1:A38,A39,$B$1:B38,"SALE",$E$1:E38,1)&gt;0,1,0),1))</f>
        <v/>
      </c>
      <c r="F39">
        <f>IF(E39=1,IF(B39="RECEIPT",Transactions!E39,IF(AND(B39="RETURN",LOWER(TRIM(Transactions!H39))="resellable"),Transactions!E39,0)),0)</f>
        <v/>
      </c>
      <c r="G39">
        <f>IF(F39&gt;0,IF(B39="RECEIPT",Transactions!F39,IF(_xlfn.MAXIFS($H$2:H39,$A$2:A39,A39)&gt;0,INDEX(Transactions!$F:$F,_xlfn.MAXIFS($H$2:H39,$A$2:A39,A39)),W39)),0)</f>
        <v/>
      </c>
      <c r="H39">
        <f>IF(AND(E39=1,B39="RECEIPT"),ROW(),0)</f>
        <v/>
      </c>
      <c r="I39">
        <f>IF(E39=1,IF(OR(B39="SALE",B39="WRITEOFF"),Transactions!E39,0),0)</f>
        <v/>
      </c>
      <c r="J39">
        <f>SUMIFS($F$1:F38,$A$1:A38,A39)</f>
        <v/>
      </c>
      <c r="K39">
        <f>SUMIFS($I$1:I38,$A$1:A38,A39)</f>
        <v/>
      </c>
      <c r="L39">
        <f>IFERROR(VLOOKUP(A39,Opening!$A:$C,3,0),0)</f>
        <v/>
      </c>
      <c r="M39">
        <f>IF(I39=0,0,MAX(0,MIN(INDEX(Month!H$2:H$13,MATCH($A39,Month!$A$2:$A$13,0))-K39,I39)))</f>
        <v/>
      </c>
      <c r="N39">
        <f>IF(I39=0,0,MAX(0,MIN(INDEX(Month!I$2:I$13,MATCH($A39,Month!$A$2:$A$13,0))-K39,I39)))</f>
        <v/>
      </c>
      <c r="O39">
        <f>IF(I39=0,0,MAX(0,MIN(INDEX(Month!J$2:J$13,MATCH($A39,Month!$A$2:$A$13,0))-K39,I39)))</f>
        <v/>
      </c>
      <c r="P39">
        <f>IF(I39=0,0,(MIN(MAX(K39,0),L39)*W39+SUMPRODUCT((Calc!$A$2:$A$1001=A39)*Calc!$G$2:$G$1001*(((K39-(L39+Calc!$J$2:$J$1001))&gt;0)*((K39-(L39+Calc!$J$2:$J$1001))&lt;Calc!$F$2:$F$1001)*(K39-(L39+Calc!$J$2:$J$1001))+((K39-(L39+Calc!$J$2:$J$1001))&gt;=Calc!$F$2:$F$1001)*Calc!$F$2:$F$1001))))</f>
        <v/>
      </c>
      <c r="Q39">
        <f>IF(I39=0,0,(MIN(MAX((K39+M39),0),L39)*W39+SUMPRODUCT((Calc!$A$2:$A$1001=A39)*Calc!$G$2:$G$1001*((((K39+M39)-(L39+Calc!$J$2:$J$1001))&gt;0)*(((K39+M39)-(L39+Calc!$J$2:$J$1001))&lt;Calc!$F$2:$F$1001)*((K39+M39)-(L39+Calc!$J$2:$J$1001))+(((K39+M39)-(L39+Calc!$J$2:$J$1001))&gt;=Calc!$F$2:$F$1001)*Calc!$F$2:$F$1001))))</f>
        <v/>
      </c>
      <c r="R39">
        <f>IF(I39=0,0,(MIN(MAX((K39+N39),0),L39)*W39+SUMPRODUCT((Calc!$A$2:$A$1001=A39)*Calc!$G$2:$G$1001*((((K39+N39)-(L39+Calc!$J$2:$J$1001))&gt;0)*(((K39+N39)-(L39+Calc!$J$2:$J$1001))&lt;Calc!$F$2:$F$1001)*((K39+N39)-(L39+Calc!$J$2:$J$1001))+(((K39+N39)-(L39+Calc!$J$2:$J$1001))&gt;=Calc!$F$2:$F$1001)*Calc!$F$2:$F$1001))))</f>
        <v/>
      </c>
      <c r="S39">
        <f>IF(I39=0,0,(MIN(MAX((K39+O39),0),L39)*W39+SUMPRODUCT((Calc!$A$2:$A$1001=A39)*Calc!$G$2:$G$1001*((((K39+O39)-(L39+Calc!$J$2:$J$1001))&gt;0)*(((K39+O39)-(L39+Calc!$J$2:$J$1001))&lt;Calc!$F$2:$F$1001)*((K39+O39)-(L39+Calc!$J$2:$J$1001))+(((K39+O39)-(L39+Calc!$J$2:$J$1001))&gt;=Calc!$F$2:$F$1001)*Calc!$F$2:$F$1001))))</f>
        <v/>
      </c>
      <c r="T39">
        <f>IF(AND(E39=1,B39="RETURN"),Transactions!E39*Transactions!G39,0)</f>
        <v/>
      </c>
      <c r="U39">
        <f>IF(AND(E39=1,B39="EXPENSE"),Transactions!J39,0)</f>
        <v/>
      </c>
      <c r="V39">
        <f>IF(AND(Transactions!A39&lt;&gt;"",E39=0),ROW(),"")</f>
        <v/>
      </c>
      <c r="W39">
        <f>IFERROR(VLOOKUP(A39,Opening!$A:$D,4,0),0)</f>
        <v/>
      </c>
    </row>
    <row r="40">
      <c r="A40">
        <f>IF(Transactions!D40="","",UPPER(TRIM(Transactions!D40)))</f>
        <v/>
      </c>
      <c r="B40">
        <f>IF(Transactions!C40="","",UPPER(TRIM(Transactions!C40)))</f>
        <v/>
      </c>
      <c r="C40">
        <f>IF(Transactions!B40="",0,YEAR(Transactions!B40)*100+MONTH(Transactions!B40))</f>
        <v/>
      </c>
      <c r="D40">
        <f>IF(Transactions!A40="",1,IF(COUNTIF(Transactions!$A$1:A39,Transactions!A40)&gt;0,1,0))</f>
        <v/>
      </c>
      <c r="E40">
        <f>IF(D40=1,0,IF(B40="RETURN",IF(COUNTIFS($A$1:A39,A40,$B$1:B39,"SALE",$E$1:E39,1)&gt;0,1,0),1))</f>
        <v/>
      </c>
      <c r="F40">
        <f>IF(E40=1,IF(B40="RECEIPT",Transactions!E40,IF(AND(B40="RETURN",LOWER(TRIM(Transactions!H40))="resellable"),Transactions!E40,0)),0)</f>
        <v/>
      </c>
      <c r="G40">
        <f>IF(F40&gt;0,IF(B40="RECEIPT",Transactions!F40,IF(_xlfn.MAXIFS($H$2:H40,$A$2:A40,A40)&gt;0,INDEX(Transactions!$F:$F,_xlfn.MAXIFS($H$2:H40,$A$2:A40,A40)),W40)),0)</f>
        <v/>
      </c>
      <c r="H40">
        <f>IF(AND(E40=1,B40="RECEIPT"),ROW(),0)</f>
        <v/>
      </c>
      <c r="I40">
        <f>IF(E40=1,IF(OR(B40="SALE",B40="WRITEOFF"),Transactions!E40,0),0)</f>
        <v/>
      </c>
      <c r="J40">
        <f>SUMIFS($F$1:F39,$A$1:A39,A40)</f>
        <v/>
      </c>
      <c r="K40">
        <f>SUMIFS($I$1:I39,$A$1:A39,A40)</f>
        <v/>
      </c>
      <c r="L40">
        <f>IFERROR(VLOOKUP(A40,Opening!$A:$C,3,0),0)</f>
        <v/>
      </c>
      <c r="M40">
        <f>IF(I40=0,0,MAX(0,MIN(INDEX(Month!H$2:H$13,MATCH($A40,Month!$A$2:$A$13,0))-K40,I40)))</f>
        <v/>
      </c>
      <c r="N40">
        <f>IF(I40=0,0,MAX(0,MIN(INDEX(Month!I$2:I$13,MATCH($A40,Month!$A$2:$A$13,0))-K40,I40)))</f>
        <v/>
      </c>
      <c r="O40">
        <f>IF(I40=0,0,MAX(0,MIN(INDEX(Month!J$2:J$13,MATCH($A40,Month!$A$2:$A$13,0))-K40,I40)))</f>
        <v/>
      </c>
      <c r="P40">
        <f>IF(I40=0,0,(MIN(MAX(K40,0),L40)*W40+SUMPRODUCT((Calc!$A$2:$A$1001=A40)*Calc!$G$2:$G$1001*(((K40-(L40+Calc!$J$2:$J$1001))&gt;0)*((K40-(L40+Calc!$J$2:$J$1001))&lt;Calc!$F$2:$F$1001)*(K40-(L40+Calc!$J$2:$J$1001))+((K40-(L40+Calc!$J$2:$J$1001))&gt;=Calc!$F$2:$F$1001)*Calc!$F$2:$F$1001))))</f>
        <v/>
      </c>
      <c r="Q40">
        <f>IF(I40=0,0,(MIN(MAX((K40+M40),0),L40)*W40+SUMPRODUCT((Calc!$A$2:$A$1001=A40)*Calc!$G$2:$G$1001*((((K40+M40)-(L40+Calc!$J$2:$J$1001))&gt;0)*(((K40+M40)-(L40+Calc!$J$2:$J$1001))&lt;Calc!$F$2:$F$1001)*((K40+M40)-(L40+Calc!$J$2:$J$1001))+(((K40+M40)-(L40+Calc!$J$2:$J$1001))&gt;=Calc!$F$2:$F$1001)*Calc!$F$2:$F$1001))))</f>
        <v/>
      </c>
      <c r="R40">
        <f>IF(I40=0,0,(MIN(MAX((K40+N40),0),L40)*W40+SUMPRODUCT((Calc!$A$2:$A$1001=A40)*Calc!$G$2:$G$1001*((((K40+N40)-(L40+Calc!$J$2:$J$1001))&gt;0)*(((K40+N40)-(L40+Calc!$J$2:$J$1001))&lt;Calc!$F$2:$F$1001)*((K40+N40)-(L40+Calc!$J$2:$J$1001))+(((K40+N40)-(L40+Calc!$J$2:$J$1001))&gt;=Calc!$F$2:$F$1001)*Calc!$F$2:$F$1001))))</f>
        <v/>
      </c>
      <c r="S40">
        <f>IF(I40=0,0,(MIN(MAX((K40+O40),0),L40)*W40+SUMPRODUCT((Calc!$A$2:$A$1001=A40)*Calc!$G$2:$G$1001*((((K40+O40)-(L40+Calc!$J$2:$J$1001))&gt;0)*(((K40+O40)-(L40+Calc!$J$2:$J$1001))&lt;Calc!$F$2:$F$1001)*((K40+O40)-(L40+Calc!$J$2:$J$1001))+(((K40+O40)-(L40+Calc!$J$2:$J$1001))&gt;=Calc!$F$2:$F$1001)*Calc!$F$2:$F$1001))))</f>
        <v/>
      </c>
      <c r="T40">
        <f>IF(AND(E40=1,B40="RETURN"),Transactions!E40*Transactions!G40,0)</f>
        <v/>
      </c>
      <c r="U40">
        <f>IF(AND(E40=1,B40="EXPENSE"),Transactions!J40,0)</f>
        <v/>
      </c>
      <c r="V40">
        <f>IF(AND(Transactions!A40&lt;&gt;"",E40=0),ROW(),"")</f>
        <v/>
      </c>
      <c r="W40">
        <f>IFERROR(VLOOKUP(A40,Opening!$A:$D,4,0),0)</f>
        <v/>
      </c>
    </row>
    <row r="41">
      <c r="A41">
        <f>IF(Transactions!D41="","",UPPER(TRIM(Transactions!D41)))</f>
        <v/>
      </c>
      <c r="B41">
        <f>IF(Transactions!C41="","",UPPER(TRIM(Transactions!C41)))</f>
        <v/>
      </c>
      <c r="C41">
        <f>IF(Transactions!B41="",0,YEAR(Transactions!B41)*100+MONTH(Transactions!B41))</f>
        <v/>
      </c>
      <c r="D41">
        <f>IF(Transactions!A41="",1,IF(COUNTIF(Transactions!$A$1:A40,Transactions!A41)&gt;0,1,0))</f>
        <v/>
      </c>
      <c r="E41">
        <f>IF(D41=1,0,IF(B41="RETURN",IF(COUNTIFS($A$1:A40,A41,$B$1:B40,"SALE",$E$1:E40,1)&gt;0,1,0),1))</f>
        <v/>
      </c>
      <c r="F41">
        <f>IF(E41=1,IF(B41="RECEIPT",Transactions!E41,IF(AND(B41="RETURN",LOWER(TRIM(Transactions!H41))="resellable"),Transactions!E41,0)),0)</f>
        <v/>
      </c>
      <c r="G41">
        <f>IF(F41&gt;0,IF(B41="RECEIPT",Transactions!F41,IF(_xlfn.MAXIFS($H$2:H41,$A$2:A41,A41)&gt;0,INDEX(Transactions!$F:$F,_xlfn.MAXIFS($H$2:H41,$A$2:A41,A41)),W41)),0)</f>
        <v/>
      </c>
      <c r="H41">
        <f>IF(AND(E41=1,B41="RECEIPT"),ROW(),0)</f>
        <v/>
      </c>
      <c r="I41">
        <f>IF(E41=1,IF(OR(B41="SALE",B41="WRITEOFF"),Transactions!E41,0),0)</f>
        <v/>
      </c>
      <c r="J41">
        <f>SUMIFS($F$1:F40,$A$1:A40,A41)</f>
        <v/>
      </c>
      <c r="K41">
        <f>SUMIFS($I$1:I40,$A$1:A40,A41)</f>
        <v/>
      </c>
      <c r="L41">
        <f>IFERROR(VLOOKUP(A41,Opening!$A:$C,3,0),0)</f>
        <v/>
      </c>
      <c r="M41">
        <f>IF(I41=0,0,MAX(0,MIN(INDEX(Month!H$2:H$13,MATCH($A41,Month!$A$2:$A$13,0))-K41,I41)))</f>
        <v/>
      </c>
      <c r="N41">
        <f>IF(I41=0,0,MAX(0,MIN(INDEX(Month!I$2:I$13,MATCH($A41,Month!$A$2:$A$13,0))-K41,I41)))</f>
        <v/>
      </c>
      <c r="O41">
        <f>IF(I41=0,0,MAX(0,MIN(INDEX(Month!J$2:J$13,MATCH($A41,Month!$A$2:$A$13,0))-K41,I41)))</f>
        <v/>
      </c>
      <c r="P41">
        <f>IF(I41=0,0,(MIN(MAX(K41,0),L41)*W41+SUMPRODUCT((Calc!$A$2:$A$1001=A41)*Calc!$G$2:$G$1001*(((K41-(L41+Calc!$J$2:$J$1001))&gt;0)*((K41-(L41+Calc!$J$2:$J$1001))&lt;Calc!$F$2:$F$1001)*(K41-(L41+Calc!$J$2:$J$1001))+((K41-(L41+Calc!$J$2:$J$1001))&gt;=Calc!$F$2:$F$1001)*Calc!$F$2:$F$1001))))</f>
        <v/>
      </c>
      <c r="Q41">
        <f>IF(I41=0,0,(MIN(MAX((K41+M41),0),L41)*W41+SUMPRODUCT((Calc!$A$2:$A$1001=A41)*Calc!$G$2:$G$1001*((((K41+M41)-(L41+Calc!$J$2:$J$1001))&gt;0)*(((K41+M41)-(L41+Calc!$J$2:$J$1001))&lt;Calc!$F$2:$F$1001)*((K41+M41)-(L41+Calc!$J$2:$J$1001))+(((K41+M41)-(L41+Calc!$J$2:$J$1001))&gt;=Calc!$F$2:$F$1001)*Calc!$F$2:$F$1001))))</f>
        <v/>
      </c>
      <c r="R41">
        <f>IF(I41=0,0,(MIN(MAX((K41+N41),0),L41)*W41+SUMPRODUCT((Calc!$A$2:$A$1001=A41)*Calc!$G$2:$G$1001*((((K41+N41)-(L41+Calc!$J$2:$J$1001))&gt;0)*(((K41+N41)-(L41+Calc!$J$2:$J$1001))&lt;Calc!$F$2:$F$1001)*((K41+N41)-(L41+Calc!$J$2:$J$1001))+(((K41+N41)-(L41+Calc!$J$2:$J$1001))&gt;=Calc!$F$2:$F$1001)*Calc!$F$2:$F$1001))))</f>
        <v/>
      </c>
      <c r="S41">
        <f>IF(I41=0,0,(MIN(MAX((K41+O41),0),L41)*W41+SUMPRODUCT((Calc!$A$2:$A$1001=A41)*Calc!$G$2:$G$1001*((((K41+O41)-(L41+Calc!$J$2:$J$1001))&gt;0)*(((K41+O41)-(L41+Calc!$J$2:$J$1001))&lt;Calc!$F$2:$F$1001)*((K41+O41)-(L41+Calc!$J$2:$J$1001))+(((K41+O41)-(L41+Calc!$J$2:$J$1001))&gt;=Calc!$F$2:$F$1001)*Calc!$F$2:$F$1001))))</f>
        <v/>
      </c>
      <c r="T41">
        <f>IF(AND(E41=1,B41="RETURN"),Transactions!E41*Transactions!G41,0)</f>
        <v/>
      </c>
      <c r="U41">
        <f>IF(AND(E41=1,B41="EXPENSE"),Transactions!J41,0)</f>
        <v/>
      </c>
      <c r="V41">
        <f>IF(AND(Transactions!A41&lt;&gt;"",E41=0),ROW(),"")</f>
        <v/>
      </c>
      <c r="W41">
        <f>IFERROR(VLOOKUP(A41,Opening!$A:$D,4,0),0)</f>
        <v/>
      </c>
    </row>
    <row r="42">
      <c r="A42">
        <f>IF(Transactions!D42="","",UPPER(TRIM(Transactions!D42)))</f>
        <v/>
      </c>
      <c r="B42">
        <f>IF(Transactions!C42="","",UPPER(TRIM(Transactions!C42)))</f>
        <v/>
      </c>
      <c r="C42">
        <f>IF(Transactions!B42="",0,YEAR(Transactions!B42)*100+MONTH(Transactions!B42))</f>
        <v/>
      </c>
      <c r="D42">
        <f>IF(Transactions!A42="",1,IF(COUNTIF(Transactions!$A$1:A41,Transactions!A42)&gt;0,1,0))</f>
        <v/>
      </c>
      <c r="E42">
        <f>IF(D42=1,0,IF(B42="RETURN",IF(COUNTIFS($A$1:A41,A42,$B$1:B41,"SALE",$E$1:E41,1)&gt;0,1,0),1))</f>
        <v/>
      </c>
      <c r="F42">
        <f>IF(E42=1,IF(B42="RECEIPT",Transactions!E42,IF(AND(B42="RETURN",LOWER(TRIM(Transactions!H42))="resellable"),Transactions!E42,0)),0)</f>
        <v/>
      </c>
      <c r="G42">
        <f>IF(F42&gt;0,IF(B42="RECEIPT",Transactions!F42,IF(_xlfn.MAXIFS($H$2:H42,$A$2:A42,A42)&gt;0,INDEX(Transactions!$F:$F,_xlfn.MAXIFS($H$2:H42,$A$2:A42,A42)),W42)),0)</f>
        <v/>
      </c>
      <c r="H42">
        <f>IF(AND(E42=1,B42="RECEIPT"),ROW(),0)</f>
        <v/>
      </c>
      <c r="I42">
        <f>IF(E42=1,IF(OR(B42="SALE",B42="WRITEOFF"),Transactions!E42,0),0)</f>
        <v/>
      </c>
      <c r="J42">
        <f>SUMIFS($F$1:F41,$A$1:A41,A42)</f>
        <v/>
      </c>
      <c r="K42">
        <f>SUMIFS($I$1:I41,$A$1:A41,A42)</f>
        <v/>
      </c>
      <c r="L42">
        <f>IFERROR(VLOOKUP(A42,Opening!$A:$C,3,0),0)</f>
        <v/>
      </c>
      <c r="M42">
        <f>IF(I42=0,0,MAX(0,MIN(INDEX(Month!H$2:H$13,MATCH($A42,Month!$A$2:$A$13,0))-K42,I42)))</f>
        <v/>
      </c>
      <c r="N42">
        <f>IF(I42=0,0,MAX(0,MIN(INDEX(Month!I$2:I$13,MATCH($A42,Month!$A$2:$A$13,0))-K42,I42)))</f>
        <v/>
      </c>
      <c r="O42">
        <f>IF(I42=0,0,MAX(0,MIN(INDEX(Month!J$2:J$13,MATCH($A42,Month!$A$2:$A$13,0))-K42,I42)))</f>
        <v/>
      </c>
      <c r="P42">
        <f>IF(I42=0,0,(MIN(MAX(K42,0),L42)*W42+SUMPRODUCT((Calc!$A$2:$A$1001=A42)*Calc!$G$2:$G$1001*(((K42-(L42+Calc!$J$2:$J$1001))&gt;0)*((K42-(L42+Calc!$J$2:$J$1001))&lt;Calc!$F$2:$F$1001)*(K42-(L42+Calc!$J$2:$J$1001))+((K42-(L42+Calc!$J$2:$J$1001))&gt;=Calc!$F$2:$F$1001)*Calc!$F$2:$F$1001))))</f>
        <v/>
      </c>
      <c r="Q42">
        <f>IF(I42=0,0,(MIN(MAX((K42+M42),0),L42)*W42+SUMPRODUCT((Calc!$A$2:$A$1001=A42)*Calc!$G$2:$G$1001*((((K42+M42)-(L42+Calc!$J$2:$J$1001))&gt;0)*(((K42+M42)-(L42+Calc!$J$2:$J$1001))&lt;Calc!$F$2:$F$1001)*((K42+M42)-(L42+Calc!$J$2:$J$1001))+(((K42+M42)-(L42+Calc!$J$2:$J$1001))&gt;=Calc!$F$2:$F$1001)*Calc!$F$2:$F$1001))))</f>
        <v/>
      </c>
      <c r="R42">
        <f>IF(I42=0,0,(MIN(MAX((K42+N42),0),L42)*W42+SUMPRODUCT((Calc!$A$2:$A$1001=A42)*Calc!$G$2:$G$1001*((((K42+N42)-(L42+Calc!$J$2:$J$1001))&gt;0)*(((K42+N42)-(L42+Calc!$J$2:$J$1001))&lt;Calc!$F$2:$F$1001)*((K42+N42)-(L42+Calc!$J$2:$J$1001))+(((K42+N42)-(L42+Calc!$J$2:$J$1001))&gt;=Calc!$F$2:$F$1001)*Calc!$F$2:$F$1001))))</f>
        <v/>
      </c>
      <c r="S42">
        <f>IF(I42=0,0,(MIN(MAX((K42+O42),0),L42)*W42+SUMPRODUCT((Calc!$A$2:$A$1001=A42)*Calc!$G$2:$G$1001*((((K42+O42)-(L42+Calc!$J$2:$J$1001))&gt;0)*(((K42+O42)-(L42+Calc!$J$2:$J$1001))&lt;Calc!$F$2:$F$1001)*((K42+O42)-(L42+Calc!$J$2:$J$1001))+(((K42+O42)-(L42+Calc!$J$2:$J$1001))&gt;=Calc!$F$2:$F$1001)*Calc!$F$2:$F$1001))))</f>
        <v/>
      </c>
      <c r="T42">
        <f>IF(AND(E42=1,B42="RETURN"),Transactions!E42*Transactions!G42,0)</f>
        <v/>
      </c>
      <c r="U42">
        <f>IF(AND(E42=1,B42="EXPENSE"),Transactions!J42,0)</f>
        <v/>
      </c>
      <c r="V42">
        <f>IF(AND(Transactions!A42&lt;&gt;"",E42=0),ROW(),"")</f>
        <v/>
      </c>
      <c r="W42">
        <f>IFERROR(VLOOKUP(A42,Opening!$A:$D,4,0),0)</f>
        <v/>
      </c>
    </row>
    <row r="43">
      <c r="A43">
        <f>IF(Transactions!D43="","",UPPER(TRIM(Transactions!D43)))</f>
        <v/>
      </c>
      <c r="B43">
        <f>IF(Transactions!C43="","",UPPER(TRIM(Transactions!C43)))</f>
        <v/>
      </c>
      <c r="C43">
        <f>IF(Transactions!B43="",0,YEAR(Transactions!B43)*100+MONTH(Transactions!B43))</f>
        <v/>
      </c>
      <c r="D43">
        <f>IF(Transactions!A43="",1,IF(COUNTIF(Transactions!$A$1:A42,Transactions!A43)&gt;0,1,0))</f>
        <v/>
      </c>
      <c r="E43">
        <f>IF(D43=1,0,IF(B43="RETURN",IF(COUNTIFS($A$1:A42,A43,$B$1:B42,"SALE",$E$1:E42,1)&gt;0,1,0),1))</f>
        <v/>
      </c>
      <c r="F43">
        <f>IF(E43=1,IF(B43="RECEIPT",Transactions!E43,IF(AND(B43="RETURN",LOWER(TRIM(Transactions!H43))="resellable"),Transactions!E43,0)),0)</f>
        <v/>
      </c>
      <c r="G43">
        <f>IF(F43&gt;0,IF(B43="RECEIPT",Transactions!F43,IF(_xlfn.MAXIFS($H$2:H43,$A$2:A43,A43)&gt;0,INDEX(Transactions!$F:$F,_xlfn.MAXIFS($H$2:H43,$A$2:A43,A43)),W43)),0)</f>
        <v/>
      </c>
      <c r="H43">
        <f>IF(AND(E43=1,B43="RECEIPT"),ROW(),0)</f>
        <v/>
      </c>
      <c r="I43">
        <f>IF(E43=1,IF(OR(B43="SALE",B43="WRITEOFF"),Transactions!E43,0),0)</f>
        <v/>
      </c>
      <c r="J43">
        <f>SUMIFS($F$1:F42,$A$1:A42,A43)</f>
        <v/>
      </c>
      <c r="K43">
        <f>SUMIFS($I$1:I42,$A$1:A42,A43)</f>
        <v/>
      </c>
      <c r="L43">
        <f>IFERROR(VLOOKUP(A43,Opening!$A:$C,3,0),0)</f>
        <v/>
      </c>
      <c r="M43">
        <f>IF(I43=0,0,MAX(0,MIN(INDEX(Month!H$2:H$13,MATCH($A43,Month!$A$2:$A$13,0))-K43,I43)))</f>
        <v/>
      </c>
      <c r="N43">
        <f>IF(I43=0,0,MAX(0,MIN(INDEX(Month!I$2:I$13,MATCH($A43,Month!$A$2:$A$13,0))-K43,I43)))</f>
        <v/>
      </c>
      <c r="O43">
        <f>IF(I43=0,0,MAX(0,MIN(INDEX(Month!J$2:J$13,MATCH($A43,Month!$A$2:$A$13,0))-K43,I43)))</f>
        <v/>
      </c>
      <c r="P43">
        <f>IF(I43=0,0,(MIN(MAX(K43,0),L43)*W43+SUMPRODUCT((Calc!$A$2:$A$1001=A43)*Calc!$G$2:$G$1001*(((K43-(L43+Calc!$J$2:$J$1001))&gt;0)*((K43-(L43+Calc!$J$2:$J$1001))&lt;Calc!$F$2:$F$1001)*(K43-(L43+Calc!$J$2:$J$1001))+((K43-(L43+Calc!$J$2:$J$1001))&gt;=Calc!$F$2:$F$1001)*Calc!$F$2:$F$1001))))</f>
        <v/>
      </c>
      <c r="Q43">
        <f>IF(I43=0,0,(MIN(MAX((K43+M43),0),L43)*W43+SUMPRODUCT((Calc!$A$2:$A$1001=A43)*Calc!$G$2:$G$1001*((((K43+M43)-(L43+Calc!$J$2:$J$1001))&gt;0)*(((K43+M43)-(L43+Calc!$J$2:$J$1001))&lt;Calc!$F$2:$F$1001)*((K43+M43)-(L43+Calc!$J$2:$J$1001))+(((K43+M43)-(L43+Calc!$J$2:$J$1001))&gt;=Calc!$F$2:$F$1001)*Calc!$F$2:$F$1001))))</f>
        <v/>
      </c>
      <c r="R43">
        <f>IF(I43=0,0,(MIN(MAX((K43+N43),0),L43)*W43+SUMPRODUCT((Calc!$A$2:$A$1001=A43)*Calc!$G$2:$G$1001*((((K43+N43)-(L43+Calc!$J$2:$J$1001))&gt;0)*(((K43+N43)-(L43+Calc!$J$2:$J$1001))&lt;Calc!$F$2:$F$1001)*((K43+N43)-(L43+Calc!$J$2:$J$1001))+(((K43+N43)-(L43+Calc!$J$2:$J$1001))&gt;=Calc!$F$2:$F$1001)*Calc!$F$2:$F$1001))))</f>
        <v/>
      </c>
      <c r="S43">
        <f>IF(I43=0,0,(MIN(MAX((K43+O43),0),L43)*W43+SUMPRODUCT((Calc!$A$2:$A$1001=A43)*Calc!$G$2:$G$1001*((((K43+O43)-(L43+Calc!$J$2:$J$1001))&gt;0)*(((K43+O43)-(L43+Calc!$J$2:$J$1001))&lt;Calc!$F$2:$F$1001)*((K43+O43)-(L43+Calc!$J$2:$J$1001))+(((K43+O43)-(L43+Calc!$J$2:$J$1001))&gt;=Calc!$F$2:$F$1001)*Calc!$F$2:$F$1001))))</f>
        <v/>
      </c>
      <c r="T43">
        <f>IF(AND(E43=1,B43="RETURN"),Transactions!E43*Transactions!G43,0)</f>
        <v/>
      </c>
      <c r="U43">
        <f>IF(AND(E43=1,B43="EXPENSE"),Transactions!J43,0)</f>
        <v/>
      </c>
      <c r="V43">
        <f>IF(AND(Transactions!A43&lt;&gt;"",E43=0),ROW(),"")</f>
        <v/>
      </c>
      <c r="W43">
        <f>IFERROR(VLOOKUP(A43,Opening!$A:$D,4,0),0)</f>
        <v/>
      </c>
    </row>
    <row r="44">
      <c r="A44">
        <f>IF(Transactions!D44="","",UPPER(TRIM(Transactions!D44)))</f>
        <v/>
      </c>
      <c r="B44">
        <f>IF(Transactions!C44="","",UPPER(TRIM(Transactions!C44)))</f>
        <v/>
      </c>
      <c r="C44">
        <f>IF(Transactions!B44="",0,YEAR(Transactions!B44)*100+MONTH(Transactions!B44))</f>
        <v/>
      </c>
      <c r="D44">
        <f>IF(Transactions!A44="",1,IF(COUNTIF(Transactions!$A$1:A43,Transactions!A44)&gt;0,1,0))</f>
        <v/>
      </c>
      <c r="E44">
        <f>IF(D44=1,0,IF(B44="RETURN",IF(COUNTIFS($A$1:A43,A44,$B$1:B43,"SALE",$E$1:E43,1)&gt;0,1,0),1))</f>
        <v/>
      </c>
      <c r="F44">
        <f>IF(E44=1,IF(B44="RECEIPT",Transactions!E44,IF(AND(B44="RETURN",LOWER(TRIM(Transactions!H44))="resellable"),Transactions!E44,0)),0)</f>
        <v/>
      </c>
      <c r="G44">
        <f>IF(F44&gt;0,IF(B44="RECEIPT",Transactions!F44,IF(_xlfn.MAXIFS($H$2:H44,$A$2:A44,A44)&gt;0,INDEX(Transactions!$F:$F,_xlfn.MAXIFS($H$2:H44,$A$2:A44,A44)),W44)),0)</f>
        <v/>
      </c>
      <c r="H44">
        <f>IF(AND(E44=1,B44="RECEIPT"),ROW(),0)</f>
        <v/>
      </c>
      <c r="I44">
        <f>IF(E44=1,IF(OR(B44="SALE",B44="WRITEOFF"),Transactions!E44,0),0)</f>
        <v/>
      </c>
      <c r="J44">
        <f>SUMIFS($F$1:F43,$A$1:A43,A44)</f>
        <v/>
      </c>
      <c r="K44">
        <f>SUMIFS($I$1:I43,$A$1:A43,A44)</f>
        <v/>
      </c>
      <c r="L44">
        <f>IFERROR(VLOOKUP(A44,Opening!$A:$C,3,0),0)</f>
        <v/>
      </c>
      <c r="M44">
        <f>IF(I44=0,0,MAX(0,MIN(INDEX(Month!H$2:H$13,MATCH($A44,Month!$A$2:$A$13,0))-K44,I44)))</f>
        <v/>
      </c>
      <c r="N44">
        <f>IF(I44=0,0,MAX(0,MIN(INDEX(Month!I$2:I$13,MATCH($A44,Month!$A$2:$A$13,0))-K44,I44)))</f>
        <v/>
      </c>
      <c r="O44">
        <f>IF(I44=0,0,MAX(0,MIN(INDEX(Month!J$2:J$13,MATCH($A44,Month!$A$2:$A$13,0))-K44,I44)))</f>
        <v/>
      </c>
      <c r="P44">
        <f>IF(I44=0,0,(MIN(MAX(K44,0),L44)*W44+SUMPRODUCT((Calc!$A$2:$A$1001=A44)*Calc!$G$2:$G$1001*(((K44-(L44+Calc!$J$2:$J$1001))&gt;0)*((K44-(L44+Calc!$J$2:$J$1001))&lt;Calc!$F$2:$F$1001)*(K44-(L44+Calc!$J$2:$J$1001))+((K44-(L44+Calc!$J$2:$J$1001))&gt;=Calc!$F$2:$F$1001)*Calc!$F$2:$F$1001))))</f>
        <v/>
      </c>
      <c r="Q44">
        <f>IF(I44=0,0,(MIN(MAX((K44+M44),0),L44)*W44+SUMPRODUCT((Calc!$A$2:$A$1001=A44)*Calc!$G$2:$G$1001*((((K44+M44)-(L44+Calc!$J$2:$J$1001))&gt;0)*(((K44+M44)-(L44+Calc!$J$2:$J$1001))&lt;Calc!$F$2:$F$1001)*((K44+M44)-(L44+Calc!$J$2:$J$1001))+(((K44+M44)-(L44+Calc!$J$2:$J$1001))&gt;=Calc!$F$2:$F$1001)*Calc!$F$2:$F$1001))))</f>
        <v/>
      </c>
      <c r="R44">
        <f>IF(I44=0,0,(MIN(MAX((K44+N44),0),L44)*W44+SUMPRODUCT((Calc!$A$2:$A$1001=A44)*Calc!$G$2:$G$1001*((((K44+N44)-(L44+Calc!$J$2:$J$1001))&gt;0)*(((K44+N44)-(L44+Calc!$J$2:$J$1001))&lt;Calc!$F$2:$F$1001)*((K44+N44)-(L44+Calc!$J$2:$J$1001))+(((K44+N44)-(L44+Calc!$J$2:$J$1001))&gt;=Calc!$F$2:$F$1001)*Calc!$F$2:$F$1001))))</f>
        <v/>
      </c>
      <c r="S44">
        <f>IF(I44=0,0,(MIN(MAX((K44+O44),0),L44)*W44+SUMPRODUCT((Calc!$A$2:$A$1001=A44)*Calc!$G$2:$G$1001*((((K44+O44)-(L44+Calc!$J$2:$J$1001))&gt;0)*(((K44+O44)-(L44+Calc!$J$2:$J$1001))&lt;Calc!$F$2:$F$1001)*((K44+O44)-(L44+Calc!$J$2:$J$1001))+(((K44+O44)-(L44+Calc!$J$2:$J$1001))&gt;=Calc!$F$2:$F$1001)*Calc!$F$2:$F$1001))))</f>
        <v/>
      </c>
      <c r="T44">
        <f>IF(AND(E44=1,B44="RETURN"),Transactions!E44*Transactions!G44,0)</f>
        <v/>
      </c>
      <c r="U44">
        <f>IF(AND(E44=1,B44="EXPENSE"),Transactions!J44,0)</f>
        <v/>
      </c>
      <c r="V44">
        <f>IF(AND(Transactions!A44&lt;&gt;"",E44=0),ROW(),"")</f>
        <v/>
      </c>
      <c r="W44">
        <f>IFERROR(VLOOKUP(A44,Opening!$A:$D,4,0),0)</f>
        <v/>
      </c>
    </row>
    <row r="45">
      <c r="A45">
        <f>IF(Transactions!D45="","",UPPER(TRIM(Transactions!D45)))</f>
        <v/>
      </c>
      <c r="B45">
        <f>IF(Transactions!C45="","",UPPER(TRIM(Transactions!C45)))</f>
        <v/>
      </c>
      <c r="C45">
        <f>IF(Transactions!B45="",0,YEAR(Transactions!B45)*100+MONTH(Transactions!B45))</f>
        <v/>
      </c>
      <c r="D45">
        <f>IF(Transactions!A45="",1,IF(COUNTIF(Transactions!$A$1:A44,Transactions!A45)&gt;0,1,0))</f>
        <v/>
      </c>
      <c r="E45">
        <f>IF(D45=1,0,IF(B45="RETURN",IF(COUNTIFS($A$1:A44,A45,$B$1:B44,"SALE",$E$1:E44,1)&gt;0,1,0),1))</f>
        <v/>
      </c>
      <c r="F45">
        <f>IF(E45=1,IF(B45="RECEIPT",Transactions!E45,IF(AND(B45="RETURN",LOWER(TRIM(Transactions!H45))="resellable"),Transactions!E45,0)),0)</f>
        <v/>
      </c>
      <c r="G45">
        <f>IF(F45&gt;0,IF(B45="RECEIPT",Transactions!F45,IF(_xlfn.MAXIFS($H$2:H45,$A$2:A45,A45)&gt;0,INDEX(Transactions!$F:$F,_xlfn.MAXIFS($H$2:H45,$A$2:A45,A45)),W45)),0)</f>
        <v/>
      </c>
      <c r="H45">
        <f>IF(AND(E45=1,B45="RECEIPT"),ROW(),0)</f>
        <v/>
      </c>
      <c r="I45">
        <f>IF(E45=1,IF(OR(B45="SALE",B45="WRITEOFF"),Transactions!E45,0),0)</f>
        <v/>
      </c>
      <c r="J45">
        <f>SUMIFS($F$1:F44,$A$1:A44,A45)</f>
        <v/>
      </c>
      <c r="K45">
        <f>SUMIFS($I$1:I44,$A$1:A44,A45)</f>
        <v/>
      </c>
      <c r="L45">
        <f>IFERROR(VLOOKUP(A45,Opening!$A:$C,3,0),0)</f>
        <v/>
      </c>
      <c r="M45">
        <f>IF(I45=0,0,MAX(0,MIN(INDEX(Month!H$2:H$13,MATCH($A45,Month!$A$2:$A$13,0))-K45,I45)))</f>
        <v/>
      </c>
      <c r="N45">
        <f>IF(I45=0,0,MAX(0,MIN(INDEX(Month!I$2:I$13,MATCH($A45,Month!$A$2:$A$13,0))-K45,I45)))</f>
        <v/>
      </c>
      <c r="O45">
        <f>IF(I45=0,0,MAX(0,MIN(INDEX(Month!J$2:J$13,MATCH($A45,Month!$A$2:$A$13,0))-K45,I45)))</f>
        <v/>
      </c>
      <c r="P45">
        <f>IF(I45=0,0,(MIN(MAX(K45,0),L45)*W45+SUMPRODUCT((Calc!$A$2:$A$1001=A45)*Calc!$G$2:$G$1001*(((K45-(L45+Calc!$J$2:$J$1001))&gt;0)*((K45-(L45+Calc!$J$2:$J$1001))&lt;Calc!$F$2:$F$1001)*(K45-(L45+Calc!$J$2:$J$1001))+((K45-(L45+Calc!$J$2:$J$1001))&gt;=Calc!$F$2:$F$1001)*Calc!$F$2:$F$1001))))</f>
        <v/>
      </c>
      <c r="Q45">
        <f>IF(I45=0,0,(MIN(MAX((K45+M45),0),L45)*W45+SUMPRODUCT((Calc!$A$2:$A$1001=A45)*Calc!$G$2:$G$1001*((((K45+M45)-(L45+Calc!$J$2:$J$1001))&gt;0)*(((K45+M45)-(L45+Calc!$J$2:$J$1001))&lt;Calc!$F$2:$F$1001)*((K45+M45)-(L45+Calc!$J$2:$J$1001))+(((K45+M45)-(L45+Calc!$J$2:$J$1001))&gt;=Calc!$F$2:$F$1001)*Calc!$F$2:$F$1001))))</f>
        <v/>
      </c>
      <c r="R45">
        <f>IF(I45=0,0,(MIN(MAX((K45+N45),0),L45)*W45+SUMPRODUCT((Calc!$A$2:$A$1001=A45)*Calc!$G$2:$G$1001*((((K45+N45)-(L45+Calc!$J$2:$J$1001))&gt;0)*(((K45+N45)-(L45+Calc!$J$2:$J$1001))&lt;Calc!$F$2:$F$1001)*((K45+N45)-(L45+Calc!$J$2:$J$1001))+(((K45+N45)-(L45+Calc!$J$2:$J$1001))&gt;=Calc!$F$2:$F$1001)*Calc!$F$2:$F$1001))))</f>
        <v/>
      </c>
      <c r="S45">
        <f>IF(I45=0,0,(MIN(MAX((K45+O45),0),L45)*W45+SUMPRODUCT((Calc!$A$2:$A$1001=A45)*Calc!$G$2:$G$1001*((((K45+O45)-(L45+Calc!$J$2:$J$1001))&gt;0)*(((K45+O45)-(L45+Calc!$J$2:$J$1001))&lt;Calc!$F$2:$F$1001)*((K45+O45)-(L45+Calc!$J$2:$J$1001))+(((K45+O45)-(L45+Calc!$J$2:$J$1001))&gt;=Calc!$F$2:$F$1001)*Calc!$F$2:$F$1001))))</f>
        <v/>
      </c>
      <c r="T45">
        <f>IF(AND(E45=1,B45="RETURN"),Transactions!E45*Transactions!G45,0)</f>
        <v/>
      </c>
      <c r="U45">
        <f>IF(AND(E45=1,B45="EXPENSE"),Transactions!J45,0)</f>
        <v/>
      </c>
      <c r="V45">
        <f>IF(AND(Transactions!A45&lt;&gt;"",E45=0),ROW(),"")</f>
        <v/>
      </c>
      <c r="W45">
        <f>IFERROR(VLOOKUP(A45,Opening!$A:$D,4,0),0)</f>
        <v/>
      </c>
    </row>
    <row r="46">
      <c r="A46">
        <f>IF(Transactions!D46="","",UPPER(TRIM(Transactions!D46)))</f>
        <v/>
      </c>
      <c r="B46">
        <f>IF(Transactions!C46="","",UPPER(TRIM(Transactions!C46)))</f>
        <v/>
      </c>
      <c r="C46">
        <f>IF(Transactions!B46="",0,YEAR(Transactions!B46)*100+MONTH(Transactions!B46))</f>
        <v/>
      </c>
      <c r="D46">
        <f>IF(Transactions!A46="",1,IF(COUNTIF(Transactions!$A$1:A45,Transactions!A46)&gt;0,1,0))</f>
        <v/>
      </c>
      <c r="E46">
        <f>IF(D46=1,0,IF(B46="RETURN",IF(COUNTIFS($A$1:A45,A46,$B$1:B45,"SALE",$E$1:E45,1)&gt;0,1,0),1))</f>
        <v/>
      </c>
      <c r="F46">
        <f>IF(E46=1,IF(B46="RECEIPT",Transactions!E46,IF(AND(B46="RETURN",LOWER(TRIM(Transactions!H46))="resellable"),Transactions!E46,0)),0)</f>
        <v/>
      </c>
      <c r="G46">
        <f>IF(F46&gt;0,IF(B46="RECEIPT",Transactions!F46,IF(_xlfn.MAXIFS($H$2:H46,$A$2:A46,A46)&gt;0,INDEX(Transactions!$F:$F,_xlfn.MAXIFS($H$2:H46,$A$2:A46,A46)),W46)),0)</f>
        <v/>
      </c>
      <c r="H46">
        <f>IF(AND(E46=1,B46="RECEIPT"),ROW(),0)</f>
        <v/>
      </c>
      <c r="I46">
        <f>IF(E46=1,IF(OR(B46="SALE",B46="WRITEOFF"),Transactions!E46,0),0)</f>
        <v/>
      </c>
      <c r="J46">
        <f>SUMIFS($F$1:F45,$A$1:A45,A46)</f>
        <v/>
      </c>
      <c r="K46">
        <f>SUMIFS($I$1:I45,$A$1:A45,A46)</f>
        <v/>
      </c>
      <c r="L46">
        <f>IFERROR(VLOOKUP(A46,Opening!$A:$C,3,0),0)</f>
        <v/>
      </c>
      <c r="M46">
        <f>IF(I46=0,0,MAX(0,MIN(INDEX(Month!H$2:H$13,MATCH($A46,Month!$A$2:$A$13,0))-K46,I46)))</f>
        <v/>
      </c>
      <c r="N46">
        <f>IF(I46=0,0,MAX(0,MIN(INDEX(Month!I$2:I$13,MATCH($A46,Month!$A$2:$A$13,0))-K46,I46)))</f>
        <v/>
      </c>
      <c r="O46">
        <f>IF(I46=0,0,MAX(0,MIN(INDEX(Month!J$2:J$13,MATCH($A46,Month!$A$2:$A$13,0))-K46,I46)))</f>
        <v/>
      </c>
      <c r="P46">
        <f>IF(I46=0,0,(MIN(MAX(K46,0),L46)*W46+SUMPRODUCT((Calc!$A$2:$A$1001=A46)*Calc!$G$2:$G$1001*(((K46-(L46+Calc!$J$2:$J$1001))&gt;0)*((K46-(L46+Calc!$J$2:$J$1001))&lt;Calc!$F$2:$F$1001)*(K46-(L46+Calc!$J$2:$J$1001))+((K46-(L46+Calc!$J$2:$J$1001))&gt;=Calc!$F$2:$F$1001)*Calc!$F$2:$F$1001))))</f>
        <v/>
      </c>
      <c r="Q46">
        <f>IF(I46=0,0,(MIN(MAX((K46+M46),0),L46)*W46+SUMPRODUCT((Calc!$A$2:$A$1001=A46)*Calc!$G$2:$G$1001*((((K46+M46)-(L46+Calc!$J$2:$J$1001))&gt;0)*(((K46+M46)-(L46+Calc!$J$2:$J$1001))&lt;Calc!$F$2:$F$1001)*((K46+M46)-(L46+Calc!$J$2:$J$1001))+(((K46+M46)-(L46+Calc!$J$2:$J$1001))&gt;=Calc!$F$2:$F$1001)*Calc!$F$2:$F$1001))))</f>
        <v/>
      </c>
      <c r="R46">
        <f>IF(I46=0,0,(MIN(MAX((K46+N46),0),L46)*W46+SUMPRODUCT((Calc!$A$2:$A$1001=A46)*Calc!$G$2:$G$1001*((((K46+N46)-(L46+Calc!$J$2:$J$1001))&gt;0)*(((K46+N46)-(L46+Calc!$J$2:$J$1001))&lt;Calc!$F$2:$F$1001)*((K46+N46)-(L46+Calc!$J$2:$J$1001))+(((K46+N46)-(L46+Calc!$J$2:$J$1001))&gt;=Calc!$F$2:$F$1001)*Calc!$F$2:$F$1001))))</f>
        <v/>
      </c>
      <c r="S46">
        <f>IF(I46=0,0,(MIN(MAX((K46+O46),0),L46)*W46+SUMPRODUCT((Calc!$A$2:$A$1001=A46)*Calc!$G$2:$G$1001*((((K46+O46)-(L46+Calc!$J$2:$J$1001))&gt;0)*(((K46+O46)-(L46+Calc!$J$2:$J$1001))&lt;Calc!$F$2:$F$1001)*((K46+O46)-(L46+Calc!$J$2:$J$1001))+(((K46+O46)-(L46+Calc!$J$2:$J$1001))&gt;=Calc!$F$2:$F$1001)*Calc!$F$2:$F$1001))))</f>
        <v/>
      </c>
      <c r="T46">
        <f>IF(AND(E46=1,B46="RETURN"),Transactions!E46*Transactions!G46,0)</f>
        <v/>
      </c>
      <c r="U46">
        <f>IF(AND(E46=1,B46="EXPENSE"),Transactions!J46,0)</f>
        <v/>
      </c>
      <c r="V46">
        <f>IF(AND(Transactions!A46&lt;&gt;"",E46=0),ROW(),"")</f>
        <v/>
      </c>
      <c r="W46">
        <f>IFERROR(VLOOKUP(A46,Opening!$A:$D,4,0),0)</f>
        <v/>
      </c>
    </row>
    <row r="47">
      <c r="A47">
        <f>IF(Transactions!D47="","",UPPER(TRIM(Transactions!D47)))</f>
        <v/>
      </c>
      <c r="B47">
        <f>IF(Transactions!C47="","",UPPER(TRIM(Transactions!C47)))</f>
        <v/>
      </c>
      <c r="C47">
        <f>IF(Transactions!B47="",0,YEAR(Transactions!B47)*100+MONTH(Transactions!B47))</f>
        <v/>
      </c>
      <c r="D47">
        <f>IF(Transactions!A47="",1,IF(COUNTIF(Transactions!$A$1:A46,Transactions!A47)&gt;0,1,0))</f>
        <v/>
      </c>
      <c r="E47">
        <f>IF(D47=1,0,IF(B47="RETURN",IF(COUNTIFS($A$1:A46,A47,$B$1:B46,"SALE",$E$1:E46,1)&gt;0,1,0),1))</f>
        <v/>
      </c>
      <c r="F47">
        <f>IF(E47=1,IF(B47="RECEIPT",Transactions!E47,IF(AND(B47="RETURN",LOWER(TRIM(Transactions!H47))="resellable"),Transactions!E47,0)),0)</f>
        <v/>
      </c>
      <c r="G47">
        <f>IF(F47&gt;0,IF(B47="RECEIPT",Transactions!F47,IF(_xlfn.MAXIFS($H$2:H47,$A$2:A47,A47)&gt;0,INDEX(Transactions!$F:$F,_xlfn.MAXIFS($H$2:H47,$A$2:A47,A47)),W47)),0)</f>
        <v/>
      </c>
      <c r="H47">
        <f>IF(AND(E47=1,B47="RECEIPT"),ROW(),0)</f>
        <v/>
      </c>
      <c r="I47">
        <f>IF(E47=1,IF(OR(B47="SALE",B47="WRITEOFF"),Transactions!E47,0),0)</f>
        <v/>
      </c>
      <c r="J47">
        <f>SUMIFS($F$1:F46,$A$1:A46,A47)</f>
        <v/>
      </c>
      <c r="K47">
        <f>SUMIFS($I$1:I46,$A$1:A46,A47)</f>
        <v/>
      </c>
      <c r="L47">
        <f>IFERROR(VLOOKUP(A47,Opening!$A:$C,3,0),0)</f>
        <v/>
      </c>
      <c r="M47">
        <f>IF(I47=0,0,MAX(0,MIN(INDEX(Month!H$2:H$13,MATCH($A47,Month!$A$2:$A$13,0))-K47,I47)))</f>
        <v/>
      </c>
      <c r="N47">
        <f>IF(I47=0,0,MAX(0,MIN(INDEX(Month!I$2:I$13,MATCH($A47,Month!$A$2:$A$13,0))-K47,I47)))</f>
        <v/>
      </c>
      <c r="O47">
        <f>IF(I47=0,0,MAX(0,MIN(INDEX(Month!J$2:J$13,MATCH($A47,Month!$A$2:$A$13,0))-K47,I47)))</f>
        <v/>
      </c>
      <c r="P47">
        <f>IF(I47=0,0,(MIN(MAX(K47,0),L47)*W47+SUMPRODUCT((Calc!$A$2:$A$1001=A47)*Calc!$G$2:$G$1001*(((K47-(L47+Calc!$J$2:$J$1001))&gt;0)*((K47-(L47+Calc!$J$2:$J$1001))&lt;Calc!$F$2:$F$1001)*(K47-(L47+Calc!$J$2:$J$1001))+((K47-(L47+Calc!$J$2:$J$1001))&gt;=Calc!$F$2:$F$1001)*Calc!$F$2:$F$1001))))</f>
        <v/>
      </c>
      <c r="Q47">
        <f>IF(I47=0,0,(MIN(MAX((K47+M47),0),L47)*W47+SUMPRODUCT((Calc!$A$2:$A$1001=A47)*Calc!$G$2:$G$1001*((((K47+M47)-(L47+Calc!$J$2:$J$1001))&gt;0)*(((K47+M47)-(L47+Calc!$J$2:$J$1001))&lt;Calc!$F$2:$F$1001)*((K47+M47)-(L47+Calc!$J$2:$J$1001))+(((K47+M47)-(L47+Calc!$J$2:$J$1001))&gt;=Calc!$F$2:$F$1001)*Calc!$F$2:$F$1001))))</f>
        <v/>
      </c>
      <c r="R47">
        <f>IF(I47=0,0,(MIN(MAX((K47+N47),0),L47)*W47+SUMPRODUCT((Calc!$A$2:$A$1001=A47)*Calc!$G$2:$G$1001*((((K47+N47)-(L47+Calc!$J$2:$J$1001))&gt;0)*(((K47+N47)-(L47+Calc!$J$2:$J$1001))&lt;Calc!$F$2:$F$1001)*((K47+N47)-(L47+Calc!$J$2:$J$1001))+(((K47+N47)-(L47+Calc!$J$2:$J$1001))&gt;=Calc!$F$2:$F$1001)*Calc!$F$2:$F$1001))))</f>
        <v/>
      </c>
      <c r="S47">
        <f>IF(I47=0,0,(MIN(MAX((K47+O47),0),L47)*W47+SUMPRODUCT((Calc!$A$2:$A$1001=A47)*Calc!$G$2:$G$1001*((((K47+O47)-(L47+Calc!$J$2:$J$1001))&gt;0)*(((K47+O47)-(L47+Calc!$J$2:$J$1001))&lt;Calc!$F$2:$F$1001)*((K47+O47)-(L47+Calc!$J$2:$J$1001))+(((K47+O47)-(L47+Calc!$J$2:$J$1001))&gt;=Calc!$F$2:$F$1001)*Calc!$F$2:$F$1001))))</f>
        <v/>
      </c>
      <c r="T47">
        <f>IF(AND(E47=1,B47="RETURN"),Transactions!E47*Transactions!G47,0)</f>
        <v/>
      </c>
      <c r="U47">
        <f>IF(AND(E47=1,B47="EXPENSE"),Transactions!J47,0)</f>
        <v/>
      </c>
      <c r="V47">
        <f>IF(AND(Transactions!A47&lt;&gt;"",E47=0),ROW(),"")</f>
        <v/>
      </c>
      <c r="W47">
        <f>IFERROR(VLOOKUP(A47,Opening!$A:$D,4,0),0)</f>
        <v/>
      </c>
    </row>
    <row r="48">
      <c r="A48">
        <f>IF(Transactions!D48="","",UPPER(TRIM(Transactions!D48)))</f>
        <v/>
      </c>
      <c r="B48">
        <f>IF(Transactions!C48="","",UPPER(TRIM(Transactions!C48)))</f>
        <v/>
      </c>
      <c r="C48">
        <f>IF(Transactions!B48="",0,YEAR(Transactions!B48)*100+MONTH(Transactions!B48))</f>
        <v/>
      </c>
      <c r="D48">
        <f>IF(Transactions!A48="",1,IF(COUNTIF(Transactions!$A$1:A47,Transactions!A48)&gt;0,1,0))</f>
        <v/>
      </c>
      <c r="E48">
        <f>IF(D48=1,0,IF(B48="RETURN",IF(COUNTIFS($A$1:A47,A48,$B$1:B47,"SALE",$E$1:E47,1)&gt;0,1,0),1))</f>
        <v/>
      </c>
      <c r="F48">
        <f>IF(E48=1,IF(B48="RECEIPT",Transactions!E48,IF(AND(B48="RETURN",LOWER(TRIM(Transactions!H48))="resellable"),Transactions!E48,0)),0)</f>
        <v/>
      </c>
      <c r="G48">
        <f>IF(F48&gt;0,IF(B48="RECEIPT",Transactions!F48,IF(_xlfn.MAXIFS($H$2:H48,$A$2:A48,A48)&gt;0,INDEX(Transactions!$F:$F,_xlfn.MAXIFS($H$2:H48,$A$2:A48,A48)),W48)),0)</f>
        <v/>
      </c>
      <c r="H48">
        <f>IF(AND(E48=1,B48="RECEIPT"),ROW(),0)</f>
        <v/>
      </c>
      <c r="I48">
        <f>IF(E48=1,IF(OR(B48="SALE",B48="WRITEOFF"),Transactions!E48,0),0)</f>
        <v/>
      </c>
      <c r="J48">
        <f>SUMIFS($F$1:F47,$A$1:A47,A48)</f>
        <v/>
      </c>
      <c r="K48">
        <f>SUMIFS($I$1:I47,$A$1:A47,A48)</f>
        <v/>
      </c>
      <c r="L48">
        <f>IFERROR(VLOOKUP(A48,Opening!$A:$C,3,0),0)</f>
        <v/>
      </c>
      <c r="M48">
        <f>IF(I48=0,0,MAX(0,MIN(INDEX(Month!H$2:H$13,MATCH($A48,Month!$A$2:$A$13,0))-K48,I48)))</f>
        <v/>
      </c>
      <c r="N48">
        <f>IF(I48=0,0,MAX(0,MIN(INDEX(Month!I$2:I$13,MATCH($A48,Month!$A$2:$A$13,0))-K48,I48)))</f>
        <v/>
      </c>
      <c r="O48">
        <f>IF(I48=0,0,MAX(0,MIN(INDEX(Month!J$2:J$13,MATCH($A48,Month!$A$2:$A$13,0))-K48,I48)))</f>
        <v/>
      </c>
      <c r="P48">
        <f>IF(I48=0,0,(MIN(MAX(K48,0),L48)*W48+SUMPRODUCT((Calc!$A$2:$A$1001=A48)*Calc!$G$2:$G$1001*(((K48-(L48+Calc!$J$2:$J$1001))&gt;0)*((K48-(L48+Calc!$J$2:$J$1001))&lt;Calc!$F$2:$F$1001)*(K48-(L48+Calc!$J$2:$J$1001))+((K48-(L48+Calc!$J$2:$J$1001))&gt;=Calc!$F$2:$F$1001)*Calc!$F$2:$F$1001))))</f>
        <v/>
      </c>
      <c r="Q48">
        <f>IF(I48=0,0,(MIN(MAX((K48+M48),0),L48)*W48+SUMPRODUCT((Calc!$A$2:$A$1001=A48)*Calc!$G$2:$G$1001*((((K48+M48)-(L48+Calc!$J$2:$J$1001))&gt;0)*(((K48+M48)-(L48+Calc!$J$2:$J$1001))&lt;Calc!$F$2:$F$1001)*((K48+M48)-(L48+Calc!$J$2:$J$1001))+(((K48+M48)-(L48+Calc!$J$2:$J$1001))&gt;=Calc!$F$2:$F$1001)*Calc!$F$2:$F$1001))))</f>
        <v/>
      </c>
      <c r="R48">
        <f>IF(I48=0,0,(MIN(MAX((K48+N48),0),L48)*W48+SUMPRODUCT((Calc!$A$2:$A$1001=A48)*Calc!$G$2:$G$1001*((((K48+N48)-(L48+Calc!$J$2:$J$1001))&gt;0)*(((K48+N48)-(L48+Calc!$J$2:$J$1001))&lt;Calc!$F$2:$F$1001)*((K48+N48)-(L48+Calc!$J$2:$J$1001))+(((K48+N48)-(L48+Calc!$J$2:$J$1001))&gt;=Calc!$F$2:$F$1001)*Calc!$F$2:$F$1001))))</f>
        <v/>
      </c>
      <c r="S48">
        <f>IF(I48=0,0,(MIN(MAX((K48+O48),0),L48)*W48+SUMPRODUCT((Calc!$A$2:$A$1001=A48)*Calc!$G$2:$G$1001*((((K48+O48)-(L48+Calc!$J$2:$J$1001))&gt;0)*(((K48+O48)-(L48+Calc!$J$2:$J$1001))&lt;Calc!$F$2:$F$1001)*((K48+O48)-(L48+Calc!$J$2:$J$1001))+(((K48+O48)-(L48+Calc!$J$2:$J$1001))&gt;=Calc!$F$2:$F$1001)*Calc!$F$2:$F$1001))))</f>
        <v/>
      </c>
      <c r="T48">
        <f>IF(AND(E48=1,B48="RETURN"),Transactions!E48*Transactions!G48,0)</f>
        <v/>
      </c>
      <c r="U48">
        <f>IF(AND(E48=1,B48="EXPENSE"),Transactions!J48,0)</f>
        <v/>
      </c>
      <c r="V48">
        <f>IF(AND(Transactions!A48&lt;&gt;"",E48=0),ROW(),"")</f>
        <v/>
      </c>
      <c r="W48">
        <f>IFERROR(VLOOKUP(A48,Opening!$A:$D,4,0),0)</f>
        <v/>
      </c>
    </row>
    <row r="49">
      <c r="A49">
        <f>IF(Transactions!D49="","",UPPER(TRIM(Transactions!D49)))</f>
        <v/>
      </c>
      <c r="B49">
        <f>IF(Transactions!C49="","",UPPER(TRIM(Transactions!C49)))</f>
        <v/>
      </c>
      <c r="C49">
        <f>IF(Transactions!B49="",0,YEAR(Transactions!B49)*100+MONTH(Transactions!B49))</f>
        <v/>
      </c>
      <c r="D49">
        <f>IF(Transactions!A49="",1,IF(COUNTIF(Transactions!$A$1:A48,Transactions!A49)&gt;0,1,0))</f>
        <v/>
      </c>
      <c r="E49">
        <f>IF(D49=1,0,IF(B49="RETURN",IF(COUNTIFS($A$1:A48,A49,$B$1:B48,"SALE",$E$1:E48,1)&gt;0,1,0),1))</f>
        <v/>
      </c>
      <c r="F49">
        <f>IF(E49=1,IF(B49="RECEIPT",Transactions!E49,IF(AND(B49="RETURN",LOWER(TRIM(Transactions!H49))="resellable"),Transactions!E49,0)),0)</f>
        <v/>
      </c>
      <c r="G49">
        <f>IF(F49&gt;0,IF(B49="RECEIPT",Transactions!F49,IF(_xlfn.MAXIFS($H$2:H49,$A$2:A49,A49)&gt;0,INDEX(Transactions!$F:$F,_xlfn.MAXIFS($H$2:H49,$A$2:A49,A49)),W49)),0)</f>
        <v/>
      </c>
      <c r="H49">
        <f>IF(AND(E49=1,B49="RECEIPT"),ROW(),0)</f>
        <v/>
      </c>
      <c r="I49">
        <f>IF(E49=1,IF(OR(B49="SALE",B49="WRITEOFF"),Transactions!E49,0),0)</f>
        <v/>
      </c>
      <c r="J49">
        <f>SUMIFS($F$1:F48,$A$1:A48,A49)</f>
        <v/>
      </c>
      <c r="K49">
        <f>SUMIFS($I$1:I48,$A$1:A48,A49)</f>
        <v/>
      </c>
      <c r="L49">
        <f>IFERROR(VLOOKUP(A49,Opening!$A:$C,3,0),0)</f>
        <v/>
      </c>
      <c r="M49">
        <f>IF(I49=0,0,MAX(0,MIN(INDEX(Month!H$2:H$13,MATCH($A49,Month!$A$2:$A$13,0))-K49,I49)))</f>
        <v/>
      </c>
      <c r="N49">
        <f>IF(I49=0,0,MAX(0,MIN(INDEX(Month!I$2:I$13,MATCH($A49,Month!$A$2:$A$13,0))-K49,I49)))</f>
        <v/>
      </c>
      <c r="O49">
        <f>IF(I49=0,0,MAX(0,MIN(INDEX(Month!J$2:J$13,MATCH($A49,Month!$A$2:$A$13,0))-K49,I49)))</f>
        <v/>
      </c>
      <c r="P49">
        <f>IF(I49=0,0,(MIN(MAX(K49,0),L49)*W49+SUMPRODUCT((Calc!$A$2:$A$1001=A49)*Calc!$G$2:$G$1001*(((K49-(L49+Calc!$J$2:$J$1001))&gt;0)*((K49-(L49+Calc!$J$2:$J$1001))&lt;Calc!$F$2:$F$1001)*(K49-(L49+Calc!$J$2:$J$1001))+((K49-(L49+Calc!$J$2:$J$1001))&gt;=Calc!$F$2:$F$1001)*Calc!$F$2:$F$1001))))</f>
        <v/>
      </c>
      <c r="Q49">
        <f>IF(I49=0,0,(MIN(MAX((K49+M49),0),L49)*W49+SUMPRODUCT((Calc!$A$2:$A$1001=A49)*Calc!$G$2:$G$1001*((((K49+M49)-(L49+Calc!$J$2:$J$1001))&gt;0)*(((K49+M49)-(L49+Calc!$J$2:$J$1001))&lt;Calc!$F$2:$F$1001)*((K49+M49)-(L49+Calc!$J$2:$J$1001))+(((K49+M49)-(L49+Calc!$J$2:$J$1001))&gt;=Calc!$F$2:$F$1001)*Calc!$F$2:$F$1001))))</f>
        <v/>
      </c>
      <c r="R49">
        <f>IF(I49=0,0,(MIN(MAX((K49+N49),0),L49)*W49+SUMPRODUCT((Calc!$A$2:$A$1001=A49)*Calc!$G$2:$G$1001*((((K49+N49)-(L49+Calc!$J$2:$J$1001))&gt;0)*(((K49+N49)-(L49+Calc!$J$2:$J$1001))&lt;Calc!$F$2:$F$1001)*((K49+N49)-(L49+Calc!$J$2:$J$1001))+(((K49+N49)-(L49+Calc!$J$2:$J$1001))&gt;=Calc!$F$2:$F$1001)*Calc!$F$2:$F$1001))))</f>
        <v/>
      </c>
      <c r="S49">
        <f>IF(I49=0,0,(MIN(MAX((K49+O49),0),L49)*W49+SUMPRODUCT((Calc!$A$2:$A$1001=A49)*Calc!$G$2:$G$1001*((((K49+O49)-(L49+Calc!$J$2:$J$1001))&gt;0)*(((K49+O49)-(L49+Calc!$J$2:$J$1001))&lt;Calc!$F$2:$F$1001)*((K49+O49)-(L49+Calc!$J$2:$J$1001))+(((K49+O49)-(L49+Calc!$J$2:$J$1001))&gt;=Calc!$F$2:$F$1001)*Calc!$F$2:$F$1001))))</f>
        <v/>
      </c>
      <c r="T49">
        <f>IF(AND(E49=1,B49="RETURN"),Transactions!E49*Transactions!G49,0)</f>
        <v/>
      </c>
      <c r="U49">
        <f>IF(AND(E49=1,B49="EXPENSE"),Transactions!J49,0)</f>
        <v/>
      </c>
      <c r="V49">
        <f>IF(AND(Transactions!A49&lt;&gt;"",E49=0),ROW(),"")</f>
        <v/>
      </c>
      <c r="W49">
        <f>IFERROR(VLOOKUP(A49,Opening!$A:$D,4,0),0)</f>
        <v/>
      </c>
    </row>
    <row r="50">
      <c r="A50">
        <f>IF(Transactions!D50="","",UPPER(TRIM(Transactions!D50)))</f>
        <v/>
      </c>
      <c r="B50">
        <f>IF(Transactions!C50="","",UPPER(TRIM(Transactions!C50)))</f>
        <v/>
      </c>
      <c r="C50">
        <f>IF(Transactions!B50="",0,YEAR(Transactions!B50)*100+MONTH(Transactions!B50))</f>
        <v/>
      </c>
      <c r="D50">
        <f>IF(Transactions!A50="",1,IF(COUNTIF(Transactions!$A$1:A49,Transactions!A50)&gt;0,1,0))</f>
        <v/>
      </c>
      <c r="E50">
        <f>IF(D50=1,0,IF(B50="RETURN",IF(COUNTIFS($A$1:A49,A50,$B$1:B49,"SALE",$E$1:E49,1)&gt;0,1,0),1))</f>
        <v/>
      </c>
      <c r="F50">
        <f>IF(E50=1,IF(B50="RECEIPT",Transactions!E50,IF(AND(B50="RETURN",LOWER(TRIM(Transactions!H50))="resellable"),Transactions!E50,0)),0)</f>
        <v/>
      </c>
      <c r="G50">
        <f>IF(F50&gt;0,IF(B50="RECEIPT",Transactions!F50,IF(_xlfn.MAXIFS($H$2:H50,$A$2:A50,A50)&gt;0,INDEX(Transactions!$F:$F,_xlfn.MAXIFS($H$2:H50,$A$2:A50,A50)),W50)),0)</f>
        <v/>
      </c>
      <c r="H50">
        <f>IF(AND(E50=1,B50="RECEIPT"),ROW(),0)</f>
        <v/>
      </c>
      <c r="I50">
        <f>IF(E50=1,IF(OR(B50="SALE",B50="WRITEOFF"),Transactions!E50,0),0)</f>
        <v/>
      </c>
      <c r="J50">
        <f>SUMIFS($F$1:F49,$A$1:A49,A50)</f>
        <v/>
      </c>
      <c r="K50">
        <f>SUMIFS($I$1:I49,$A$1:A49,A50)</f>
        <v/>
      </c>
      <c r="L50">
        <f>IFERROR(VLOOKUP(A50,Opening!$A:$C,3,0),0)</f>
        <v/>
      </c>
      <c r="M50">
        <f>IF(I50=0,0,MAX(0,MIN(INDEX(Month!H$2:H$13,MATCH($A50,Month!$A$2:$A$13,0))-K50,I50)))</f>
        <v/>
      </c>
      <c r="N50">
        <f>IF(I50=0,0,MAX(0,MIN(INDEX(Month!I$2:I$13,MATCH($A50,Month!$A$2:$A$13,0))-K50,I50)))</f>
        <v/>
      </c>
      <c r="O50">
        <f>IF(I50=0,0,MAX(0,MIN(INDEX(Month!J$2:J$13,MATCH($A50,Month!$A$2:$A$13,0))-K50,I50)))</f>
        <v/>
      </c>
      <c r="P50">
        <f>IF(I50=0,0,(MIN(MAX(K50,0),L50)*W50+SUMPRODUCT((Calc!$A$2:$A$1001=A50)*Calc!$G$2:$G$1001*(((K50-(L50+Calc!$J$2:$J$1001))&gt;0)*((K50-(L50+Calc!$J$2:$J$1001))&lt;Calc!$F$2:$F$1001)*(K50-(L50+Calc!$J$2:$J$1001))+((K50-(L50+Calc!$J$2:$J$1001))&gt;=Calc!$F$2:$F$1001)*Calc!$F$2:$F$1001))))</f>
        <v/>
      </c>
      <c r="Q50">
        <f>IF(I50=0,0,(MIN(MAX((K50+M50),0),L50)*W50+SUMPRODUCT((Calc!$A$2:$A$1001=A50)*Calc!$G$2:$G$1001*((((K50+M50)-(L50+Calc!$J$2:$J$1001))&gt;0)*(((K50+M50)-(L50+Calc!$J$2:$J$1001))&lt;Calc!$F$2:$F$1001)*((K50+M50)-(L50+Calc!$J$2:$J$1001))+(((K50+M50)-(L50+Calc!$J$2:$J$1001))&gt;=Calc!$F$2:$F$1001)*Calc!$F$2:$F$1001))))</f>
        <v/>
      </c>
      <c r="R50">
        <f>IF(I50=0,0,(MIN(MAX((K50+N50),0),L50)*W50+SUMPRODUCT((Calc!$A$2:$A$1001=A50)*Calc!$G$2:$G$1001*((((K50+N50)-(L50+Calc!$J$2:$J$1001))&gt;0)*(((K50+N50)-(L50+Calc!$J$2:$J$1001))&lt;Calc!$F$2:$F$1001)*((K50+N50)-(L50+Calc!$J$2:$J$1001))+(((K50+N50)-(L50+Calc!$J$2:$J$1001))&gt;=Calc!$F$2:$F$1001)*Calc!$F$2:$F$1001))))</f>
        <v/>
      </c>
      <c r="S50">
        <f>IF(I50=0,0,(MIN(MAX((K50+O50),0),L50)*W50+SUMPRODUCT((Calc!$A$2:$A$1001=A50)*Calc!$G$2:$G$1001*((((K50+O50)-(L50+Calc!$J$2:$J$1001))&gt;0)*(((K50+O50)-(L50+Calc!$J$2:$J$1001))&lt;Calc!$F$2:$F$1001)*((K50+O50)-(L50+Calc!$J$2:$J$1001))+(((K50+O50)-(L50+Calc!$J$2:$J$1001))&gt;=Calc!$F$2:$F$1001)*Calc!$F$2:$F$1001))))</f>
        <v/>
      </c>
      <c r="T50">
        <f>IF(AND(E50=1,B50="RETURN"),Transactions!E50*Transactions!G50,0)</f>
        <v/>
      </c>
      <c r="U50">
        <f>IF(AND(E50=1,B50="EXPENSE"),Transactions!J50,0)</f>
        <v/>
      </c>
      <c r="V50">
        <f>IF(AND(Transactions!A50&lt;&gt;"",E50=0),ROW(),"")</f>
        <v/>
      </c>
      <c r="W50">
        <f>IFERROR(VLOOKUP(A50,Opening!$A:$D,4,0),0)</f>
        <v/>
      </c>
    </row>
    <row r="51">
      <c r="A51">
        <f>IF(Transactions!D51="","",UPPER(TRIM(Transactions!D51)))</f>
        <v/>
      </c>
      <c r="B51">
        <f>IF(Transactions!C51="","",UPPER(TRIM(Transactions!C51)))</f>
        <v/>
      </c>
      <c r="C51">
        <f>IF(Transactions!B51="",0,YEAR(Transactions!B51)*100+MONTH(Transactions!B51))</f>
        <v/>
      </c>
      <c r="D51">
        <f>IF(Transactions!A51="",1,IF(COUNTIF(Transactions!$A$1:A50,Transactions!A51)&gt;0,1,0))</f>
        <v/>
      </c>
      <c r="E51">
        <f>IF(D51=1,0,IF(B51="RETURN",IF(COUNTIFS($A$1:A50,A51,$B$1:B50,"SALE",$E$1:E50,1)&gt;0,1,0),1))</f>
        <v/>
      </c>
      <c r="F51">
        <f>IF(E51=1,IF(B51="RECEIPT",Transactions!E51,IF(AND(B51="RETURN",LOWER(TRIM(Transactions!H51))="resellable"),Transactions!E51,0)),0)</f>
        <v/>
      </c>
      <c r="G51">
        <f>IF(F51&gt;0,IF(B51="RECEIPT",Transactions!F51,IF(_xlfn.MAXIFS($H$2:H51,$A$2:A51,A51)&gt;0,INDEX(Transactions!$F:$F,_xlfn.MAXIFS($H$2:H51,$A$2:A51,A51)),W51)),0)</f>
        <v/>
      </c>
      <c r="H51">
        <f>IF(AND(E51=1,B51="RECEIPT"),ROW(),0)</f>
        <v/>
      </c>
      <c r="I51">
        <f>IF(E51=1,IF(OR(B51="SALE",B51="WRITEOFF"),Transactions!E51,0),0)</f>
        <v/>
      </c>
      <c r="J51">
        <f>SUMIFS($F$1:F50,$A$1:A50,A51)</f>
        <v/>
      </c>
      <c r="K51">
        <f>SUMIFS($I$1:I50,$A$1:A50,A51)</f>
        <v/>
      </c>
      <c r="L51">
        <f>IFERROR(VLOOKUP(A51,Opening!$A:$C,3,0),0)</f>
        <v/>
      </c>
      <c r="M51">
        <f>IF(I51=0,0,MAX(0,MIN(INDEX(Month!H$2:H$13,MATCH($A51,Month!$A$2:$A$13,0))-K51,I51)))</f>
        <v/>
      </c>
      <c r="N51">
        <f>IF(I51=0,0,MAX(0,MIN(INDEX(Month!I$2:I$13,MATCH($A51,Month!$A$2:$A$13,0))-K51,I51)))</f>
        <v/>
      </c>
      <c r="O51">
        <f>IF(I51=0,0,MAX(0,MIN(INDEX(Month!J$2:J$13,MATCH($A51,Month!$A$2:$A$13,0))-K51,I51)))</f>
        <v/>
      </c>
      <c r="P51">
        <f>IF(I51=0,0,(MIN(MAX(K51,0),L51)*W51+SUMPRODUCT((Calc!$A$2:$A$1001=A51)*Calc!$G$2:$G$1001*(((K51-(L51+Calc!$J$2:$J$1001))&gt;0)*((K51-(L51+Calc!$J$2:$J$1001))&lt;Calc!$F$2:$F$1001)*(K51-(L51+Calc!$J$2:$J$1001))+((K51-(L51+Calc!$J$2:$J$1001))&gt;=Calc!$F$2:$F$1001)*Calc!$F$2:$F$1001))))</f>
        <v/>
      </c>
      <c r="Q51">
        <f>IF(I51=0,0,(MIN(MAX((K51+M51),0),L51)*W51+SUMPRODUCT((Calc!$A$2:$A$1001=A51)*Calc!$G$2:$G$1001*((((K51+M51)-(L51+Calc!$J$2:$J$1001))&gt;0)*(((K51+M51)-(L51+Calc!$J$2:$J$1001))&lt;Calc!$F$2:$F$1001)*((K51+M51)-(L51+Calc!$J$2:$J$1001))+(((K51+M51)-(L51+Calc!$J$2:$J$1001))&gt;=Calc!$F$2:$F$1001)*Calc!$F$2:$F$1001))))</f>
        <v/>
      </c>
      <c r="R51">
        <f>IF(I51=0,0,(MIN(MAX((K51+N51),0),L51)*W51+SUMPRODUCT((Calc!$A$2:$A$1001=A51)*Calc!$G$2:$G$1001*((((K51+N51)-(L51+Calc!$J$2:$J$1001))&gt;0)*(((K51+N51)-(L51+Calc!$J$2:$J$1001))&lt;Calc!$F$2:$F$1001)*((K51+N51)-(L51+Calc!$J$2:$J$1001))+(((K51+N51)-(L51+Calc!$J$2:$J$1001))&gt;=Calc!$F$2:$F$1001)*Calc!$F$2:$F$1001))))</f>
        <v/>
      </c>
      <c r="S51">
        <f>IF(I51=0,0,(MIN(MAX((K51+O51),0),L51)*W51+SUMPRODUCT((Calc!$A$2:$A$1001=A51)*Calc!$G$2:$G$1001*((((K51+O51)-(L51+Calc!$J$2:$J$1001))&gt;0)*(((K51+O51)-(L51+Calc!$J$2:$J$1001))&lt;Calc!$F$2:$F$1001)*((K51+O51)-(L51+Calc!$J$2:$J$1001))+(((K51+O51)-(L51+Calc!$J$2:$J$1001))&gt;=Calc!$F$2:$F$1001)*Calc!$F$2:$F$1001))))</f>
        <v/>
      </c>
      <c r="T51">
        <f>IF(AND(E51=1,B51="RETURN"),Transactions!E51*Transactions!G51,0)</f>
        <v/>
      </c>
      <c r="U51">
        <f>IF(AND(E51=1,B51="EXPENSE"),Transactions!J51,0)</f>
        <v/>
      </c>
      <c r="V51">
        <f>IF(AND(Transactions!A51&lt;&gt;"",E51=0),ROW(),"")</f>
        <v/>
      </c>
      <c r="W51">
        <f>IFERROR(VLOOKUP(A51,Opening!$A:$D,4,0),0)</f>
        <v/>
      </c>
    </row>
    <row r="52">
      <c r="A52">
        <f>IF(Transactions!D52="","",UPPER(TRIM(Transactions!D52)))</f>
        <v/>
      </c>
      <c r="B52">
        <f>IF(Transactions!C52="","",UPPER(TRIM(Transactions!C52)))</f>
        <v/>
      </c>
      <c r="C52">
        <f>IF(Transactions!B52="",0,YEAR(Transactions!B52)*100+MONTH(Transactions!B52))</f>
        <v/>
      </c>
      <c r="D52">
        <f>IF(Transactions!A52="",1,IF(COUNTIF(Transactions!$A$1:A51,Transactions!A52)&gt;0,1,0))</f>
        <v/>
      </c>
      <c r="E52">
        <f>IF(D52=1,0,IF(B52="RETURN",IF(COUNTIFS($A$1:A51,A52,$B$1:B51,"SALE",$E$1:E51,1)&gt;0,1,0),1))</f>
        <v/>
      </c>
      <c r="F52">
        <f>IF(E52=1,IF(B52="RECEIPT",Transactions!E52,IF(AND(B52="RETURN",LOWER(TRIM(Transactions!H52))="resellable"),Transactions!E52,0)),0)</f>
        <v/>
      </c>
      <c r="G52">
        <f>IF(F52&gt;0,IF(B52="RECEIPT",Transactions!F52,IF(_xlfn.MAXIFS($H$2:H52,$A$2:A52,A52)&gt;0,INDEX(Transactions!$F:$F,_xlfn.MAXIFS($H$2:H52,$A$2:A52,A52)),W52)),0)</f>
        <v/>
      </c>
      <c r="H52">
        <f>IF(AND(E52=1,B52="RECEIPT"),ROW(),0)</f>
        <v/>
      </c>
      <c r="I52">
        <f>IF(E52=1,IF(OR(B52="SALE",B52="WRITEOFF"),Transactions!E52,0),0)</f>
        <v/>
      </c>
      <c r="J52">
        <f>SUMIFS($F$1:F51,$A$1:A51,A52)</f>
        <v/>
      </c>
      <c r="K52">
        <f>SUMIFS($I$1:I51,$A$1:A51,A52)</f>
        <v/>
      </c>
      <c r="L52">
        <f>IFERROR(VLOOKUP(A52,Opening!$A:$C,3,0),0)</f>
        <v/>
      </c>
      <c r="M52">
        <f>IF(I52=0,0,MAX(0,MIN(INDEX(Month!H$2:H$13,MATCH($A52,Month!$A$2:$A$13,0))-K52,I52)))</f>
        <v/>
      </c>
      <c r="N52">
        <f>IF(I52=0,0,MAX(0,MIN(INDEX(Month!I$2:I$13,MATCH($A52,Month!$A$2:$A$13,0))-K52,I52)))</f>
        <v/>
      </c>
      <c r="O52">
        <f>IF(I52=0,0,MAX(0,MIN(INDEX(Month!J$2:J$13,MATCH($A52,Month!$A$2:$A$13,0))-K52,I52)))</f>
        <v/>
      </c>
      <c r="P52">
        <f>IF(I52=0,0,(MIN(MAX(K52,0),L52)*W52+SUMPRODUCT((Calc!$A$2:$A$1001=A52)*Calc!$G$2:$G$1001*(((K52-(L52+Calc!$J$2:$J$1001))&gt;0)*((K52-(L52+Calc!$J$2:$J$1001))&lt;Calc!$F$2:$F$1001)*(K52-(L52+Calc!$J$2:$J$1001))+((K52-(L52+Calc!$J$2:$J$1001))&gt;=Calc!$F$2:$F$1001)*Calc!$F$2:$F$1001))))</f>
        <v/>
      </c>
      <c r="Q52">
        <f>IF(I52=0,0,(MIN(MAX((K52+M52),0),L52)*W52+SUMPRODUCT((Calc!$A$2:$A$1001=A52)*Calc!$G$2:$G$1001*((((K52+M52)-(L52+Calc!$J$2:$J$1001))&gt;0)*(((K52+M52)-(L52+Calc!$J$2:$J$1001))&lt;Calc!$F$2:$F$1001)*((K52+M52)-(L52+Calc!$J$2:$J$1001))+(((K52+M52)-(L52+Calc!$J$2:$J$1001))&gt;=Calc!$F$2:$F$1001)*Calc!$F$2:$F$1001))))</f>
        <v/>
      </c>
      <c r="R52">
        <f>IF(I52=0,0,(MIN(MAX((K52+N52),0),L52)*W52+SUMPRODUCT((Calc!$A$2:$A$1001=A52)*Calc!$G$2:$G$1001*((((K52+N52)-(L52+Calc!$J$2:$J$1001))&gt;0)*(((K52+N52)-(L52+Calc!$J$2:$J$1001))&lt;Calc!$F$2:$F$1001)*((K52+N52)-(L52+Calc!$J$2:$J$1001))+(((K52+N52)-(L52+Calc!$J$2:$J$1001))&gt;=Calc!$F$2:$F$1001)*Calc!$F$2:$F$1001))))</f>
        <v/>
      </c>
      <c r="S52">
        <f>IF(I52=0,0,(MIN(MAX((K52+O52),0),L52)*W52+SUMPRODUCT((Calc!$A$2:$A$1001=A52)*Calc!$G$2:$G$1001*((((K52+O52)-(L52+Calc!$J$2:$J$1001))&gt;0)*(((K52+O52)-(L52+Calc!$J$2:$J$1001))&lt;Calc!$F$2:$F$1001)*((K52+O52)-(L52+Calc!$J$2:$J$1001))+(((K52+O52)-(L52+Calc!$J$2:$J$1001))&gt;=Calc!$F$2:$F$1001)*Calc!$F$2:$F$1001))))</f>
        <v/>
      </c>
      <c r="T52">
        <f>IF(AND(E52=1,B52="RETURN"),Transactions!E52*Transactions!G52,0)</f>
        <v/>
      </c>
      <c r="U52">
        <f>IF(AND(E52=1,B52="EXPENSE"),Transactions!J52,0)</f>
        <v/>
      </c>
      <c r="V52">
        <f>IF(AND(Transactions!A52&lt;&gt;"",E52=0),ROW(),"")</f>
        <v/>
      </c>
      <c r="W52">
        <f>IFERROR(VLOOKUP(A52,Opening!$A:$D,4,0),0)</f>
        <v/>
      </c>
    </row>
    <row r="53">
      <c r="A53">
        <f>IF(Transactions!D53="","",UPPER(TRIM(Transactions!D53)))</f>
        <v/>
      </c>
      <c r="B53">
        <f>IF(Transactions!C53="","",UPPER(TRIM(Transactions!C53)))</f>
        <v/>
      </c>
      <c r="C53">
        <f>IF(Transactions!B53="",0,YEAR(Transactions!B53)*100+MONTH(Transactions!B53))</f>
        <v/>
      </c>
      <c r="D53">
        <f>IF(Transactions!A53="",1,IF(COUNTIF(Transactions!$A$1:A52,Transactions!A53)&gt;0,1,0))</f>
        <v/>
      </c>
      <c r="E53">
        <f>IF(D53=1,0,IF(B53="RETURN",IF(COUNTIFS($A$1:A52,A53,$B$1:B52,"SALE",$E$1:E52,1)&gt;0,1,0),1))</f>
        <v/>
      </c>
      <c r="F53">
        <f>IF(E53=1,IF(B53="RECEIPT",Transactions!E53,IF(AND(B53="RETURN",LOWER(TRIM(Transactions!H53))="resellable"),Transactions!E53,0)),0)</f>
        <v/>
      </c>
      <c r="G53">
        <f>IF(F53&gt;0,IF(B53="RECEIPT",Transactions!F53,IF(_xlfn.MAXIFS($H$2:H53,$A$2:A53,A53)&gt;0,INDEX(Transactions!$F:$F,_xlfn.MAXIFS($H$2:H53,$A$2:A53,A53)),W53)),0)</f>
        <v/>
      </c>
      <c r="H53">
        <f>IF(AND(E53=1,B53="RECEIPT"),ROW(),0)</f>
        <v/>
      </c>
      <c r="I53">
        <f>IF(E53=1,IF(OR(B53="SALE",B53="WRITEOFF"),Transactions!E53,0),0)</f>
        <v/>
      </c>
      <c r="J53">
        <f>SUMIFS($F$1:F52,$A$1:A52,A53)</f>
        <v/>
      </c>
      <c r="K53">
        <f>SUMIFS($I$1:I52,$A$1:A52,A53)</f>
        <v/>
      </c>
      <c r="L53">
        <f>IFERROR(VLOOKUP(A53,Opening!$A:$C,3,0),0)</f>
        <v/>
      </c>
      <c r="M53">
        <f>IF(I53=0,0,MAX(0,MIN(INDEX(Month!H$2:H$13,MATCH($A53,Month!$A$2:$A$13,0))-K53,I53)))</f>
        <v/>
      </c>
      <c r="N53">
        <f>IF(I53=0,0,MAX(0,MIN(INDEX(Month!I$2:I$13,MATCH($A53,Month!$A$2:$A$13,0))-K53,I53)))</f>
        <v/>
      </c>
      <c r="O53">
        <f>IF(I53=0,0,MAX(0,MIN(INDEX(Month!J$2:J$13,MATCH($A53,Month!$A$2:$A$13,0))-K53,I53)))</f>
        <v/>
      </c>
      <c r="P53">
        <f>IF(I53=0,0,(MIN(MAX(K53,0),L53)*W53+SUMPRODUCT((Calc!$A$2:$A$1001=A53)*Calc!$G$2:$G$1001*(((K53-(L53+Calc!$J$2:$J$1001))&gt;0)*((K53-(L53+Calc!$J$2:$J$1001))&lt;Calc!$F$2:$F$1001)*(K53-(L53+Calc!$J$2:$J$1001))+((K53-(L53+Calc!$J$2:$J$1001))&gt;=Calc!$F$2:$F$1001)*Calc!$F$2:$F$1001))))</f>
        <v/>
      </c>
      <c r="Q53">
        <f>IF(I53=0,0,(MIN(MAX((K53+M53),0),L53)*W53+SUMPRODUCT((Calc!$A$2:$A$1001=A53)*Calc!$G$2:$G$1001*((((K53+M53)-(L53+Calc!$J$2:$J$1001))&gt;0)*(((K53+M53)-(L53+Calc!$J$2:$J$1001))&lt;Calc!$F$2:$F$1001)*((K53+M53)-(L53+Calc!$J$2:$J$1001))+(((K53+M53)-(L53+Calc!$J$2:$J$1001))&gt;=Calc!$F$2:$F$1001)*Calc!$F$2:$F$1001))))</f>
        <v/>
      </c>
      <c r="R53">
        <f>IF(I53=0,0,(MIN(MAX((K53+N53),0),L53)*W53+SUMPRODUCT((Calc!$A$2:$A$1001=A53)*Calc!$G$2:$G$1001*((((K53+N53)-(L53+Calc!$J$2:$J$1001))&gt;0)*(((K53+N53)-(L53+Calc!$J$2:$J$1001))&lt;Calc!$F$2:$F$1001)*((K53+N53)-(L53+Calc!$J$2:$J$1001))+(((K53+N53)-(L53+Calc!$J$2:$J$1001))&gt;=Calc!$F$2:$F$1001)*Calc!$F$2:$F$1001))))</f>
        <v/>
      </c>
      <c r="S53">
        <f>IF(I53=0,0,(MIN(MAX((K53+O53),0),L53)*W53+SUMPRODUCT((Calc!$A$2:$A$1001=A53)*Calc!$G$2:$G$1001*((((K53+O53)-(L53+Calc!$J$2:$J$1001))&gt;0)*(((K53+O53)-(L53+Calc!$J$2:$J$1001))&lt;Calc!$F$2:$F$1001)*((K53+O53)-(L53+Calc!$J$2:$J$1001))+(((K53+O53)-(L53+Calc!$J$2:$J$1001))&gt;=Calc!$F$2:$F$1001)*Calc!$F$2:$F$1001))))</f>
        <v/>
      </c>
      <c r="T53">
        <f>IF(AND(E53=1,B53="RETURN"),Transactions!E53*Transactions!G53,0)</f>
        <v/>
      </c>
      <c r="U53">
        <f>IF(AND(E53=1,B53="EXPENSE"),Transactions!J53,0)</f>
        <v/>
      </c>
      <c r="V53">
        <f>IF(AND(Transactions!A53&lt;&gt;"",E53=0),ROW(),"")</f>
        <v/>
      </c>
      <c r="W53">
        <f>IFERROR(VLOOKUP(A53,Opening!$A:$D,4,0),0)</f>
        <v/>
      </c>
    </row>
    <row r="54">
      <c r="A54">
        <f>IF(Transactions!D54="","",UPPER(TRIM(Transactions!D54)))</f>
        <v/>
      </c>
      <c r="B54">
        <f>IF(Transactions!C54="","",UPPER(TRIM(Transactions!C54)))</f>
        <v/>
      </c>
      <c r="C54">
        <f>IF(Transactions!B54="",0,YEAR(Transactions!B54)*100+MONTH(Transactions!B54))</f>
        <v/>
      </c>
      <c r="D54">
        <f>IF(Transactions!A54="",1,IF(COUNTIF(Transactions!$A$1:A53,Transactions!A54)&gt;0,1,0))</f>
        <v/>
      </c>
      <c r="E54">
        <f>IF(D54=1,0,IF(B54="RETURN",IF(COUNTIFS($A$1:A53,A54,$B$1:B53,"SALE",$E$1:E53,1)&gt;0,1,0),1))</f>
        <v/>
      </c>
      <c r="F54">
        <f>IF(E54=1,IF(B54="RECEIPT",Transactions!E54,IF(AND(B54="RETURN",LOWER(TRIM(Transactions!H54))="resellable"),Transactions!E54,0)),0)</f>
        <v/>
      </c>
      <c r="G54">
        <f>IF(F54&gt;0,IF(B54="RECEIPT",Transactions!F54,IF(_xlfn.MAXIFS($H$2:H54,$A$2:A54,A54)&gt;0,INDEX(Transactions!$F:$F,_xlfn.MAXIFS($H$2:H54,$A$2:A54,A54)),W54)),0)</f>
        <v/>
      </c>
      <c r="H54">
        <f>IF(AND(E54=1,B54="RECEIPT"),ROW(),0)</f>
        <v/>
      </c>
      <c r="I54">
        <f>IF(E54=1,IF(OR(B54="SALE",B54="WRITEOFF"),Transactions!E54,0),0)</f>
        <v/>
      </c>
      <c r="J54">
        <f>SUMIFS($F$1:F53,$A$1:A53,A54)</f>
        <v/>
      </c>
      <c r="K54">
        <f>SUMIFS($I$1:I53,$A$1:A53,A54)</f>
        <v/>
      </c>
      <c r="L54">
        <f>IFERROR(VLOOKUP(A54,Opening!$A:$C,3,0),0)</f>
        <v/>
      </c>
      <c r="M54">
        <f>IF(I54=0,0,MAX(0,MIN(INDEX(Month!H$2:H$13,MATCH($A54,Month!$A$2:$A$13,0))-K54,I54)))</f>
        <v/>
      </c>
      <c r="N54">
        <f>IF(I54=0,0,MAX(0,MIN(INDEX(Month!I$2:I$13,MATCH($A54,Month!$A$2:$A$13,0))-K54,I54)))</f>
        <v/>
      </c>
      <c r="O54">
        <f>IF(I54=0,0,MAX(0,MIN(INDEX(Month!J$2:J$13,MATCH($A54,Month!$A$2:$A$13,0))-K54,I54)))</f>
        <v/>
      </c>
      <c r="P54">
        <f>IF(I54=0,0,(MIN(MAX(K54,0),L54)*W54+SUMPRODUCT((Calc!$A$2:$A$1001=A54)*Calc!$G$2:$G$1001*(((K54-(L54+Calc!$J$2:$J$1001))&gt;0)*((K54-(L54+Calc!$J$2:$J$1001))&lt;Calc!$F$2:$F$1001)*(K54-(L54+Calc!$J$2:$J$1001))+((K54-(L54+Calc!$J$2:$J$1001))&gt;=Calc!$F$2:$F$1001)*Calc!$F$2:$F$1001))))</f>
        <v/>
      </c>
      <c r="Q54">
        <f>IF(I54=0,0,(MIN(MAX((K54+M54),0),L54)*W54+SUMPRODUCT((Calc!$A$2:$A$1001=A54)*Calc!$G$2:$G$1001*((((K54+M54)-(L54+Calc!$J$2:$J$1001))&gt;0)*(((K54+M54)-(L54+Calc!$J$2:$J$1001))&lt;Calc!$F$2:$F$1001)*((K54+M54)-(L54+Calc!$J$2:$J$1001))+(((K54+M54)-(L54+Calc!$J$2:$J$1001))&gt;=Calc!$F$2:$F$1001)*Calc!$F$2:$F$1001))))</f>
        <v/>
      </c>
      <c r="R54">
        <f>IF(I54=0,0,(MIN(MAX((K54+N54),0),L54)*W54+SUMPRODUCT((Calc!$A$2:$A$1001=A54)*Calc!$G$2:$G$1001*((((K54+N54)-(L54+Calc!$J$2:$J$1001))&gt;0)*(((K54+N54)-(L54+Calc!$J$2:$J$1001))&lt;Calc!$F$2:$F$1001)*((K54+N54)-(L54+Calc!$J$2:$J$1001))+(((K54+N54)-(L54+Calc!$J$2:$J$1001))&gt;=Calc!$F$2:$F$1001)*Calc!$F$2:$F$1001))))</f>
        <v/>
      </c>
      <c r="S54">
        <f>IF(I54=0,0,(MIN(MAX((K54+O54),0),L54)*W54+SUMPRODUCT((Calc!$A$2:$A$1001=A54)*Calc!$G$2:$G$1001*((((K54+O54)-(L54+Calc!$J$2:$J$1001))&gt;0)*(((K54+O54)-(L54+Calc!$J$2:$J$1001))&lt;Calc!$F$2:$F$1001)*((K54+O54)-(L54+Calc!$J$2:$J$1001))+(((K54+O54)-(L54+Calc!$J$2:$J$1001))&gt;=Calc!$F$2:$F$1001)*Calc!$F$2:$F$1001))))</f>
        <v/>
      </c>
      <c r="T54">
        <f>IF(AND(E54=1,B54="RETURN"),Transactions!E54*Transactions!G54,0)</f>
        <v/>
      </c>
      <c r="U54">
        <f>IF(AND(E54=1,B54="EXPENSE"),Transactions!J54,0)</f>
        <v/>
      </c>
      <c r="V54">
        <f>IF(AND(Transactions!A54&lt;&gt;"",E54=0),ROW(),"")</f>
        <v/>
      </c>
      <c r="W54">
        <f>IFERROR(VLOOKUP(A54,Opening!$A:$D,4,0),0)</f>
        <v/>
      </c>
    </row>
    <row r="55">
      <c r="A55">
        <f>IF(Transactions!D55="","",UPPER(TRIM(Transactions!D55)))</f>
        <v/>
      </c>
      <c r="B55">
        <f>IF(Transactions!C55="","",UPPER(TRIM(Transactions!C55)))</f>
        <v/>
      </c>
      <c r="C55">
        <f>IF(Transactions!B55="",0,YEAR(Transactions!B55)*100+MONTH(Transactions!B55))</f>
        <v/>
      </c>
      <c r="D55">
        <f>IF(Transactions!A55="",1,IF(COUNTIF(Transactions!$A$1:A54,Transactions!A55)&gt;0,1,0))</f>
        <v/>
      </c>
      <c r="E55">
        <f>IF(D55=1,0,IF(B55="RETURN",IF(COUNTIFS($A$1:A54,A55,$B$1:B54,"SALE",$E$1:E54,1)&gt;0,1,0),1))</f>
        <v/>
      </c>
      <c r="F55">
        <f>IF(E55=1,IF(B55="RECEIPT",Transactions!E55,IF(AND(B55="RETURN",LOWER(TRIM(Transactions!H55))="resellable"),Transactions!E55,0)),0)</f>
        <v/>
      </c>
      <c r="G55">
        <f>IF(F55&gt;0,IF(B55="RECEIPT",Transactions!F55,IF(_xlfn.MAXIFS($H$2:H55,$A$2:A55,A55)&gt;0,INDEX(Transactions!$F:$F,_xlfn.MAXIFS($H$2:H55,$A$2:A55,A55)),W55)),0)</f>
        <v/>
      </c>
      <c r="H55">
        <f>IF(AND(E55=1,B55="RECEIPT"),ROW(),0)</f>
        <v/>
      </c>
      <c r="I55">
        <f>IF(E55=1,IF(OR(B55="SALE",B55="WRITEOFF"),Transactions!E55,0),0)</f>
        <v/>
      </c>
      <c r="J55">
        <f>SUMIFS($F$1:F54,$A$1:A54,A55)</f>
        <v/>
      </c>
      <c r="K55">
        <f>SUMIFS($I$1:I54,$A$1:A54,A55)</f>
        <v/>
      </c>
      <c r="L55">
        <f>IFERROR(VLOOKUP(A55,Opening!$A:$C,3,0),0)</f>
        <v/>
      </c>
      <c r="M55">
        <f>IF(I55=0,0,MAX(0,MIN(INDEX(Month!H$2:H$13,MATCH($A55,Month!$A$2:$A$13,0))-K55,I55)))</f>
        <v/>
      </c>
      <c r="N55">
        <f>IF(I55=0,0,MAX(0,MIN(INDEX(Month!I$2:I$13,MATCH($A55,Month!$A$2:$A$13,0))-K55,I55)))</f>
        <v/>
      </c>
      <c r="O55">
        <f>IF(I55=0,0,MAX(0,MIN(INDEX(Month!J$2:J$13,MATCH($A55,Month!$A$2:$A$13,0))-K55,I55)))</f>
        <v/>
      </c>
      <c r="P55">
        <f>IF(I55=0,0,(MIN(MAX(K55,0),L55)*W55+SUMPRODUCT((Calc!$A$2:$A$1001=A55)*Calc!$G$2:$G$1001*(((K55-(L55+Calc!$J$2:$J$1001))&gt;0)*((K55-(L55+Calc!$J$2:$J$1001))&lt;Calc!$F$2:$F$1001)*(K55-(L55+Calc!$J$2:$J$1001))+((K55-(L55+Calc!$J$2:$J$1001))&gt;=Calc!$F$2:$F$1001)*Calc!$F$2:$F$1001))))</f>
        <v/>
      </c>
      <c r="Q55">
        <f>IF(I55=0,0,(MIN(MAX((K55+M55),0),L55)*W55+SUMPRODUCT((Calc!$A$2:$A$1001=A55)*Calc!$G$2:$G$1001*((((K55+M55)-(L55+Calc!$J$2:$J$1001))&gt;0)*(((K55+M55)-(L55+Calc!$J$2:$J$1001))&lt;Calc!$F$2:$F$1001)*((K55+M55)-(L55+Calc!$J$2:$J$1001))+(((K55+M55)-(L55+Calc!$J$2:$J$1001))&gt;=Calc!$F$2:$F$1001)*Calc!$F$2:$F$1001))))</f>
        <v/>
      </c>
      <c r="R55">
        <f>IF(I55=0,0,(MIN(MAX((K55+N55),0),L55)*W55+SUMPRODUCT((Calc!$A$2:$A$1001=A55)*Calc!$G$2:$G$1001*((((K55+N55)-(L55+Calc!$J$2:$J$1001))&gt;0)*(((K55+N55)-(L55+Calc!$J$2:$J$1001))&lt;Calc!$F$2:$F$1001)*((K55+N55)-(L55+Calc!$J$2:$J$1001))+(((K55+N55)-(L55+Calc!$J$2:$J$1001))&gt;=Calc!$F$2:$F$1001)*Calc!$F$2:$F$1001))))</f>
        <v/>
      </c>
      <c r="S55">
        <f>IF(I55=0,0,(MIN(MAX((K55+O55),0),L55)*W55+SUMPRODUCT((Calc!$A$2:$A$1001=A55)*Calc!$G$2:$G$1001*((((K55+O55)-(L55+Calc!$J$2:$J$1001))&gt;0)*(((K55+O55)-(L55+Calc!$J$2:$J$1001))&lt;Calc!$F$2:$F$1001)*((K55+O55)-(L55+Calc!$J$2:$J$1001))+(((K55+O55)-(L55+Calc!$J$2:$J$1001))&gt;=Calc!$F$2:$F$1001)*Calc!$F$2:$F$1001))))</f>
        <v/>
      </c>
      <c r="T55">
        <f>IF(AND(E55=1,B55="RETURN"),Transactions!E55*Transactions!G55,0)</f>
        <v/>
      </c>
      <c r="U55">
        <f>IF(AND(E55=1,B55="EXPENSE"),Transactions!J55,0)</f>
        <v/>
      </c>
      <c r="V55">
        <f>IF(AND(Transactions!A55&lt;&gt;"",E55=0),ROW(),"")</f>
        <v/>
      </c>
      <c r="W55">
        <f>IFERROR(VLOOKUP(A55,Opening!$A:$D,4,0),0)</f>
        <v/>
      </c>
    </row>
    <row r="56">
      <c r="A56">
        <f>IF(Transactions!D56="","",UPPER(TRIM(Transactions!D56)))</f>
        <v/>
      </c>
      <c r="B56">
        <f>IF(Transactions!C56="","",UPPER(TRIM(Transactions!C56)))</f>
        <v/>
      </c>
      <c r="C56">
        <f>IF(Transactions!B56="",0,YEAR(Transactions!B56)*100+MONTH(Transactions!B56))</f>
        <v/>
      </c>
      <c r="D56">
        <f>IF(Transactions!A56="",1,IF(COUNTIF(Transactions!$A$1:A55,Transactions!A56)&gt;0,1,0))</f>
        <v/>
      </c>
      <c r="E56">
        <f>IF(D56=1,0,IF(B56="RETURN",IF(COUNTIFS($A$1:A55,A56,$B$1:B55,"SALE",$E$1:E55,1)&gt;0,1,0),1))</f>
        <v/>
      </c>
      <c r="F56">
        <f>IF(E56=1,IF(B56="RECEIPT",Transactions!E56,IF(AND(B56="RETURN",LOWER(TRIM(Transactions!H56))="resellable"),Transactions!E56,0)),0)</f>
        <v/>
      </c>
      <c r="G56">
        <f>IF(F56&gt;0,IF(B56="RECEIPT",Transactions!F56,IF(_xlfn.MAXIFS($H$2:H56,$A$2:A56,A56)&gt;0,INDEX(Transactions!$F:$F,_xlfn.MAXIFS($H$2:H56,$A$2:A56,A56)),W56)),0)</f>
        <v/>
      </c>
      <c r="H56">
        <f>IF(AND(E56=1,B56="RECEIPT"),ROW(),0)</f>
        <v/>
      </c>
      <c r="I56">
        <f>IF(E56=1,IF(OR(B56="SALE",B56="WRITEOFF"),Transactions!E56,0),0)</f>
        <v/>
      </c>
      <c r="J56">
        <f>SUMIFS($F$1:F55,$A$1:A55,A56)</f>
        <v/>
      </c>
      <c r="K56">
        <f>SUMIFS($I$1:I55,$A$1:A55,A56)</f>
        <v/>
      </c>
      <c r="L56">
        <f>IFERROR(VLOOKUP(A56,Opening!$A:$C,3,0),0)</f>
        <v/>
      </c>
      <c r="M56">
        <f>IF(I56=0,0,MAX(0,MIN(INDEX(Month!H$2:H$13,MATCH($A56,Month!$A$2:$A$13,0))-K56,I56)))</f>
        <v/>
      </c>
      <c r="N56">
        <f>IF(I56=0,0,MAX(0,MIN(INDEX(Month!I$2:I$13,MATCH($A56,Month!$A$2:$A$13,0))-K56,I56)))</f>
        <v/>
      </c>
      <c r="O56">
        <f>IF(I56=0,0,MAX(0,MIN(INDEX(Month!J$2:J$13,MATCH($A56,Month!$A$2:$A$13,0))-K56,I56)))</f>
        <v/>
      </c>
      <c r="P56">
        <f>IF(I56=0,0,(MIN(MAX(K56,0),L56)*W56+SUMPRODUCT((Calc!$A$2:$A$1001=A56)*Calc!$G$2:$G$1001*(((K56-(L56+Calc!$J$2:$J$1001))&gt;0)*((K56-(L56+Calc!$J$2:$J$1001))&lt;Calc!$F$2:$F$1001)*(K56-(L56+Calc!$J$2:$J$1001))+((K56-(L56+Calc!$J$2:$J$1001))&gt;=Calc!$F$2:$F$1001)*Calc!$F$2:$F$1001))))</f>
        <v/>
      </c>
      <c r="Q56">
        <f>IF(I56=0,0,(MIN(MAX((K56+M56),0),L56)*W56+SUMPRODUCT((Calc!$A$2:$A$1001=A56)*Calc!$G$2:$G$1001*((((K56+M56)-(L56+Calc!$J$2:$J$1001))&gt;0)*(((K56+M56)-(L56+Calc!$J$2:$J$1001))&lt;Calc!$F$2:$F$1001)*((K56+M56)-(L56+Calc!$J$2:$J$1001))+(((K56+M56)-(L56+Calc!$J$2:$J$1001))&gt;=Calc!$F$2:$F$1001)*Calc!$F$2:$F$1001))))</f>
        <v/>
      </c>
      <c r="R56">
        <f>IF(I56=0,0,(MIN(MAX((K56+N56),0),L56)*W56+SUMPRODUCT((Calc!$A$2:$A$1001=A56)*Calc!$G$2:$G$1001*((((K56+N56)-(L56+Calc!$J$2:$J$1001))&gt;0)*(((K56+N56)-(L56+Calc!$J$2:$J$1001))&lt;Calc!$F$2:$F$1001)*((K56+N56)-(L56+Calc!$J$2:$J$1001))+(((K56+N56)-(L56+Calc!$J$2:$J$1001))&gt;=Calc!$F$2:$F$1001)*Calc!$F$2:$F$1001))))</f>
        <v/>
      </c>
      <c r="S56">
        <f>IF(I56=0,0,(MIN(MAX((K56+O56),0),L56)*W56+SUMPRODUCT((Calc!$A$2:$A$1001=A56)*Calc!$G$2:$G$1001*((((K56+O56)-(L56+Calc!$J$2:$J$1001))&gt;0)*(((K56+O56)-(L56+Calc!$J$2:$J$1001))&lt;Calc!$F$2:$F$1001)*((K56+O56)-(L56+Calc!$J$2:$J$1001))+(((K56+O56)-(L56+Calc!$J$2:$J$1001))&gt;=Calc!$F$2:$F$1001)*Calc!$F$2:$F$1001))))</f>
        <v/>
      </c>
      <c r="T56">
        <f>IF(AND(E56=1,B56="RETURN"),Transactions!E56*Transactions!G56,0)</f>
        <v/>
      </c>
      <c r="U56">
        <f>IF(AND(E56=1,B56="EXPENSE"),Transactions!J56,0)</f>
        <v/>
      </c>
      <c r="V56">
        <f>IF(AND(Transactions!A56&lt;&gt;"",E56=0),ROW(),"")</f>
        <v/>
      </c>
      <c r="W56">
        <f>IFERROR(VLOOKUP(A56,Opening!$A:$D,4,0),0)</f>
        <v/>
      </c>
    </row>
    <row r="57">
      <c r="A57">
        <f>IF(Transactions!D57="","",UPPER(TRIM(Transactions!D57)))</f>
        <v/>
      </c>
      <c r="B57">
        <f>IF(Transactions!C57="","",UPPER(TRIM(Transactions!C57)))</f>
        <v/>
      </c>
      <c r="C57">
        <f>IF(Transactions!B57="",0,YEAR(Transactions!B57)*100+MONTH(Transactions!B57))</f>
        <v/>
      </c>
      <c r="D57">
        <f>IF(Transactions!A57="",1,IF(COUNTIF(Transactions!$A$1:A56,Transactions!A57)&gt;0,1,0))</f>
        <v/>
      </c>
      <c r="E57">
        <f>IF(D57=1,0,IF(B57="RETURN",IF(COUNTIFS($A$1:A56,A57,$B$1:B56,"SALE",$E$1:E56,1)&gt;0,1,0),1))</f>
        <v/>
      </c>
      <c r="F57">
        <f>IF(E57=1,IF(B57="RECEIPT",Transactions!E57,IF(AND(B57="RETURN",LOWER(TRIM(Transactions!H57))="resellable"),Transactions!E57,0)),0)</f>
        <v/>
      </c>
      <c r="G57">
        <f>IF(F57&gt;0,IF(B57="RECEIPT",Transactions!F57,IF(_xlfn.MAXIFS($H$2:H57,$A$2:A57,A57)&gt;0,INDEX(Transactions!$F:$F,_xlfn.MAXIFS($H$2:H57,$A$2:A57,A57)),W57)),0)</f>
        <v/>
      </c>
      <c r="H57">
        <f>IF(AND(E57=1,B57="RECEIPT"),ROW(),0)</f>
        <v/>
      </c>
      <c r="I57">
        <f>IF(E57=1,IF(OR(B57="SALE",B57="WRITEOFF"),Transactions!E57,0),0)</f>
        <v/>
      </c>
      <c r="J57">
        <f>SUMIFS($F$1:F56,$A$1:A56,A57)</f>
        <v/>
      </c>
      <c r="K57">
        <f>SUMIFS($I$1:I56,$A$1:A56,A57)</f>
        <v/>
      </c>
      <c r="L57">
        <f>IFERROR(VLOOKUP(A57,Opening!$A:$C,3,0),0)</f>
        <v/>
      </c>
      <c r="M57">
        <f>IF(I57=0,0,MAX(0,MIN(INDEX(Month!H$2:H$13,MATCH($A57,Month!$A$2:$A$13,0))-K57,I57)))</f>
        <v/>
      </c>
      <c r="N57">
        <f>IF(I57=0,0,MAX(0,MIN(INDEX(Month!I$2:I$13,MATCH($A57,Month!$A$2:$A$13,0))-K57,I57)))</f>
        <v/>
      </c>
      <c r="O57">
        <f>IF(I57=0,0,MAX(0,MIN(INDEX(Month!J$2:J$13,MATCH($A57,Month!$A$2:$A$13,0))-K57,I57)))</f>
        <v/>
      </c>
      <c r="P57">
        <f>IF(I57=0,0,(MIN(MAX(K57,0),L57)*W57+SUMPRODUCT((Calc!$A$2:$A$1001=A57)*Calc!$G$2:$G$1001*(((K57-(L57+Calc!$J$2:$J$1001))&gt;0)*((K57-(L57+Calc!$J$2:$J$1001))&lt;Calc!$F$2:$F$1001)*(K57-(L57+Calc!$J$2:$J$1001))+((K57-(L57+Calc!$J$2:$J$1001))&gt;=Calc!$F$2:$F$1001)*Calc!$F$2:$F$1001))))</f>
        <v/>
      </c>
      <c r="Q57">
        <f>IF(I57=0,0,(MIN(MAX((K57+M57),0),L57)*W57+SUMPRODUCT((Calc!$A$2:$A$1001=A57)*Calc!$G$2:$G$1001*((((K57+M57)-(L57+Calc!$J$2:$J$1001))&gt;0)*(((K57+M57)-(L57+Calc!$J$2:$J$1001))&lt;Calc!$F$2:$F$1001)*((K57+M57)-(L57+Calc!$J$2:$J$1001))+(((K57+M57)-(L57+Calc!$J$2:$J$1001))&gt;=Calc!$F$2:$F$1001)*Calc!$F$2:$F$1001))))</f>
        <v/>
      </c>
      <c r="R57">
        <f>IF(I57=0,0,(MIN(MAX((K57+N57),0),L57)*W57+SUMPRODUCT((Calc!$A$2:$A$1001=A57)*Calc!$G$2:$G$1001*((((K57+N57)-(L57+Calc!$J$2:$J$1001))&gt;0)*(((K57+N57)-(L57+Calc!$J$2:$J$1001))&lt;Calc!$F$2:$F$1001)*((K57+N57)-(L57+Calc!$J$2:$J$1001))+(((K57+N57)-(L57+Calc!$J$2:$J$1001))&gt;=Calc!$F$2:$F$1001)*Calc!$F$2:$F$1001))))</f>
        <v/>
      </c>
      <c r="S57">
        <f>IF(I57=0,0,(MIN(MAX((K57+O57),0),L57)*W57+SUMPRODUCT((Calc!$A$2:$A$1001=A57)*Calc!$G$2:$G$1001*((((K57+O57)-(L57+Calc!$J$2:$J$1001))&gt;0)*(((K57+O57)-(L57+Calc!$J$2:$J$1001))&lt;Calc!$F$2:$F$1001)*((K57+O57)-(L57+Calc!$J$2:$J$1001))+(((K57+O57)-(L57+Calc!$J$2:$J$1001))&gt;=Calc!$F$2:$F$1001)*Calc!$F$2:$F$1001))))</f>
        <v/>
      </c>
      <c r="T57">
        <f>IF(AND(E57=1,B57="RETURN"),Transactions!E57*Transactions!G57,0)</f>
        <v/>
      </c>
      <c r="U57">
        <f>IF(AND(E57=1,B57="EXPENSE"),Transactions!J57,0)</f>
        <v/>
      </c>
      <c r="V57">
        <f>IF(AND(Transactions!A57&lt;&gt;"",E57=0),ROW(),"")</f>
        <v/>
      </c>
      <c r="W57">
        <f>IFERROR(VLOOKUP(A57,Opening!$A:$D,4,0),0)</f>
        <v/>
      </c>
    </row>
    <row r="58">
      <c r="A58">
        <f>IF(Transactions!D58="","",UPPER(TRIM(Transactions!D58)))</f>
        <v/>
      </c>
      <c r="B58">
        <f>IF(Transactions!C58="","",UPPER(TRIM(Transactions!C58)))</f>
        <v/>
      </c>
      <c r="C58">
        <f>IF(Transactions!B58="",0,YEAR(Transactions!B58)*100+MONTH(Transactions!B58))</f>
        <v/>
      </c>
      <c r="D58">
        <f>IF(Transactions!A58="",1,IF(COUNTIF(Transactions!$A$1:A57,Transactions!A58)&gt;0,1,0))</f>
        <v/>
      </c>
      <c r="E58">
        <f>IF(D58=1,0,IF(B58="RETURN",IF(COUNTIFS($A$1:A57,A58,$B$1:B57,"SALE",$E$1:E57,1)&gt;0,1,0),1))</f>
        <v/>
      </c>
      <c r="F58">
        <f>IF(E58=1,IF(B58="RECEIPT",Transactions!E58,IF(AND(B58="RETURN",LOWER(TRIM(Transactions!H58))="resellable"),Transactions!E58,0)),0)</f>
        <v/>
      </c>
      <c r="G58">
        <f>IF(F58&gt;0,IF(B58="RECEIPT",Transactions!F58,IF(_xlfn.MAXIFS($H$2:H58,$A$2:A58,A58)&gt;0,INDEX(Transactions!$F:$F,_xlfn.MAXIFS($H$2:H58,$A$2:A58,A58)),W58)),0)</f>
        <v/>
      </c>
      <c r="H58">
        <f>IF(AND(E58=1,B58="RECEIPT"),ROW(),0)</f>
        <v/>
      </c>
      <c r="I58">
        <f>IF(E58=1,IF(OR(B58="SALE",B58="WRITEOFF"),Transactions!E58,0),0)</f>
        <v/>
      </c>
      <c r="J58">
        <f>SUMIFS($F$1:F57,$A$1:A57,A58)</f>
        <v/>
      </c>
      <c r="K58">
        <f>SUMIFS($I$1:I57,$A$1:A57,A58)</f>
        <v/>
      </c>
      <c r="L58">
        <f>IFERROR(VLOOKUP(A58,Opening!$A:$C,3,0),0)</f>
        <v/>
      </c>
      <c r="M58">
        <f>IF(I58=0,0,MAX(0,MIN(INDEX(Month!H$2:H$13,MATCH($A58,Month!$A$2:$A$13,0))-K58,I58)))</f>
        <v/>
      </c>
      <c r="N58">
        <f>IF(I58=0,0,MAX(0,MIN(INDEX(Month!I$2:I$13,MATCH($A58,Month!$A$2:$A$13,0))-K58,I58)))</f>
        <v/>
      </c>
      <c r="O58">
        <f>IF(I58=0,0,MAX(0,MIN(INDEX(Month!J$2:J$13,MATCH($A58,Month!$A$2:$A$13,0))-K58,I58)))</f>
        <v/>
      </c>
      <c r="P58">
        <f>IF(I58=0,0,(MIN(MAX(K58,0),L58)*W58+SUMPRODUCT((Calc!$A$2:$A$1001=A58)*Calc!$G$2:$G$1001*(((K58-(L58+Calc!$J$2:$J$1001))&gt;0)*((K58-(L58+Calc!$J$2:$J$1001))&lt;Calc!$F$2:$F$1001)*(K58-(L58+Calc!$J$2:$J$1001))+((K58-(L58+Calc!$J$2:$J$1001))&gt;=Calc!$F$2:$F$1001)*Calc!$F$2:$F$1001))))</f>
        <v/>
      </c>
      <c r="Q58">
        <f>IF(I58=0,0,(MIN(MAX((K58+M58),0),L58)*W58+SUMPRODUCT((Calc!$A$2:$A$1001=A58)*Calc!$G$2:$G$1001*((((K58+M58)-(L58+Calc!$J$2:$J$1001))&gt;0)*(((K58+M58)-(L58+Calc!$J$2:$J$1001))&lt;Calc!$F$2:$F$1001)*((K58+M58)-(L58+Calc!$J$2:$J$1001))+(((K58+M58)-(L58+Calc!$J$2:$J$1001))&gt;=Calc!$F$2:$F$1001)*Calc!$F$2:$F$1001))))</f>
        <v/>
      </c>
      <c r="R58">
        <f>IF(I58=0,0,(MIN(MAX((K58+N58),0),L58)*W58+SUMPRODUCT((Calc!$A$2:$A$1001=A58)*Calc!$G$2:$G$1001*((((K58+N58)-(L58+Calc!$J$2:$J$1001))&gt;0)*(((K58+N58)-(L58+Calc!$J$2:$J$1001))&lt;Calc!$F$2:$F$1001)*((K58+N58)-(L58+Calc!$J$2:$J$1001))+(((K58+N58)-(L58+Calc!$J$2:$J$1001))&gt;=Calc!$F$2:$F$1001)*Calc!$F$2:$F$1001))))</f>
        <v/>
      </c>
      <c r="S58">
        <f>IF(I58=0,0,(MIN(MAX((K58+O58),0),L58)*W58+SUMPRODUCT((Calc!$A$2:$A$1001=A58)*Calc!$G$2:$G$1001*((((K58+O58)-(L58+Calc!$J$2:$J$1001))&gt;0)*(((K58+O58)-(L58+Calc!$J$2:$J$1001))&lt;Calc!$F$2:$F$1001)*((K58+O58)-(L58+Calc!$J$2:$J$1001))+(((K58+O58)-(L58+Calc!$J$2:$J$1001))&gt;=Calc!$F$2:$F$1001)*Calc!$F$2:$F$1001))))</f>
        <v/>
      </c>
      <c r="T58">
        <f>IF(AND(E58=1,B58="RETURN"),Transactions!E58*Transactions!G58,0)</f>
        <v/>
      </c>
      <c r="U58">
        <f>IF(AND(E58=1,B58="EXPENSE"),Transactions!J58,0)</f>
        <v/>
      </c>
      <c r="V58">
        <f>IF(AND(Transactions!A58&lt;&gt;"",E58=0),ROW(),"")</f>
        <v/>
      </c>
      <c r="W58">
        <f>IFERROR(VLOOKUP(A58,Opening!$A:$D,4,0),0)</f>
        <v/>
      </c>
    </row>
    <row r="59">
      <c r="A59">
        <f>IF(Transactions!D59="","",UPPER(TRIM(Transactions!D59)))</f>
        <v/>
      </c>
      <c r="B59">
        <f>IF(Transactions!C59="","",UPPER(TRIM(Transactions!C59)))</f>
        <v/>
      </c>
      <c r="C59">
        <f>IF(Transactions!B59="",0,YEAR(Transactions!B59)*100+MONTH(Transactions!B59))</f>
        <v/>
      </c>
      <c r="D59">
        <f>IF(Transactions!A59="",1,IF(COUNTIF(Transactions!$A$1:A58,Transactions!A59)&gt;0,1,0))</f>
        <v/>
      </c>
      <c r="E59">
        <f>IF(D59=1,0,IF(B59="RETURN",IF(COUNTIFS($A$1:A58,A59,$B$1:B58,"SALE",$E$1:E58,1)&gt;0,1,0),1))</f>
        <v/>
      </c>
      <c r="F59">
        <f>IF(E59=1,IF(B59="RECEIPT",Transactions!E59,IF(AND(B59="RETURN",LOWER(TRIM(Transactions!H59))="resellable"),Transactions!E59,0)),0)</f>
        <v/>
      </c>
      <c r="G59">
        <f>IF(F59&gt;0,IF(B59="RECEIPT",Transactions!F59,IF(_xlfn.MAXIFS($H$2:H59,$A$2:A59,A59)&gt;0,INDEX(Transactions!$F:$F,_xlfn.MAXIFS($H$2:H59,$A$2:A59,A59)),W59)),0)</f>
        <v/>
      </c>
      <c r="H59">
        <f>IF(AND(E59=1,B59="RECEIPT"),ROW(),0)</f>
        <v/>
      </c>
      <c r="I59">
        <f>IF(E59=1,IF(OR(B59="SALE",B59="WRITEOFF"),Transactions!E59,0),0)</f>
        <v/>
      </c>
      <c r="J59">
        <f>SUMIFS($F$1:F58,$A$1:A58,A59)</f>
        <v/>
      </c>
      <c r="K59">
        <f>SUMIFS($I$1:I58,$A$1:A58,A59)</f>
        <v/>
      </c>
      <c r="L59">
        <f>IFERROR(VLOOKUP(A59,Opening!$A:$C,3,0),0)</f>
        <v/>
      </c>
      <c r="M59">
        <f>IF(I59=0,0,MAX(0,MIN(INDEX(Month!H$2:H$13,MATCH($A59,Month!$A$2:$A$13,0))-K59,I59)))</f>
        <v/>
      </c>
      <c r="N59">
        <f>IF(I59=0,0,MAX(0,MIN(INDEX(Month!I$2:I$13,MATCH($A59,Month!$A$2:$A$13,0))-K59,I59)))</f>
        <v/>
      </c>
      <c r="O59">
        <f>IF(I59=0,0,MAX(0,MIN(INDEX(Month!J$2:J$13,MATCH($A59,Month!$A$2:$A$13,0))-K59,I59)))</f>
        <v/>
      </c>
      <c r="P59">
        <f>IF(I59=0,0,(MIN(MAX(K59,0),L59)*W59+SUMPRODUCT((Calc!$A$2:$A$1001=A59)*Calc!$G$2:$G$1001*(((K59-(L59+Calc!$J$2:$J$1001))&gt;0)*((K59-(L59+Calc!$J$2:$J$1001))&lt;Calc!$F$2:$F$1001)*(K59-(L59+Calc!$J$2:$J$1001))+((K59-(L59+Calc!$J$2:$J$1001))&gt;=Calc!$F$2:$F$1001)*Calc!$F$2:$F$1001))))</f>
        <v/>
      </c>
      <c r="Q59">
        <f>IF(I59=0,0,(MIN(MAX((K59+M59),0),L59)*W59+SUMPRODUCT((Calc!$A$2:$A$1001=A59)*Calc!$G$2:$G$1001*((((K59+M59)-(L59+Calc!$J$2:$J$1001))&gt;0)*(((K59+M59)-(L59+Calc!$J$2:$J$1001))&lt;Calc!$F$2:$F$1001)*((K59+M59)-(L59+Calc!$J$2:$J$1001))+(((K59+M59)-(L59+Calc!$J$2:$J$1001))&gt;=Calc!$F$2:$F$1001)*Calc!$F$2:$F$1001))))</f>
        <v/>
      </c>
      <c r="R59">
        <f>IF(I59=0,0,(MIN(MAX((K59+N59),0),L59)*W59+SUMPRODUCT((Calc!$A$2:$A$1001=A59)*Calc!$G$2:$G$1001*((((K59+N59)-(L59+Calc!$J$2:$J$1001))&gt;0)*(((K59+N59)-(L59+Calc!$J$2:$J$1001))&lt;Calc!$F$2:$F$1001)*((K59+N59)-(L59+Calc!$J$2:$J$1001))+(((K59+N59)-(L59+Calc!$J$2:$J$1001))&gt;=Calc!$F$2:$F$1001)*Calc!$F$2:$F$1001))))</f>
        <v/>
      </c>
      <c r="S59">
        <f>IF(I59=0,0,(MIN(MAX((K59+O59),0),L59)*W59+SUMPRODUCT((Calc!$A$2:$A$1001=A59)*Calc!$G$2:$G$1001*((((K59+O59)-(L59+Calc!$J$2:$J$1001))&gt;0)*(((K59+O59)-(L59+Calc!$J$2:$J$1001))&lt;Calc!$F$2:$F$1001)*((K59+O59)-(L59+Calc!$J$2:$J$1001))+(((K59+O59)-(L59+Calc!$J$2:$J$1001))&gt;=Calc!$F$2:$F$1001)*Calc!$F$2:$F$1001))))</f>
        <v/>
      </c>
      <c r="T59">
        <f>IF(AND(E59=1,B59="RETURN"),Transactions!E59*Transactions!G59,0)</f>
        <v/>
      </c>
      <c r="U59">
        <f>IF(AND(E59=1,B59="EXPENSE"),Transactions!J59,0)</f>
        <v/>
      </c>
      <c r="V59">
        <f>IF(AND(Transactions!A59&lt;&gt;"",E59=0),ROW(),"")</f>
        <v/>
      </c>
      <c r="W59">
        <f>IFERROR(VLOOKUP(A59,Opening!$A:$D,4,0),0)</f>
        <v/>
      </c>
    </row>
    <row r="60">
      <c r="A60">
        <f>IF(Transactions!D60="","",UPPER(TRIM(Transactions!D60)))</f>
        <v/>
      </c>
      <c r="B60">
        <f>IF(Transactions!C60="","",UPPER(TRIM(Transactions!C60)))</f>
        <v/>
      </c>
      <c r="C60">
        <f>IF(Transactions!B60="",0,YEAR(Transactions!B60)*100+MONTH(Transactions!B60))</f>
        <v/>
      </c>
      <c r="D60">
        <f>IF(Transactions!A60="",1,IF(COUNTIF(Transactions!$A$1:A59,Transactions!A60)&gt;0,1,0))</f>
        <v/>
      </c>
      <c r="E60">
        <f>IF(D60=1,0,IF(B60="RETURN",IF(COUNTIFS($A$1:A59,A60,$B$1:B59,"SALE",$E$1:E59,1)&gt;0,1,0),1))</f>
        <v/>
      </c>
      <c r="F60">
        <f>IF(E60=1,IF(B60="RECEIPT",Transactions!E60,IF(AND(B60="RETURN",LOWER(TRIM(Transactions!H60))="resellable"),Transactions!E60,0)),0)</f>
        <v/>
      </c>
      <c r="G60">
        <f>IF(F60&gt;0,IF(B60="RECEIPT",Transactions!F60,IF(_xlfn.MAXIFS($H$2:H60,$A$2:A60,A60)&gt;0,INDEX(Transactions!$F:$F,_xlfn.MAXIFS($H$2:H60,$A$2:A60,A60)),W60)),0)</f>
        <v/>
      </c>
      <c r="H60">
        <f>IF(AND(E60=1,B60="RECEIPT"),ROW(),0)</f>
        <v/>
      </c>
      <c r="I60">
        <f>IF(E60=1,IF(OR(B60="SALE",B60="WRITEOFF"),Transactions!E60,0),0)</f>
        <v/>
      </c>
      <c r="J60">
        <f>SUMIFS($F$1:F59,$A$1:A59,A60)</f>
        <v/>
      </c>
      <c r="K60">
        <f>SUMIFS($I$1:I59,$A$1:A59,A60)</f>
        <v/>
      </c>
      <c r="L60">
        <f>IFERROR(VLOOKUP(A60,Opening!$A:$C,3,0),0)</f>
        <v/>
      </c>
      <c r="M60">
        <f>IF(I60=0,0,MAX(0,MIN(INDEX(Month!H$2:H$13,MATCH($A60,Month!$A$2:$A$13,0))-K60,I60)))</f>
        <v/>
      </c>
      <c r="N60">
        <f>IF(I60=0,0,MAX(0,MIN(INDEX(Month!I$2:I$13,MATCH($A60,Month!$A$2:$A$13,0))-K60,I60)))</f>
        <v/>
      </c>
      <c r="O60">
        <f>IF(I60=0,0,MAX(0,MIN(INDEX(Month!J$2:J$13,MATCH($A60,Month!$A$2:$A$13,0))-K60,I60)))</f>
        <v/>
      </c>
      <c r="P60">
        <f>IF(I60=0,0,(MIN(MAX(K60,0),L60)*W60+SUMPRODUCT((Calc!$A$2:$A$1001=A60)*Calc!$G$2:$G$1001*(((K60-(L60+Calc!$J$2:$J$1001))&gt;0)*((K60-(L60+Calc!$J$2:$J$1001))&lt;Calc!$F$2:$F$1001)*(K60-(L60+Calc!$J$2:$J$1001))+((K60-(L60+Calc!$J$2:$J$1001))&gt;=Calc!$F$2:$F$1001)*Calc!$F$2:$F$1001))))</f>
        <v/>
      </c>
      <c r="Q60">
        <f>IF(I60=0,0,(MIN(MAX((K60+M60),0),L60)*W60+SUMPRODUCT((Calc!$A$2:$A$1001=A60)*Calc!$G$2:$G$1001*((((K60+M60)-(L60+Calc!$J$2:$J$1001))&gt;0)*(((K60+M60)-(L60+Calc!$J$2:$J$1001))&lt;Calc!$F$2:$F$1001)*((K60+M60)-(L60+Calc!$J$2:$J$1001))+(((K60+M60)-(L60+Calc!$J$2:$J$1001))&gt;=Calc!$F$2:$F$1001)*Calc!$F$2:$F$1001))))</f>
        <v/>
      </c>
      <c r="R60">
        <f>IF(I60=0,0,(MIN(MAX((K60+N60),0),L60)*W60+SUMPRODUCT((Calc!$A$2:$A$1001=A60)*Calc!$G$2:$G$1001*((((K60+N60)-(L60+Calc!$J$2:$J$1001))&gt;0)*(((K60+N60)-(L60+Calc!$J$2:$J$1001))&lt;Calc!$F$2:$F$1001)*((K60+N60)-(L60+Calc!$J$2:$J$1001))+(((K60+N60)-(L60+Calc!$J$2:$J$1001))&gt;=Calc!$F$2:$F$1001)*Calc!$F$2:$F$1001))))</f>
        <v/>
      </c>
      <c r="S60">
        <f>IF(I60=0,0,(MIN(MAX((K60+O60),0),L60)*W60+SUMPRODUCT((Calc!$A$2:$A$1001=A60)*Calc!$G$2:$G$1001*((((K60+O60)-(L60+Calc!$J$2:$J$1001))&gt;0)*(((K60+O60)-(L60+Calc!$J$2:$J$1001))&lt;Calc!$F$2:$F$1001)*((K60+O60)-(L60+Calc!$J$2:$J$1001))+(((K60+O60)-(L60+Calc!$J$2:$J$1001))&gt;=Calc!$F$2:$F$1001)*Calc!$F$2:$F$1001))))</f>
        <v/>
      </c>
      <c r="T60">
        <f>IF(AND(E60=1,B60="RETURN"),Transactions!E60*Transactions!G60,0)</f>
        <v/>
      </c>
      <c r="U60">
        <f>IF(AND(E60=1,B60="EXPENSE"),Transactions!J60,0)</f>
        <v/>
      </c>
      <c r="V60">
        <f>IF(AND(Transactions!A60&lt;&gt;"",E60=0),ROW(),"")</f>
        <v/>
      </c>
      <c r="W60">
        <f>IFERROR(VLOOKUP(A60,Opening!$A:$D,4,0),0)</f>
        <v/>
      </c>
    </row>
    <row r="61">
      <c r="A61">
        <f>IF(Transactions!D61="","",UPPER(TRIM(Transactions!D61)))</f>
        <v/>
      </c>
      <c r="B61">
        <f>IF(Transactions!C61="","",UPPER(TRIM(Transactions!C61)))</f>
        <v/>
      </c>
      <c r="C61">
        <f>IF(Transactions!B61="",0,YEAR(Transactions!B61)*100+MONTH(Transactions!B61))</f>
        <v/>
      </c>
      <c r="D61">
        <f>IF(Transactions!A61="",1,IF(COUNTIF(Transactions!$A$1:A60,Transactions!A61)&gt;0,1,0))</f>
        <v/>
      </c>
      <c r="E61">
        <f>IF(D61=1,0,IF(B61="RETURN",IF(COUNTIFS($A$1:A60,A61,$B$1:B60,"SALE",$E$1:E60,1)&gt;0,1,0),1))</f>
        <v/>
      </c>
      <c r="F61">
        <f>IF(E61=1,IF(B61="RECEIPT",Transactions!E61,IF(AND(B61="RETURN",LOWER(TRIM(Transactions!H61))="resellable"),Transactions!E61,0)),0)</f>
        <v/>
      </c>
      <c r="G61">
        <f>IF(F61&gt;0,IF(B61="RECEIPT",Transactions!F61,IF(_xlfn.MAXIFS($H$2:H61,$A$2:A61,A61)&gt;0,INDEX(Transactions!$F:$F,_xlfn.MAXIFS($H$2:H61,$A$2:A61,A61)),W61)),0)</f>
        <v/>
      </c>
      <c r="H61">
        <f>IF(AND(E61=1,B61="RECEIPT"),ROW(),0)</f>
        <v/>
      </c>
      <c r="I61">
        <f>IF(E61=1,IF(OR(B61="SALE",B61="WRITEOFF"),Transactions!E61,0),0)</f>
        <v/>
      </c>
      <c r="J61">
        <f>SUMIFS($F$1:F60,$A$1:A60,A61)</f>
        <v/>
      </c>
      <c r="K61">
        <f>SUMIFS($I$1:I60,$A$1:A60,A61)</f>
        <v/>
      </c>
      <c r="L61">
        <f>IFERROR(VLOOKUP(A61,Opening!$A:$C,3,0),0)</f>
        <v/>
      </c>
      <c r="M61">
        <f>IF(I61=0,0,MAX(0,MIN(INDEX(Month!H$2:H$13,MATCH($A61,Month!$A$2:$A$13,0))-K61,I61)))</f>
        <v/>
      </c>
      <c r="N61">
        <f>IF(I61=0,0,MAX(0,MIN(INDEX(Month!I$2:I$13,MATCH($A61,Month!$A$2:$A$13,0))-K61,I61)))</f>
        <v/>
      </c>
      <c r="O61">
        <f>IF(I61=0,0,MAX(0,MIN(INDEX(Month!J$2:J$13,MATCH($A61,Month!$A$2:$A$13,0))-K61,I61)))</f>
        <v/>
      </c>
      <c r="P61">
        <f>IF(I61=0,0,(MIN(MAX(K61,0),L61)*W61+SUMPRODUCT((Calc!$A$2:$A$1001=A61)*Calc!$G$2:$G$1001*(((K61-(L61+Calc!$J$2:$J$1001))&gt;0)*((K61-(L61+Calc!$J$2:$J$1001))&lt;Calc!$F$2:$F$1001)*(K61-(L61+Calc!$J$2:$J$1001))+((K61-(L61+Calc!$J$2:$J$1001))&gt;=Calc!$F$2:$F$1001)*Calc!$F$2:$F$1001))))</f>
        <v/>
      </c>
      <c r="Q61">
        <f>IF(I61=0,0,(MIN(MAX((K61+M61),0),L61)*W61+SUMPRODUCT((Calc!$A$2:$A$1001=A61)*Calc!$G$2:$G$1001*((((K61+M61)-(L61+Calc!$J$2:$J$1001))&gt;0)*(((K61+M61)-(L61+Calc!$J$2:$J$1001))&lt;Calc!$F$2:$F$1001)*((K61+M61)-(L61+Calc!$J$2:$J$1001))+(((K61+M61)-(L61+Calc!$J$2:$J$1001))&gt;=Calc!$F$2:$F$1001)*Calc!$F$2:$F$1001))))</f>
        <v/>
      </c>
      <c r="R61">
        <f>IF(I61=0,0,(MIN(MAX((K61+N61),0),L61)*W61+SUMPRODUCT((Calc!$A$2:$A$1001=A61)*Calc!$G$2:$G$1001*((((K61+N61)-(L61+Calc!$J$2:$J$1001))&gt;0)*(((K61+N61)-(L61+Calc!$J$2:$J$1001))&lt;Calc!$F$2:$F$1001)*((K61+N61)-(L61+Calc!$J$2:$J$1001))+(((K61+N61)-(L61+Calc!$J$2:$J$1001))&gt;=Calc!$F$2:$F$1001)*Calc!$F$2:$F$1001))))</f>
        <v/>
      </c>
      <c r="S61">
        <f>IF(I61=0,0,(MIN(MAX((K61+O61),0),L61)*W61+SUMPRODUCT((Calc!$A$2:$A$1001=A61)*Calc!$G$2:$G$1001*((((K61+O61)-(L61+Calc!$J$2:$J$1001))&gt;0)*(((K61+O61)-(L61+Calc!$J$2:$J$1001))&lt;Calc!$F$2:$F$1001)*((K61+O61)-(L61+Calc!$J$2:$J$1001))+(((K61+O61)-(L61+Calc!$J$2:$J$1001))&gt;=Calc!$F$2:$F$1001)*Calc!$F$2:$F$1001))))</f>
        <v/>
      </c>
      <c r="T61">
        <f>IF(AND(E61=1,B61="RETURN"),Transactions!E61*Transactions!G61,0)</f>
        <v/>
      </c>
      <c r="U61">
        <f>IF(AND(E61=1,B61="EXPENSE"),Transactions!J61,0)</f>
        <v/>
      </c>
      <c r="V61">
        <f>IF(AND(Transactions!A61&lt;&gt;"",E61=0),ROW(),"")</f>
        <v/>
      </c>
      <c r="W61">
        <f>IFERROR(VLOOKUP(A61,Opening!$A:$D,4,0),0)</f>
        <v/>
      </c>
    </row>
    <row r="62">
      <c r="A62">
        <f>IF(Transactions!D62="","",UPPER(TRIM(Transactions!D62)))</f>
        <v/>
      </c>
      <c r="B62">
        <f>IF(Transactions!C62="","",UPPER(TRIM(Transactions!C62)))</f>
        <v/>
      </c>
      <c r="C62">
        <f>IF(Transactions!B62="",0,YEAR(Transactions!B62)*100+MONTH(Transactions!B62))</f>
        <v/>
      </c>
      <c r="D62">
        <f>IF(Transactions!A62="",1,IF(COUNTIF(Transactions!$A$1:A61,Transactions!A62)&gt;0,1,0))</f>
        <v/>
      </c>
      <c r="E62">
        <f>IF(D62=1,0,IF(B62="RETURN",IF(COUNTIFS($A$1:A61,A62,$B$1:B61,"SALE",$E$1:E61,1)&gt;0,1,0),1))</f>
        <v/>
      </c>
      <c r="F62">
        <f>IF(E62=1,IF(B62="RECEIPT",Transactions!E62,IF(AND(B62="RETURN",LOWER(TRIM(Transactions!H62))="resellable"),Transactions!E62,0)),0)</f>
        <v/>
      </c>
      <c r="G62">
        <f>IF(F62&gt;0,IF(B62="RECEIPT",Transactions!F62,IF(_xlfn.MAXIFS($H$2:H62,$A$2:A62,A62)&gt;0,INDEX(Transactions!$F:$F,_xlfn.MAXIFS($H$2:H62,$A$2:A62,A62)),W62)),0)</f>
        <v/>
      </c>
      <c r="H62">
        <f>IF(AND(E62=1,B62="RECEIPT"),ROW(),0)</f>
        <v/>
      </c>
      <c r="I62">
        <f>IF(E62=1,IF(OR(B62="SALE",B62="WRITEOFF"),Transactions!E62,0),0)</f>
        <v/>
      </c>
      <c r="J62">
        <f>SUMIFS($F$1:F61,$A$1:A61,A62)</f>
        <v/>
      </c>
      <c r="K62">
        <f>SUMIFS($I$1:I61,$A$1:A61,A62)</f>
        <v/>
      </c>
      <c r="L62">
        <f>IFERROR(VLOOKUP(A62,Opening!$A:$C,3,0),0)</f>
        <v/>
      </c>
      <c r="M62">
        <f>IF(I62=0,0,MAX(0,MIN(INDEX(Month!H$2:H$13,MATCH($A62,Month!$A$2:$A$13,0))-K62,I62)))</f>
        <v/>
      </c>
      <c r="N62">
        <f>IF(I62=0,0,MAX(0,MIN(INDEX(Month!I$2:I$13,MATCH($A62,Month!$A$2:$A$13,0))-K62,I62)))</f>
        <v/>
      </c>
      <c r="O62">
        <f>IF(I62=0,0,MAX(0,MIN(INDEX(Month!J$2:J$13,MATCH($A62,Month!$A$2:$A$13,0))-K62,I62)))</f>
        <v/>
      </c>
      <c r="P62">
        <f>IF(I62=0,0,(MIN(MAX(K62,0),L62)*W62+SUMPRODUCT((Calc!$A$2:$A$1001=A62)*Calc!$G$2:$G$1001*(((K62-(L62+Calc!$J$2:$J$1001))&gt;0)*((K62-(L62+Calc!$J$2:$J$1001))&lt;Calc!$F$2:$F$1001)*(K62-(L62+Calc!$J$2:$J$1001))+((K62-(L62+Calc!$J$2:$J$1001))&gt;=Calc!$F$2:$F$1001)*Calc!$F$2:$F$1001))))</f>
        <v/>
      </c>
      <c r="Q62">
        <f>IF(I62=0,0,(MIN(MAX((K62+M62),0),L62)*W62+SUMPRODUCT((Calc!$A$2:$A$1001=A62)*Calc!$G$2:$G$1001*((((K62+M62)-(L62+Calc!$J$2:$J$1001))&gt;0)*(((K62+M62)-(L62+Calc!$J$2:$J$1001))&lt;Calc!$F$2:$F$1001)*((K62+M62)-(L62+Calc!$J$2:$J$1001))+(((K62+M62)-(L62+Calc!$J$2:$J$1001))&gt;=Calc!$F$2:$F$1001)*Calc!$F$2:$F$1001))))</f>
        <v/>
      </c>
      <c r="R62">
        <f>IF(I62=0,0,(MIN(MAX((K62+N62),0),L62)*W62+SUMPRODUCT((Calc!$A$2:$A$1001=A62)*Calc!$G$2:$G$1001*((((K62+N62)-(L62+Calc!$J$2:$J$1001))&gt;0)*(((K62+N62)-(L62+Calc!$J$2:$J$1001))&lt;Calc!$F$2:$F$1001)*((K62+N62)-(L62+Calc!$J$2:$J$1001))+(((K62+N62)-(L62+Calc!$J$2:$J$1001))&gt;=Calc!$F$2:$F$1001)*Calc!$F$2:$F$1001))))</f>
        <v/>
      </c>
      <c r="S62">
        <f>IF(I62=0,0,(MIN(MAX((K62+O62),0),L62)*W62+SUMPRODUCT((Calc!$A$2:$A$1001=A62)*Calc!$G$2:$G$1001*((((K62+O62)-(L62+Calc!$J$2:$J$1001))&gt;0)*(((K62+O62)-(L62+Calc!$J$2:$J$1001))&lt;Calc!$F$2:$F$1001)*((K62+O62)-(L62+Calc!$J$2:$J$1001))+(((K62+O62)-(L62+Calc!$J$2:$J$1001))&gt;=Calc!$F$2:$F$1001)*Calc!$F$2:$F$1001))))</f>
        <v/>
      </c>
      <c r="T62">
        <f>IF(AND(E62=1,B62="RETURN"),Transactions!E62*Transactions!G62,0)</f>
        <v/>
      </c>
      <c r="U62">
        <f>IF(AND(E62=1,B62="EXPENSE"),Transactions!J62,0)</f>
        <v/>
      </c>
      <c r="V62">
        <f>IF(AND(Transactions!A62&lt;&gt;"",E62=0),ROW(),"")</f>
        <v/>
      </c>
      <c r="W62">
        <f>IFERROR(VLOOKUP(A62,Opening!$A:$D,4,0),0)</f>
        <v/>
      </c>
    </row>
    <row r="63">
      <c r="A63">
        <f>IF(Transactions!D63="","",UPPER(TRIM(Transactions!D63)))</f>
        <v/>
      </c>
      <c r="B63">
        <f>IF(Transactions!C63="","",UPPER(TRIM(Transactions!C63)))</f>
        <v/>
      </c>
      <c r="C63">
        <f>IF(Transactions!B63="",0,YEAR(Transactions!B63)*100+MONTH(Transactions!B63))</f>
        <v/>
      </c>
      <c r="D63">
        <f>IF(Transactions!A63="",1,IF(COUNTIF(Transactions!$A$1:A62,Transactions!A63)&gt;0,1,0))</f>
        <v/>
      </c>
      <c r="E63">
        <f>IF(D63=1,0,IF(B63="RETURN",IF(COUNTIFS($A$1:A62,A63,$B$1:B62,"SALE",$E$1:E62,1)&gt;0,1,0),1))</f>
        <v/>
      </c>
      <c r="F63">
        <f>IF(E63=1,IF(B63="RECEIPT",Transactions!E63,IF(AND(B63="RETURN",LOWER(TRIM(Transactions!H63))="resellable"),Transactions!E63,0)),0)</f>
        <v/>
      </c>
      <c r="G63">
        <f>IF(F63&gt;0,IF(B63="RECEIPT",Transactions!F63,IF(_xlfn.MAXIFS($H$2:H63,$A$2:A63,A63)&gt;0,INDEX(Transactions!$F:$F,_xlfn.MAXIFS($H$2:H63,$A$2:A63,A63)),W63)),0)</f>
        <v/>
      </c>
      <c r="H63">
        <f>IF(AND(E63=1,B63="RECEIPT"),ROW(),0)</f>
        <v/>
      </c>
      <c r="I63">
        <f>IF(E63=1,IF(OR(B63="SALE",B63="WRITEOFF"),Transactions!E63,0),0)</f>
        <v/>
      </c>
      <c r="J63">
        <f>SUMIFS($F$1:F62,$A$1:A62,A63)</f>
        <v/>
      </c>
      <c r="K63">
        <f>SUMIFS($I$1:I62,$A$1:A62,A63)</f>
        <v/>
      </c>
      <c r="L63">
        <f>IFERROR(VLOOKUP(A63,Opening!$A:$C,3,0),0)</f>
        <v/>
      </c>
      <c r="M63">
        <f>IF(I63=0,0,MAX(0,MIN(INDEX(Month!H$2:H$13,MATCH($A63,Month!$A$2:$A$13,0))-K63,I63)))</f>
        <v/>
      </c>
      <c r="N63">
        <f>IF(I63=0,0,MAX(0,MIN(INDEX(Month!I$2:I$13,MATCH($A63,Month!$A$2:$A$13,0))-K63,I63)))</f>
        <v/>
      </c>
      <c r="O63">
        <f>IF(I63=0,0,MAX(0,MIN(INDEX(Month!J$2:J$13,MATCH($A63,Month!$A$2:$A$13,0))-K63,I63)))</f>
        <v/>
      </c>
      <c r="P63">
        <f>IF(I63=0,0,(MIN(MAX(K63,0),L63)*W63+SUMPRODUCT((Calc!$A$2:$A$1001=A63)*Calc!$G$2:$G$1001*(((K63-(L63+Calc!$J$2:$J$1001))&gt;0)*((K63-(L63+Calc!$J$2:$J$1001))&lt;Calc!$F$2:$F$1001)*(K63-(L63+Calc!$J$2:$J$1001))+((K63-(L63+Calc!$J$2:$J$1001))&gt;=Calc!$F$2:$F$1001)*Calc!$F$2:$F$1001))))</f>
        <v/>
      </c>
      <c r="Q63">
        <f>IF(I63=0,0,(MIN(MAX((K63+M63),0),L63)*W63+SUMPRODUCT((Calc!$A$2:$A$1001=A63)*Calc!$G$2:$G$1001*((((K63+M63)-(L63+Calc!$J$2:$J$1001))&gt;0)*(((K63+M63)-(L63+Calc!$J$2:$J$1001))&lt;Calc!$F$2:$F$1001)*((K63+M63)-(L63+Calc!$J$2:$J$1001))+(((K63+M63)-(L63+Calc!$J$2:$J$1001))&gt;=Calc!$F$2:$F$1001)*Calc!$F$2:$F$1001))))</f>
        <v/>
      </c>
      <c r="R63">
        <f>IF(I63=0,0,(MIN(MAX((K63+N63),0),L63)*W63+SUMPRODUCT((Calc!$A$2:$A$1001=A63)*Calc!$G$2:$G$1001*((((K63+N63)-(L63+Calc!$J$2:$J$1001))&gt;0)*(((K63+N63)-(L63+Calc!$J$2:$J$1001))&lt;Calc!$F$2:$F$1001)*((K63+N63)-(L63+Calc!$J$2:$J$1001))+(((K63+N63)-(L63+Calc!$J$2:$J$1001))&gt;=Calc!$F$2:$F$1001)*Calc!$F$2:$F$1001))))</f>
        <v/>
      </c>
      <c r="S63">
        <f>IF(I63=0,0,(MIN(MAX((K63+O63),0),L63)*W63+SUMPRODUCT((Calc!$A$2:$A$1001=A63)*Calc!$G$2:$G$1001*((((K63+O63)-(L63+Calc!$J$2:$J$1001))&gt;0)*(((K63+O63)-(L63+Calc!$J$2:$J$1001))&lt;Calc!$F$2:$F$1001)*((K63+O63)-(L63+Calc!$J$2:$J$1001))+(((K63+O63)-(L63+Calc!$J$2:$J$1001))&gt;=Calc!$F$2:$F$1001)*Calc!$F$2:$F$1001))))</f>
        <v/>
      </c>
      <c r="T63">
        <f>IF(AND(E63=1,B63="RETURN"),Transactions!E63*Transactions!G63,0)</f>
        <v/>
      </c>
      <c r="U63">
        <f>IF(AND(E63=1,B63="EXPENSE"),Transactions!J63,0)</f>
        <v/>
      </c>
      <c r="V63">
        <f>IF(AND(Transactions!A63&lt;&gt;"",E63=0),ROW(),"")</f>
        <v/>
      </c>
      <c r="W63">
        <f>IFERROR(VLOOKUP(A63,Opening!$A:$D,4,0),0)</f>
        <v/>
      </c>
    </row>
    <row r="64">
      <c r="A64">
        <f>IF(Transactions!D64="","",UPPER(TRIM(Transactions!D64)))</f>
        <v/>
      </c>
      <c r="B64">
        <f>IF(Transactions!C64="","",UPPER(TRIM(Transactions!C64)))</f>
        <v/>
      </c>
      <c r="C64">
        <f>IF(Transactions!B64="",0,YEAR(Transactions!B64)*100+MONTH(Transactions!B64))</f>
        <v/>
      </c>
      <c r="D64">
        <f>IF(Transactions!A64="",1,IF(COUNTIF(Transactions!$A$1:A63,Transactions!A64)&gt;0,1,0))</f>
        <v/>
      </c>
      <c r="E64">
        <f>IF(D64=1,0,IF(B64="RETURN",IF(COUNTIFS($A$1:A63,A64,$B$1:B63,"SALE",$E$1:E63,1)&gt;0,1,0),1))</f>
        <v/>
      </c>
      <c r="F64">
        <f>IF(E64=1,IF(B64="RECEIPT",Transactions!E64,IF(AND(B64="RETURN",LOWER(TRIM(Transactions!H64))="resellable"),Transactions!E64,0)),0)</f>
        <v/>
      </c>
      <c r="G64">
        <f>IF(F64&gt;0,IF(B64="RECEIPT",Transactions!F64,IF(_xlfn.MAXIFS($H$2:H64,$A$2:A64,A64)&gt;0,INDEX(Transactions!$F:$F,_xlfn.MAXIFS($H$2:H64,$A$2:A64,A64)),W64)),0)</f>
        <v/>
      </c>
      <c r="H64">
        <f>IF(AND(E64=1,B64="RECEIPT"),ROW(),0)</f>
        <v/>
      </c>
      <c r="I64">
        <f>IF(E64=1,IF(OR(B64="SALE",B64="WRITEOFF"),Transactions!E64,0),0)</f>
        <v/>
      </c>
      <c r="J64">
        <f>SUMIFS($F$1:F63,$A$1:A63,A64)</f>
        <v/>
      </c>
      <c r="K64">
        <f>SUMIFS($I$1:I63,$A$1:A63,A64)</f>
        <v/>
      </c>
      <c r="L64">
        <f>IFERROR(VLOOKUP(A64,Opening!$A:$C,3,0),0)</f>
        <v/>
      </c>
      <c r="M64">
        <f>IF(I64=0,0,MAX(0,MIN(INDEX(Month!H$2:H$13,MATCH($A64,Month!$A$2:$A$13,0))-K64,I64)))</f>
        <v/>
      </c>
      <c r="N64">
        <f>IF(I64=0,0,MAX(0,MIN(INDEX(Month!I$2:I$13,MATCH($A64,Month!$A$2:$A$13,0))-K64,I64)))</f>
        <v/>
      </c>
      <c r="O64">
        <f>IF(I64=0,0,MAX(0,MIN(INDEX(Month!J$2:J$13,MATCH($A64,Month!$A$2:$A$13,0))-K64,I64)))</f>
        <v/>
      </c>
      <c r="P64">
        <f>IF(I64=0,0,(MIN(MAX(K64,0),L64)*W64+SUMPRODUCT((Calc!$A$2:$A$1001=A64)*Calc!$G$2:$G$1001*(((K64-(L64+Calc!$J$2:$J$1001))&gt;0)*((K64-(L64+Calc!$J$2:$J$1001))&lt;Calc!$F$2:$F$1001)*(K64-(L64+Calc!$J$2:$J$1001))+((K64-(L64+Calc!$J$2:$J$1001))&gt;=Calc!$F$2:$F$1001)*Calc!$F$2:$F$1001))))</f>
        <v/>
      </c>
      <c r="Q64">
        <f>IF(I64=0,0,(MIN(MAX((K64+M64),0),L64)*W64+SUMPRODUCT((Calc!$A$2:$A$1001=A64)*Calc!$G$2:$G$1001*((((K64+M64)-(L64+Calc!$J$2:$J$1001))&gt;0)*(((K64+M64)-(L64+Calc!$J$2:$J$1001))&lt;Calc!$F$2:$F$1001)*((K64+M64)-(L64+Calc!$J$2:$J$1001))+(((K64+M64)-(L64+Calc!$J$2:$J$1001))&gt;=Calc!$F$2:$F$1001)*Calc!$F$2:$F$1001))))</f>
        <v/>
      </c>
      <c r="R64">
        <f>IF(I64=0,0,(MIN(MAX((K64+N64),0),L64)*W64+SUMPRODUCT((Calc!$A$2:$A$1001=A64)*Calc!$G$2:$G$1001*((((K64+N64)-(L64+Calc!$J$2:$J$1001))&gt;0)*(((K64+N64)-(L64+Calc!$J$2:$J$1001))&lt;Calc!$F$2:$F$1001)*((K64+N64)-(L64+Calc!$J$2:$J$1001))+(((K64+N64)-(L64+Calc!$J$2:$J$1001))&gt;=Calc!$F$2:$F$1001)*Calc!$F$2:$F$1001))))</f>
        <v/>
      </c>
      <c r="S64">
        <f>IF(I64=0,0,(MIN(MAX((K64+O64),0),L64)*W64+SUMPRODUCT((Calc!$A$2:$A$1001=A64)*Calc!$G$2:$G$1001*((((K64+O64)-(L64+Calc!$J$2:$J$1001))&gt;0)*(((K64+O64)-(L64+Calc!$J$2:$J$1001))&lt;Calc!$F$2:$F$1001)*((K64+O64)-(L64+Calc!$J$2:$J$1001))+(((K64+O64)-(L64+Calc!$J$2:$J$1001))&gt;=Calc!$F$2:$F$1001)*Calc!$F$2:$F$1001))))</f>
        <v/>
      </c>
      <c r="T64">
        <f>IF(AND(E64=1,B64="RETURN"),Transactions!E64*Transactions!G64,0)</f>
        <v/>
      </c>
      <c r="U64">
        <f>IF(AND(E64=1,B64="EXPENSE"),Transactions!J64,0)</f>
        <v/>
      </c>
      <c r="V64">
        <f>IF(AND(Transactions!A64&lt;&gt;"",E64=0),ROW(),"")</f>
        <v/>
      </c>
      <c r="W64">
        <f>IFERROR(VLOOKUP(A64,Opening!$A:$D,4,0),0)</f>
        <v/>
      </c>
    </row>
    <row r="65">
      <c r="A65">
        <f>IF(Transactions!D65="","",UPPER(TRIM(Transactions!D65)))</f>
        <v/>
      </c>
      <c r="B65">
        <f>IF(Transactions!C65="","",UPPER(TRIM(Transactions!C65)))</f>
        <v/>
      </c>
      <c r="C65">
        <f>IF(Transactions!B65="",0,YEAR(Transactions!B65)*100+MONTH(Transactions!B65))</f>
        <v/>
      </c>
      <c r="D65">
        <f>IF(Transactions!A65="",1,IF(COUNTIF(Transactions!$A$1:A64,Transactions!A65)&gt;0,1,0))</f>
        <v/>
      </c>
      <c r="E65">
        <f>IF(D65=1,0,IF(B65="RETURN",IF(COUNTIFS($A$1:A64,A65,$B$1:B64,"SALE",$E$1:E64,1)&gt;0,1,0),1))</f>
        <v/>
      </c>
      <c r="F65">
        <f>IF(E65=1,IF(B65="RECEIPT",Transactions!E65,IF(AND(B65="RETURN",LOWER(TRIM(Transactions!H65))="resellable"),Transactions!E65,0)),0)</f>
        <v/>
      </c>
      <c r="G65">
        <f>IF(F65&gt;0,IF(B65="RECEIPT",Transactions!F65,IF(_xlfn.MAXIFS($H$2:H65,$A$2:A65,A65)&gt;0,INDEX(Transactions!$F:$F,_xlfn.MAXIFS($H$2:H65,$A$2:A65,A65)),W65)),0)</f>
        <v/>
      </c>
      <c r="H65">
        <f>IF(AND(E65=1,B65="RECEIPT"),ROW(),0)</f>
        <v/>
      </c>
      <c r="I65">
        <f>IF(E65=1,IF(OR(B65="SALE",B65="WRITEOFF"),Transactions!E65,0),0)</f>
        <v/>
      </c>
      <c r="J65">
        <f>SUMIFS($F$1:F64,$A$1:A64,A65)</f>
        <v/>
      </c>
      <c r="K65">
        <f>SUMIFS($I$1:I64,$A$1:A64,A65)</f>
        <v/>
      </c>
      <c r="L65">
        <f>IFERROR(VLOOKUP(A65,Opening!$A:$C,3,0),0)</f>
        <v/>
      </c>
      <c r="M65">
        <f>IF(I65=0,0,MAX(0,MIN(INDEX(Month!H$2:H$13,MATCH($A65,Month!$A$2:$A$13,0))-K65,I65)))</f>
        <v/>
      </c>
      <c r="N65">
        <f>IF(I65=0,0,MAX(0,MIN(INDEX(Month!I$2:I$13,MATCH($A65,Month!$A$2:$A$13,0))-K65,I65)))</f>
        <v/>
      </c>
      <c r="O65">
        <f>IF(I65=0,0,MAX(0,MIN(INDEX(Month!J$2:J$13,MATCH($A65,Month!$A$2:$A$13,0))-K65,I65)))</f>
        <v/>
      </c>
      <c r="P65">
        <f>IF(I65=0,0,(MIN(MAX(K65,0),L65)*W65+SUMPRODUCT((Calc!$A$2:$A$1001=A65)*Calc!$G$2:$G$1001*(((K65-(L65+Calc!$J$2:$J$1001))&gt;0)*((K65-(L65+Calc!$J$2:$J$1001))&lt;Calc!$F$2:$F$1001)*(K65-(L65+Calc!$J$2:$J$1001))+((K65-(L65+Calc!$J$2:$J$1001))&gt;=Calc!$F$2:$F$1001)*Calc!$F$2:$F$1001))))</f>
        <v/>
      </c>
      <c r="Q65">
        <f>IF(I65=0,0,(MIN(MAX((K65+M65),0),L65)*W65+SUMPRODUCT((Calc!$A$2:$A$1001=A65)*Calc!$G$2:$G$1001*((((K65+M65)-(L65+Calc!$J$2:$J$1001))&gt;0)*(((K65+M65)-(L65+Calc!$J$2:$J$1001))&lt;Calc!$F$2:$F$1001)*((K65+M65)-(L65+Calc!$J$2:$J$1001))+(((K65+M65)-(L65+Calc!$J$2:$J$1001))&gt;=Calc!$F$2:$F$1001)*Calc!$F$2:$F$1001))))</f>
        <v/>
      </c>
      <c r="R65">
        <f>IF(I65=0,0,(MIN(MAX((K65+N65),0),L65)*W65+SUMPRODUCT((Calc!$A$2:$A$1001=A65)*Calc!$G$2:$G$1001*((((K65+N65)-(L65+Calc!$J$2:$J$1001))&gt;0)*(((K65+N65)-(L65+Calc!$J$2:$J$1001))&lt;Calc!$F$2:$F$1001)*((K65+N65)-(L65+Calc!$J$2:$J$1001))+(((K65+N65)-(L65+Calc!$J$2:$J$1001))&gt;=Calc!$F$2:$F$1001)*Calc!$F$2:$F$1001))))</f>
        <v/>
      </c>
      <c r="S65">
        <f>IF(I65=0,0,(MIN(MAX((K65+O65),0),L65)*W65+SUMPRODUCT((Calc!$A$2:$A$1001=A65)*Calc!$G$2:$G$1001*((((K65+O65)-(L65+Calc!$J$2:$J$1001))&gt;0)*(((K65+O65)-(L65+Calc!$J$2:$J$1001))&lt;Calc!$F$2:$F$1001)*((K65+O65)-(L65+Calc!$J$2:$J$1001))+(((K65+O65)-(L65+Calc!$J$2:$J$1001))&gt;=Calc!$F$2:$F$1001)*Calc!$F$2:$F$1001))))</f>
        <v/>
      </c>
      <c r="T65">
        <f>IF(AND(E65=1,B65="RETURN"),Transactions!E65*Transactions!G65,0)</f>
        <v/>
      </c>
      <c r="U65">
        <f>IF(AND(E65=1,B65="EXPENSE"),Transactions!J65,0)</f>
        <v/>
      </c>
      <c r="V65">
        <f>IF(AND(Transactions!A65&lt;&gt;"",E65=0),ROW(),"")</f>
        <v/>
      </c>
      <c r="W65">
        <f>IFERROR(VLOOKUP(A65,Opening!$A:$D,4,0),0)</f>
        <v/>
      </c>
    </row>
    <row r="66">
      <c r="A66">
        <f>IF(Transactions!D66="","",UPPER(TRIM(Transactions!D66)))</f>
        <v/>
      </c>
      <c r="B66">
        <f>IF(Transactions!C66="","",UPPER(TRIM(Transactions!C66)))</f>
        <v/>
      </c>
      <c r="C66">
        <f>IF(Transactions!B66="",0,YEAR(Transactions!B66)*100+MONTH(Transactions!B66))</f>
        <v/>
      </c>
      <c r="D66">
        <f>IF(Transactions!A66="",1,IF(COUNTIF(Transactions!$A$1:A65,Transactions!A66)&gt;0,1,0))</f>
        <v/>
      </c>
      <c r="E66">
        <f>IF(D66=1,0,IF(B66="RETURN",IF(COUNTIFS($A$1:A65,A66,$B$1:B65,"SALE",$E$1:E65,1)&gt;0,1,0),1))</f>
        <v/>
      </c>
      <c r="F66">
        <f>IF(E66=1,IF(B66="RECEIPT",Transactions!E66,IF(AND(B66="RETURN",LOWER(TRIM(Transactions!H66))="resellable"),Transactions!E66,0)),0)</f>
        <v/>
      </c>
      <c r="G66">
        <f>IF(F66&gt;0,IF(B66="RECEIPT",Transactions!F66,IF(_xlfn.MAXIFS($H$2:H66,$A$2:A66,A66)&gt;0,INDEX(Transactions!$F:$F,_xlfn.MAXIFS($H$2:H66,$A$2:A66,A66)),W66)),0)</f>
        <v/>
      </c>
      <c r="H66">
        <f>IF(AND(E66=1,B66="RECEIPT"),ROW(),0)</f>
        <v/>
      </c>
      <c r="I66">
        <f>IF(E66=1,IF(OR(B66="SALE",B66="WRITEOFF"),Transactions!E66,0),0)</f>
        <v/>
      </c>
      <c r="J66">
        <f>SUMIFS($F$1:F65,$A$1:A65,A66)</f>
        <v/>
      </c>
      <c r="K66">
        <f>SUMIFS($I$1:I65,$A$1:A65,A66)</f>
        <v/>
      </c>
      <c r="L66">
        <f>IFERROR(VLOOKUP(A66,Opening!$A:$C,3,0),0)</f>
        <v/>
      </c>
      <c r="M66">
        <f>IF(I66=0,0,MAX(0,MIN(INDEX(Month!H$2:H$13,MATCH($A66,Month!$A$2:$A$13,0))-K66,I66)))</f>
        <v/>
      </c>
      <c r="N66">
        <f>IF(I66=0,0,MAX(0,MIN(INDEX(Month!I$2:I$13,MATCH($A66,Month!$A$2:$A$13,0))-K66,I66)))</f>
        <v/>
      </c>
      <c r="O66">
        <f>IF(I66=0,0,MAX(0,MIN(INDEX(Month!J$2:J$13,MATCH($A66,Month!$A$2:$A$13,0))-K66,I66)))</f>
        <v/>
      </c>
      <c r="P66">
        <f>IF(I66=0,0,(MIN(MAX(K66,0),L66)*W66+SUMPRODUCT((Calc!$A$2:$A$1001=A66)*Calc!$G$2:$G$1001*(((K66-(L66+Calc!$J$2:$J$1001))&gt;0)*((K66-(L66+Calc!$J$2:$J$1001))&lt;Calc!$F$2:$F$1001)*(K66-(L66+Calc!$J$2:$J$1001))+((K66-(L66+Calc!$J$2:$J$1001))&gt;=Calc!$F$2:$F$1001)*Calc!$F$2:$F$1001))))</f>
        <v/>
      </c>
      <c r="Q66">
        <f>IF(I66=0,0,(MIN(MAX((K66+M66),0),L66)*W66+SUMPRODUCT((Calc!$A$2:$A$1001=A66)*Calc!$G$2:$G$1001*((((K66+M66)-(L66+Calc!$J$2:$J$1001))&gt;0)*(((K66+M66)-(L66+Calc!$J$2:$J$1001))&lt;Calc!$F$2:$F$1001)*((K66+M66)-(L66+Calc!$J$2:$J$1001))+(((K66+M66)-(L66+Calc!$J$2:$J$1001))&gt;=Calc!$F$2:$F$1001)*Calc!$F$2:$F$1001))))</f>
        <v/>
      </c>
      <c r="R66">
        <f>IF(I66=0,0,(MIN(MAX((K66+N66),0),L66)*W66+SUMPRODUCT((Calc!$A$2:$A$1001=A66)*Calc!$G$2:$G$1001*((((K66+N66)-(L66+Calc!$J$2:$J$1001))&gt;0)*(((K66+N66)-(L66+Calc!$J$2:$J$1001))&lt;Calc!$F$2:$F$1001)*((K66+N66)-(L66+Calc!$J$2:$J$1001))+(((K66+N66)-(L66+Calc!$J$2:$J$1001))&gt;=Calc!$F$2:$F$1001)*Calc!$F$2:$F$1001))))</f>
        <v/>
      </c>
      <c r="S66">
        <f>IF(I66=0,0,(MIN(MAX((K66+O66),0),L66)*W66+SUMPRODUCT((Calc!$A$2:$A$1001=A66)*Calc!$G$2:$G$1001*((((K66+O66)-(L66+Calc!$J$2:$J$1001))&gt;0)*(((K66+O66)-(L66+Calc!$J$2:$J$1001))&lt;Calc!$F$2:$F$1001)*((K66+O66)-(L66+Calc!$J$2:$J$1001))+(((K66+O66)-(L66+Calc!$J$2:$J$1001))&gt;=Calc!$F$2:$F$1001)*Calc!$F$2:$F$1001))))</f>
        <v/>
      </c>
      <c r="T66">
        <f>IF(AND(E66=1,B66="RETURN"),Transactions!E66*Transactions!G66,0)</f>
        <v/>
      </c>
      <c r="U66">
        <f>IF(AND(E66=1,B66="EXPENSE"),Transactions!J66,0)</f>
        <v/>
      </c>
      <c r="V66">
        <f>IF(AND(Transactions!A66&lt;&gt;"",E66=0),ROW(),"")</f>
        <v/>
      </c>
      <c r="W66">
        <f>IFERROR(VLOOKUP(A66,Opening!$A:$D,4,0),0)</f>
        <v/>
      </c>
    </row>
    <row r="67">
      <c r="A67">
        <f>IF(Transactions!D67="","",UPPER(TRIM(Transactions!D67)))</f>
        <v/>
      </c>
      <c r="B67">
        <f>IF(Transactions!C67="","",UPPER(TRIM(Transactions!C67)))</f>
        <v/>
      </c>
      <c r="C67">
        <f>IF(Transactions!B67="",0,YEAR(Transactions!B67)*100+MONTH(Transactions!B67))</f>
        <v/>
      </c>
      <c r="D67">
        <f>IF(Transactions!A67="",1,IF(COUNTIF(Transactions!$A$1:A66,Transactions!A67)&gt;0,1,0))</f>
        <v/>
      </c>
      <c r="E67">
        <f>IF(D67=1,0,IF(B67="RETURN",IF(COUNTIFS($A$1:A66,A67,$B$1:B66,"SALE",$E$1:E66,1)&gt;0,1,0),1))</f>
        <v/>
      </c>
      <c r="F67">
        <f>IF(E67=1,IF(B67="RECEIPT",Transactions!E67,IF(AND(B67="RETURN",LOWER(TRIM(Transactions!H67))="resellable"),Transactions!E67,0)),0)</f>
        <v/>
      </c>
      <c r="G67">
        <f>IF(F67&gt;0,IF(B67="RECEIPT",Transactions!F67,IF(_xlfn.MAXIFS($H$2:H67,$A$2:A67,A67)&gt;0,INDEX(Transactions!$F:$F,_xlfn.MAXIFS($H$2:H67,$A$2:A67,A67)),W67)),0)</f>
        <v/>
      </c>
      <c r="H67">
        <f>IF(AND(E67=1,B67="RECEIPT"),ROW(),0)</f>
        <v/>
      </c>
      <c r="I67">
        <f>IF(E67=1,IF(OR(B67="SALE",B67="WRITEOFF"),Transactions!E67,0),0)</f>
        <v/>
      </c>
      <c r="J67">
        <f>SUMIFS($F$1:F66,$A$1:A66,A67)</f>
        <v/>
      </c>
      <c r="K67">
        <f>SUMIFS($I$1:I66,$A$1:A66,A67)</f>
        <v/>
      </c>
      <c r="L67">
        <f>IFERROR(VLOOKUP(A67,Opening!$A:$C,3,0),0)</f>
        <v/>
      </c>
      <c r="M67">
        <f>IF(I67=0,0,MAX(0,MIN(INDEX(Month!H$2:H$13,MATCH($A67,Month!$A$2:$A$13,0))-K67,I67)))</f>
        <v/>
      </c>
      <c r="N67">
        <f>IF(I67=0,0,MAX(0,MIN(INDEX(Month!I$2:I$13,MATCH($A67,Month!$A$2:$A$13,0))-K67,I67)))</f>
        <v/>
      </c>
      <c r="O67">
        <f>IF(I67=0,0,MAX(0,MIN(INDEX(Month!J$2:J$13,MATCH($A67,Month!$A$2:$A$13,0))-K67,I67)))</f>
        <v/>
      </c>
      <c r="P67">
        <f>IF(I67=0,0,(MIN(MAX(K67,0),L67)*W67+SUMPRODUCT((Calc!$A$2:$A$1001=A67)*Calc!$G$2:$G$1001*(((K67-(L67+Calc!$J$2:$J$1001))&gt;0)*((K67-(L67+Calc!$J$2:$J$1001))&lt;Calc!$F$2:$F$1001)*(K67-(L67+Calc!$J$2:$J$1001))+((K67-(L67+Calc!$J$2:$J$1001))&gt;=Calc!$F$2:$F$1001)*Calc!$F$2:$F$1001))))</f>
        <v/>
      </c>
      <c r="Q67">
        <f>IF(I67=0,0,(MIN(MAX((K67+M67),0),L67)*W67+SUMPRODUCT((Calc!$A$2:$A$1001=A67)*Calc!$G$2:$G$1001*((((K67+M67)-(L67+Calc!$J$2:$J$1001))&gt;0)*(((K67+M67)-(L67+Calc!$J$2:$J$1001))&lt;Calc!$F$2:$F$1001)*((K67+M67)-(L67+Calc!$J$2:$J$1001))+(((K67+M67)-(L67+Calc!$J$2:$J$1001))&gt;=Calc!$F$2:$F$1001)*Calc!$F$2:$F$1001))))</f>
        <v/>
      </c>
      <c r="R67">
        <f>IF(I67=0,0,(MIN(MAX((K67+N67),0),L67)*W67+SUMPRODUCT((Calc!$A$2:$A$1001=A67)*Calc!$G$2:$G$1001*((((K67+N67)-(L67+Calc!$J$2:$J$1001))&gt;0)*(((K67+N67)-(L67+Calc!$J$2:$J$1001))&lt;Calc!$F$2:$F$1001)*((K67+N67)-(L67+Calc!$J$2:$J$1001))+(((K67+N67)-(L67+Calc!$J$2:$J$1001))&gt;=Calc!$F$2:$F$1001)*Calc!$F$2:$F$1001))))</f>
        <v/>
      </c>
      <c r="S67">
        <f>IF(I67=0,0,(MIN(MAX((K67+O67),0),L67)*W67+SUMPRODUCT((Calc!$A$2:$A$1001=A67)*Calc!$G$2:$G$1001*((((K67+O67)-(L67+Calc!$J$2:$J$1001))&gt;0)*(((K67+O67)-(L67+Calc!$J$2:$J$1001))&lt;Calc!$F$2:$F$1001)*((K67+O67)-(L67+Calc!$J$2:$J$1001))+(((K67+O67)-(L67+Calc!$J$2:$J$1001))&gt;=Calc!$F$2:$F$1001)*Calc!$F$2:$F$1001))))</f>
        <v/>
      </c>
      <c r="T67">
        <f>IF(AND(E67=1,B67="RETURN"),Transactions!E67*Transactions!G67,0)</f>
        <v/>
      </c>
      <c r="U67">
        <f>IF(AND(E67=1,B67="EXPENSE"),Transactions!J67,0)</f>
        <v/>
      </c>
      <c r="V67">
        <f>IF(AND(Transactions!A67&lt;&gt;"",E67=0),ROW(),"")</f>
        <v/>
      </c>
      <c r="W67">
        <f>IFERROR(VLOOKUP(A67,Opening!$A:$D,4,0),0)</f>
        <v/>
      </c>
    </row>
    <row r="68">
      <c r="A68">
        <f>IF(Transactions!D68="","",UPPER(TRIM(Transactions!D68)))</f>
        <v/>
      </c>
      <c r="B68">
        <f>IF(Transactions!C68="","",UPPER(TRIM(Transactions!C68)))</f>
        <v/>
      </c>
      <c r="C68">
        <f>IF(Transactions!B68="",0,YEAR(Transactions!B68)*100+MONTH(Transactions!B68))</f>
        <v/>
      </c>
      <c r="D68">
        <f>IF(Transactions!A68="",1,IF(COUNTIF(Transactions!$A$1:A67,Transactions!A68)&gt;0,1,0))</f>
        <v/>
      </c>
      <c r="E68">
        <f>IF(D68=1,0,IF(B68="RETURN",IF(COUNTIFS($A$1:A67,A68,$B$1:B67,"SALE",$E$1:E67,1)&gt;0,1,0),1))</f>
        <v/>
      </c>
      <c r="F68">
        <f>IF(E68=1,IF(B68="RECEIPT",Transactions!E68,IF(AND(B68="RETURN",LOWER(TRIM(Transactions!H68))="resellable"),Transactions!E68,0)),0)</f>
        <v/>
      </c>
      <c r="G68">
        <f>IF(F68&gt;0,IF(B68="RECEIPT",Transactions!F68,IF(_xlfn.MAXIFS($H$2:H68,$A$2:A68,A68)&gt;0,INDEX(Transactions!$F:$F,_xlfn.MAXIFS($H$2:H68,$A$2:A68,A68)),W68)),0)</f>
        <v/>
      </c>
      <c r="H68">
        <f>IF(AND(E68=1,B68="RECEIPT"),ROW(),0)</f>
        <v/>
      </c>
      <c r="I68">
        <f>IF(E68=1,IF(OR(B68="SALE",B68="WRITEOFF"),Transactions!E68,0),0)</f>
        <v/>
      </c>
      <c r="J68">
        <f>SUMIFS($F$1:F67,$A$1:A67,A68)</f>
        <v/>
      </c>
      <c r="K68">
        <f>SUMIFS($I$1:I67,$A$1:A67,A68)</f>
        <v/>
      </c>
      <c r="L68">
        <f>IFERROR(VLOOKUP(A68,Opening!$A:$C,3,0),0)</f>
        <v/>
      </c>
      <c r="M68">
        <f>IF(I68=0,0,MAX(0,MIN(INDEX(Month!H$2:H$13,MATCH($A68,Month!$A$2:$A$13,0))-K68,I68)))</f>
        <v/>
      </c>
      <c r="N68">
        <f>IF(I68=0,0,MAX(0,MIN(INDEX(Month!I$2:I$13,MATCH($A68,Month!$A$2:$A$13,0))-K68,I68)))</f>
        <v/>
      </c>
      <c r="O68">
        <f>IF(I68=0,0,MAX(0,MIN(INDEX(Month!J$2:J$13,MATCH($A68,Month!$A$2:$A$13,0))-K68,I68)))</f>
        <v/>
      </c>
      <c r="P68">
        <f>IF(I68=0,0,(MIN(MAX(K68,0),L68)*W68+SUMPRODUCT((Calc!$A$2:$A$1001=A68)*Calc!$G$2:$G$1001*(((K68-(L68+Calc!$J$2:$J$1001))&gt;0)*((K68-(L68+Calc!$J$2:$J$1001))&lt;Calc!$F$2:$F$1001)*(K68-(L68+Calc!$J$2:$J$1001))+((K68-(L68+Calc!$J$2:$J$1001))&gt;=Calc!$F$2:$F$1001)*Calc!$F$2:$F$1001))))</f>
        <v/>
      </c>
      <c r="Q68">
        <f>IF(I68=0,0,(MIN(MAX((K68+M68),0),L68)*W68+SUMPRODUCT((Calc!$A$2:$A$1001=A68)*Calc!$G$2:$G$1001*((((K68+M68)-(L68+Calc!$J$2:$J$1001))&gt;0)*(((K68+M68)-(L68+Calc!$J$2:$J$1001))&lt;Calc!$F$2:$F$1001)*((K68+M68)-(L68+Calc!$J$2:$J$1001))+(((K68+M68)-(L68+Calc!$J$2:$J$1001))&gt;=Calc!$F$2:$F$1001)*Calc!$F$2:$F$1001))))</f>
        <v/>
      </c>
      <c r="R68">
        <f>IF(I68=0,0,(MIN(MAX((K68+N68),0),L68)*W68+SUMPRODUCT((Calc!$A$2:$A$1001=A68)*Calc!$G$2:$G$1001*((((K68+N68)-(L68+Calc!$J$2:$J$1001))&gt;0)*(((K68+N68)-(L68+Calc!$J$2:$J$1001))&lt;Calc!$F$2:$F$1001)*((K68+N68)-(L68+Calc!$J$2:$J$1001))+(((K68+N68)-(L68+Calc!$J$2:$J$1001))&gt;=Calc!$F$2:$F$1001)*Calc!$F$2:$F$1001))))</f>
        <v/>
      </c>
      <c r="S68">
        <f>IF(I68=0,0,(MIN(MAX((K68+O68),0),L68)*W68+SUMPRODUCT((Calc!$A$2:$A$1001=A68)*Calc!$G$2:$G$1001*((((K68+O68)-(L68+Calc!$J$2:$J$1001))&gt;0)*(((K68+O68)-(L68+Calc!$J$2:$J$1001))&lt;Calc!$F$2:$F$1001)*((K68+O68)-(L68+Calc!$J$2:$J$1001))+(((K68+O68)-(L68+Calc!$J$2:$J$1001))&gt;=Calc!$F$2:$F$1001)*Calc!$F$2:$F$1001))))</f>
        <v/>
      </c>
      <c r="T68">
        <f>IF(AND(E68=1,B68="RETURN"),Transactions!E68*Transactions!G68,0)</f>
        <v/>
      </c>
      <c r="U68">
        <f>IF(AND(E68=1,B68="EXPENSE"),Transactions!J68,0)</f>
        <v/>
      </c>
      <c r="V68">
        <f>IF(AND(Transactions!A68&lt;&gt;"",E68=0),ROW(),"")</f>
        <v/>
      </c>
      <c r="W68">
        <f>IFERROR(VLOOKUP(A68,Opening!$A:$D,4,0),0)</f>
        <v/>
      </c>
    </row>
    <row r="69">
      <c r="A69">
        <f>IF(Transactions!D69="","",UPPER(TRIM(Transactions!D69)))</f>
        <v/>
      </c>
      <c r="B69">
        <f>IF(Transactions!C69="","",UPPER(TRIM(Transactions!C69)))</f>
        <v/>
      </c>
      <c r="C69">
        <f>IF(Transactions!B69="",0,YEAR(Transactions!B69)*100+MONTH(Transactions!B69))</f>
        <v/>
      </c>
      <c r="D69">
        <f>IF(Transactions!A69="",1,IF(COUNTIF(Transactions!$A$1:A68,Transactions!A69)&gt;0,1,0))</f>
        <v/>
      </c>
      <c r="E69">
        <f>IF(D69=1,0,IF(B69="RETURN",IF(COUNTIFS($A$1:A68,A69,$B$1:B68,"SALE",$E$1:E68,1)&gt;0,1,0),1))</f>
        <v/>
      </c>
      <c r="F69">
        <f>IF(E69=1,IF(B69="RECEIPT",Transactions!E69,IF(AND(B69="RETURN",LOWER(TRIM(Transactions!H69))="resellable"),Transactions!E69,0)),0)</f>
        <v/>
      </c>
      <c r="G69">
        <f>IF(F69&gt;0,IF(B69="RECEIPT",Transactions!F69,IF(_xlfn.MAXIFS($H$2:H69,$A$2:A69,A69)&gt;0,INDEX(Transactions!$F:$F,_xlfn.MAXIFS($H$2:H69,$A$2:A69,A69)),W69)),0)</f>
        <v/>
      </c>
      <c r="H69">
        <f>IF(AND(E69=1,B69="RECEIPT"),ROW(),0)</f>
        <v/>
      </c>
      <c r="I69">
        <f>IF(E69=1,IF(OR(B69="SALE",B69="WRITEOFF"),Transactions!E69,0),0)</f>
        <v/>
      </c>
      <c r="J69">
        <f>SUMIFS($F$1:F68,$A$1:A68,A69)</f>
        <v/>
      </c>
      <c r="K69">
        <f>SUMIFS($I$1:I68,$A$1:A68,A69)</f>
        <v/>
      </c>
      <c r="L69">
        <f>IFERROR(VLOOKUP(A69,Opening!$A:$C,3,0),0)</f>
        <v/>
      </c>
      <c r="M69">
        <f>IF(I69=0,0,MAX(0,MIN(INDEX(Month!H$2:H$13,MATCH($A69,Month!$A$2:$A$13,0))-K69,I69)))</f>
        <v/>
      </c>
      <c r="N69">
        <f>IF(I69=0,0,MAX(0,MIN(INDEX(Month!I$2:I$13,MATCH($A69,Month!$A$2:$A$13,0))-K69,I69)))</f>
        <v/>
      </c>
      <c r="O69">
        <f>IF(I69=0,0,MAX(0,MIN(INDEX(Month!J$2:J$13,MATCH($A69,Month!$A$2:$A$13,0))-K69,I69)))</f>
        <v/>
      </c>
      <c r="P69">
        <f>IF(I69=0,0,(MIN(MAX(K69,0),L69)*W69+SUMPRODUCT((Calc!$A$2:$A$1001=A69)*Calc!$G$2:$G$1001*(((K69-(L69+Calc!$J$2:$J$1001))&gt;0)*((K69-(L69+Calc!$J$2:$J$1001))&lt;Calc!$F$2:$F$1001)*(K69-(L69+Calc!$J$2:$J$1001))+((K69-(L69+Calc!$J$2:$J$1001))&gt;=Calc!$F$2:$F$1001)*Calc!$F$2:$F$1001))))</f>
        <v/>
      </c>
      <c r="Q69">
        <f>IF(I69=0,0,(MIN(MAX((K69+M69),0),L69)*W69+SUMPRODUCT((Calc!$A$2:$A$1001=A69)*Calc!$G$2:$G$1001*((((K69+M69)-(L69+Calc!$J$2:$J$1001))&gt;0)*(((K69+M69)-(L69+Calc!$J$2:$J$1001))&lt;Calc!$F$2:$F$1001)*((K69+M69)-(L69+Calc!$J$2:$J$1001))+(((K69+M69)-(L69+Calc!$J$2:$J$1001))&gt;=Calc!$F$2:$F$1001)*Calc!$F$2:$F$1001))))</f>
        <v/>
      </c>
      <c r="R69">
        <f>IF(I69=0,0,(MIN(MAX((K69+N69),0),L69)*W69+SUMPRODUCT((Calc!$A$2:$A$1001=A69)*Calc!$G$2:$G$1001*((((K69+N69)-(L69+Calc!$J$2:$J$1001))&gt;0)*(((K69+N69)-(L69+Calc!$J$2:$J$1001))&lt;Calc!$F$2:$F$1001)*((K69+N69)-(L69+Calc!$J$2:$J$1001))+(((K69+N69)-(L69+Calc!$J$2:$J$1001))&gt;=Calc!$F$2:$F$1001)*Calc!$F$2:$F$1001))))</f>
        <v/>
      </c>
      <c r="S69">
        <f>IF(I69=0,0,(MIN(MAX((K69+O69),0),L69)*W69+SUMPRODUCT((Calc!$A$2:$A$1001=A69)*Calc!$G$2:$G$1001*((((K69+O69)-(L69+Calc!$J$2:$J$1001))&gt;0)*(((K69+O69)-(L69+Calc!$J$2:$J$1001))&lt;Calc!$F$2:$F$1001)*((K69+O69)-(L69+Calc!$J$2:$J$1001))+(((K69+O69)-(L69+Calc!$J$2:$J$1001))&gt;=Calc!$F$2:$F$1001)*Calc!$F$2:$F$1001))))</f>
        <v/>
      </c>
      <c r="T69">
        <f>IF(AND(E69=1,B69="RETURN"),Transactions!E69*Transactions!G69,0)</f>
        <v/>
      </c>
      <c r="U69">
        <f>IF(AND(E69=1,B69="EXPENSE"),Transactions!J69,0)</f>
        <v/>
      </c>
      <c r="V69">
        <f>IF(AND(Transactions!A69&lt;&gt;"",E69=0),ROW(),"")</f>
        <v/>
      </c>
      <c r="W69">
        <f>IFERROR(VLOOKUP(A69,Opening!$A:$D,4,0),0)</f>
        <v/>
      </c>
    </row>
    <row r="70">
      <c r="A70">
        <f>IF(Transactions!D70="","",UPPER(TRIM(Transactions!D70)))</f>
        <v/>
      </c>
      <c r="B70">
        <f>IF(Transactions!C70="","",UPPER(TRIM(Transactions!C70)))</f>
        <v/>
      </c>
      <c r="C70">
        <f>IF(Transactions!B70="",0,YEAR(Transactions!B70)*100+MONTH(Transactions!B70))</f>
        <v/>
      </c>
      <c r="D70">
        <f>IF(Transactions!A70="",1,IF(COUNTIF(Transactions!$A$1:A69,Transactions!A70)&gt;0,1,0))</f>
        <v/>
      </c>
      <c r="E70">
        <f>IF(D70=1,0,IF(B70="RETURN",IF(COUNTIFS($A$1:A69,A70,$B$1:B69,"SALE",$E$1:E69,1)&gt;0,1,0),1))</f>
        <v/>
      </c>
      <c r="F70">
        <f>IF(E70=1,IF(B70="RECEIPT",Transactions!E70,IF(AND(B70="RETURN",LOWER(TRIM(Transactions!H70))="resellable"),Transactions!E70,0)),0)</f>
        <v/>
      </c>
      <c r="G70">
        <f>IF(F70&gt;0,IF(B70="RECEIPT",Transactions!F70,IF(_xlfn.MAXIFS($H$2:H70,$A$2:A70,A70)&gt;0,INDEX(Transactions!$F:$F,_xlfn.MAXIFS($H$2:H70,$A$2:A70,A70)),W70)),0)</f>
        <v/>
      </c>
      <c r="H70">
        <f>IF(AND(E70=1,B70="RECEIPT"),ROW(),0)</f>
        <v/>
      </c>
      <c r="I70">
        <f>IF(E70=1,IF(OR(B70="SALE",B70="WRITEOFF"),Transactions!E70,0),0)</f>
        <v/>
      </c>
      <c r="J70">
        <f>SUMIFS($F$1:F69,$A$1:A69,A70)</f>
        <v/>
      </c>
      <c r="K70">
        <f>SUMIFS($I$1:I69,$A$1:A69,A70)</f>
        <v/>
      </c>
      <c r="L70">
        <f>IFERROR(VLOOKUP(A70,Opening!$A:$C,3,0),0)</f>
        <v/>
      </c>
      <c r="M70">
        <f>IF(I70=0,0,MAX(0,MIN(INDEX(Month!H$2:H$13,MATCH($A70,Month!$A$2:$A$13,0))-K70,I70)))</f>
        <v/>
      </c>
      <c r="N70">
        <f>IF(I70=0,0,MAX(0,MIN(INDEX(Month!I$2:I$13,MATCH($A70,Month!$A$2:$A$13,0))-K70,I70)))</f>
        <v/>
      </c>
      <c r="O70">
        <f>IF(I70=0,0,MAX(0,MIN(INDEX(Month!J$2:J$13,MATCH($A70,Month!$A$2:$A$13,0))-K70,I70)))</f>
        <v/>
      </c>
      <c r="P70">
        <f>IF(I70=0,0,(MIN(MAX(K70,0),L70)*W70+SUMPRODUCT((Calc!$A$2:$A$1001=A70)*Calc!$G$2:$G$1001*(((K70-(L70+Calc!$J$2:$J$1001))&gt;0)*((K70-(L70+Calc!$J$2:$J$1001))&lt;Calc!$F$2:$F$1001)*(K70-(L70+Calc!$J$2:$J$1001))+((K70-(L70+Calc!$J$2:$J$1001))&gt;=Calc!$F$2:$F$1001)*Calc!$F$2:$F$1001))))</f>
        <v/>
      </c>
      <c r="Q70">
        <f>IF(I70=0,0,(MIN(MAX((K70+M70),0),L70)*W70+SUMPRODUCT((Calc!$A$2:$A$1001=A70)*Calc!$G$2:$G$1001*((((K70+M70)-(L70+Calc!$J$2:$J$1001))&gt;0)*(((K70+M70)-(L70+Calc!$J$2:$J$1001))&lt;Calc!$F$2:$F$1001)*((K70+M70)-(L70+Calc!$J$2:$J$1001))+(((K70+M70)-(L70+Calc!$J$2:$J$1001))&gt;=Calc!$F$2:$F$1001)*Calc!$F$2:$F$1001))))</f>
        <v/>
      </c>
      <c r="R70">
        <f>IF(I70=0,0,(MIN(MAX((K70+N70),0),L70)*W70+SUMPRODUCT((Calc!$A$2:$A$1001=A70)*Calc!$G$2:$G$1001*((((K70+N70)-(L70+Calc!$J$2:$J$1001))&gt;0)*(((K70+N70)-(L70+Calc!$J$2:$J$1001))&lt;Calc!$F$2:$F$1001)*((K70+N70)-(L70+Calc!$J$2:$J$1001))+(((K70+N70)-(L70+Calc!$J$2:$J$1001))&gt;=Calc!$F$2:$F$1001)*Calc!$F$2:$F$1001))))</f>
        <v/>
      </c>
      <c r="S70">
        <f>IF(I70=0,0,(MIN(MAX((K70+O70),0),L70)*W70+SUMPRODUCT((Calc!$A$2:$A$1001=A70)*Calc!$G$2:$G$1001*((((K70+O70)-(L70+Calc!$J$2:$J$1001))&gt;0)*(((K70+O70)-(L70+Calc!$J$2:$J$1001))&lt;Calc!$F$2:$F$1001)*((K70+O70)-(L70+Calc!$J$2:$J$1001))+(((K70+O70)-(L70+Calc!$J$2:$J$1001))&gt;=Calc!$F$2:$F$1001)*Calc!$F$2:$F$1001))))</f>
        <v/>
      </c>
      <c r="T70">
        <f>IF(AND(E70=1,B70="RETURN"),Transactions!E70*Transactions!G70,0)</f>
        <v/>
      </c>
      <c r="U70">
        <f>IF(AND(E70=1,B70="EXPENSE"),Transactions!J70,0)</f>
        <v/>
      </c>
      <c r="V70">
        <f>IF(AND(Transactions!A70&lt;&gt;"",E70=0),ROW(),"")</f>
        <v/>
      </c>
      <c r="W70">
        <f>IFERROR(VLOOKUP(A70,Opening!$A:$D,4,0),0)</f>
        <v/>
      </c>
    </row>
    <row r="71">
      <c r="A71">
        <f>IF(Transactions!D71="","",UPPER(TRIM(Transactions!D71)))</f>
        <v/>
      </c>
      <c r="B71">
        <f>IF(Transactions!C71="","",UPPER(TRIM(Transactions!C71)))</f>
        <v/>
      </c>
      <c r="C71">
        <f>IF(Transactions!B71="",0,YEAR(Transactions!B71)*100+MONTH(Transactions!B71))</f>
        <v/>
      </c>
      <c r="D71">
        <f>IF(Transactions!A71="",1,IF(COUNTIF(Transactions!$A$1:A70,Transactions!A71)&gt;0,1,0))</f>
        <v/>
      </c>
      <c r="E71">
        <f>IF(D71=1,0,IF(B71="RETURN",IF(COUNTIFS($A$1:A70,A71,$B$1:B70,"SALE",$E$1:E70,1)&gt;0,1,0),1))</f>
        <v/>
      </c>
      <c r="F71">
        <f>IF(E71=1,IF(B71="RECEIPT",Transactions!E71,IF(AND(B71="RETURN",LOWER(TRIM(Transactions!H71))="resellable"),Transactions!E71,0)),0)</f>
        <v/>
      </c>
      <c r="G71">
        <f>IF(F71&gt;0,IF(B71="RECEIPT",Transactions!F71,IF(_xlfn.MAXIFS($H$2:H71,$A$2:A71,A71)&gt;0,INDEX(Transactions!$F:$F,_xlfn.MAXIFS($H$2:H71,$A$2:A71,A71)),W71)),0)</f>
        <v/>
      </c>
      <c r="H71">
        <f>IF(AND(E71=1,B71="RECEIPT"),ROW(),0)</f>
        <v/>
      </c>
      <c r="I71">
        <f>IF(E71=1,IF(OR(B71="SALE",B71="WRITEOFF"),Transactions!E71,0),0)</f>
        <v/>
      </c>
      <c r="J71">
        <f>SUMIFS($F$1:F70,$A$1:A70,A71)</f>
        <v/>
      </c>
      <c r="K71">
        <f>SUMIFS($I$1:I70,$A$1:A70,A71)</f>
        <v/>
      </c>
      <c r="L71">
        <f>IFERROR(VLOOKUP(A71,Opening!$A:$C,3,0),0)</f>
        <v/>
      </c>
      <c r="M71">
        <f>IF(I71=0,0,MAX(0,MIN(INDEX(Month!H$2:H$13,MATCH($A71,Month!$A$2:$A$13,0))-K71,I71)))</f>
        <v/>
      </c>
      <c r="N71">
        <f>IF(I71=0,0,MAX(0,MIN(INDEX(Month!I$2:I$13,MATCH($A71,Month!$A$2:$A$13,0))-K71,I71)))</f>
        <v/>
      </c>
      <c r="O71">
        <f>IF(I71=0,0,MAX(0,MIN(INDEX(Month!J$2:J$13,MATCH($A71,Month!$A$2:$A$13,0))-K71,I71)))</f>
        <v/>
      </c>
      <c r="P71">
        <f>IF(I71=0,0,(MIN(MAX(K71,0),L71)*W71+SUMPRODUCT((Calc!$A$2:$A$1001=A71)*Calc!$G$2:$G$1001*(((K71-(L71+Calc!$J$2:$J$1001))&gt;0)*((K71-(L71+Calc!$J$2:$J$1001))&lt;Calc!$F$2:$F$1001)*(K71-(L71+Calc!$J$2:$J$1001))+((K71-(L71+Calc!$J$2:$J$1001))&gt;=Calc!$F$2:$F$1001)*Calc!$F$2:$F$1001))))</f>
        <v/>
      </c>
      <c r="Q71">
        <f>IF(I71=0,0,(MIN(MAX((K71+M71),0),L71)*W71+SUMPRODUCT((Calc!$A$2:$A$1001=A71)*Calc!$G$2:$G$1001*((((K71+M71)-(L71+Calc!$J$2:$J$1001))&gt;0)*(((K71+M71)-(L71+Calc!$J$2:$J$1001))&lt;Calc!$F$2:$F$1001)*((K71+M71)-(L71+Calc!$J$2:$J$1001))+(((K71+M71)-(L71+Calc!$J$2:$J$1001))&gt;=Calc!$F$2:$F$1001)*Calc!$F$2:$F$1001))))</f>
        <v/>
      </c>
      <c r="R71">
        <f>IF(I71=0,0,(MIN(MAX((K71+N71),0),L71)*W71+SUMPRODUCT((Calc!$A$2:$A$1001=A71)*Calc!$G$2:$G$1001*((((K71+N71)-(L71+Calc!$J$2:$J$1001))&gt;0)*(((K71+N71)-(L71+Calc!$J$2:$J$1001))&lt;Calc!$F$2:$F$1001)*((K71+N71)-(L71+Calc!$J$2:$J$1001))+(((K71+N71)-(L71+Calc!$J$2:$J$1001))&gt;=Calc!$F$2:$F$1001)*Calc!$F$2:$F$1001))))</f>
        <v/>
      </c>
      <c r="S71">
        <f>IF(I71=0,0,(MIN(MAX((K71+O71),0),L71)*W71+SUMPRODUCT((Calc!$A$2:$A$1001=A71)*Calc!$G$2:$G$1001*((((K71+O71)-(L71+Calc!$J$2:$J$1001))&gt;0)*(((K71+O71)-(L71+Calc!$J$2:$J$1001))&lt;Calc!$F$2:$F$1001)*((K71+O71)-(L71+Calc!$J$2:$J$1001))+(((K71+O71)-(L71+Calc!$J$2:$J$1001))&gt;=Calc!$F$2:$F$1001)*Calc!$F$2:$F$1001))))</f>
        <v/>
      </c>
      <c r="T71">
        <f>IF(AND(E71=1,B71="RETURN"),Transactions!E71*Transactions!G71,0)</f>
        <v/>
      </c>
      <c r="U71">
        <f>IF(AND(E71=1,B71="EXPENSE"),Transactions!J71,0)</f>
        <v/>
      </c>
      <c r="V71">
        <f>IF(AND(Transactions!A71&lt;&gt;"",E71=0),ROW(),"")</f>
        <v/>
      </c>
      <c r="W71">
        <f>IFERROR(VLOOKUP(A71,Opening!$A:$D,4,0),0)</f>
        <v/>
      </c>
    </row>
    <row r="72">
      <c r="A72">
        <f>IF(Transactions!D72="","",UPPER(TRIM(Transactions!D72)))</f>
        <v/>
      </c>
      <c r="B72">
        <f>IF(Transactions!C72="","",UPPER(TRIM(Transactions!C72)))</f>
        <v/>
      </c>
      <c r="C72">
        <f>IF(Transactions!B72="",0,YEAR(Transactions!B72)*100+MONTH(Transactions!B72))</f>
        <v/>
      </c>
      <c r="D72">
        <f>IF(Transactions!A72="",1,IF(COUNTIF(Transactions!$A$1:A71,Transactions!A72)&gt;0,1,0))</f>
        <v/>
      </c>
      <c r="E72">
        <f>IF(D72=1,0,IF(B72="RETURN",IF(COUNTIFS($A$1:A71,A72,$B$1:B71,"SALE",$E$1:E71,1)&gt;0,1,0),1))</f>
        <v/>
      </c>
      <c r="F72">
        <f>IF(E72=1,IF(B72="RECEIPT",Transactions!E72,IF(AND(B72="RETURN",LOWER(TRIM(Transactions!H72))="resellable"),Transactions!E72,0)),0)</f>
        <v/>
      </c>
      <c r="G72">
        <f>IF(F72&gt;0,IF(B72="RECEIPT",Transactions!F72,IF(_xlfn.MAXIFS($H$2:H72,$A$2:A72,A72)&gt;0,INDEX(Transactions!$F:$F,_xlfn.MAXIFS($H$2:H72,$A$2:A72,A72)),W72)),0)</f>
        <v/>
      </c>
      <c r="H72">
        <f>IF(AND(E72=1,B72="RECEIPT"),ROW(),0)</f>
        <v/>
      </c>
      <c r="I72">
        <f>IF(E72=1,IF(OR(B72="SALE",B72="WRITEOFF"),Transactions!E72,0),0)</f>
        <v/>
      </c>
      <c r="J72">
        <f>SUMIFS($F$1:F71,$A$1:A71,A72)</f>
        <v/>
      </c>
      <c r="K72">
        <f>SUMIFS($I$1:I71,$A$1:A71,A72)</f>
        <v/>
      </c>
      <c r="L72">
        <f>IFERROR(VLOOKUP(A72,Opening!$A:$C,3,0),0)</f>
        <v/>
      </c>
      <c r="M72">
        <f>IF(I72=0,0,MAX(0,MIN(INDEX(Month!H$2:H$13,MATCH($A72,Month!$A$2:$A$13,0))-K72,I72)))</f>
        <v/>
      </c>
      <c r="N72">
        <f>IF(I72=0,0,MAX(0,MIN(INDEX(Month!I$2:I$13,MATCH($A72,Month!$A$2:$A$13,0))-K72,I72)))</f>
        <v/>
      </c>
      <c r="O72">
        <f>IF(I72=0,0,MAX(0,MIN(INDEX(Month!J$2:J$13,MATCH($A72,Month!$A$2:$A$13,0))-K72,I72)))</f>
        <v/>
      </c>
      <c r="P72">
        <f>IF(I72=0,0,(MIN(MAX(K72,0),L72)*W72+SUMPRODUCT((Calc!$A$2:$A$1001=A72)*Calc!$G$2:$G$1001*(((K72-(L72+Calc!$J$2:$J$1001))&gt;0)*((K72-(L72+Calc!$J$2:$J$1001))&lt;Calc!$F$2:$F$1001)*(K72-(L72+Calc!$J$2:$J$1001))+((K72-(L72+Calc!$J$2:$J$1001))&gt;=Calc!$F$2:$F$1001)*Calc!$F$2:$F$1001))))</f>
        <v/>
      </c>
      <c r="Q72">
        <f>IF(I72=0,0,(MIN(MAX((K72+M72),0),L72)*W72+SUMPRODUCT((Calc!$A$2:$A$1001=A72)*Calc!$G$2:$G$1001*((((K72+M72)-(L72+Calc!$J$2:$J$1001))&gt;0)*(((K72+M72)-(L72+Calc!$J$2:$J$1001))&lt;Calc!$F$2:$F$1001)*((K72+M72)-(L72+Calc!$J$2:$J$1001))+(((K72+M72)-(L72+Calc!$J$2:$J$1001))&gt;=Calc!$F$2:$F$1001)*Calc!$F$2:$F$1001))))</f>
        <v/>
      </c>
      <c r="R72">
        <f>IF(I72=0,0,(MIN(MAX((K72+N72),0),L72)*W72+SUMPRODUCT((Calc!$A$2:$A$1001=A72)*Calc!$G$2:$G$1001*((((K72+N72)-(L72+Calc!$J$2:$J$1001))&gt;0)*(((K72+N72)-(L72+Calc!$J$2:$J$1001))&lt;Calc!$F$2:$F$1001)*((K72+N72)-(L72+Calc!$J$2:$J$1001))+(((K72+N72)-(L72+Calc!$J$2:$J$1001))&gt;=Calc!$F$2:$F$1001)*Calc!$F$2:$F$1001))))</f>
        <v/>
      </c>
      <c r="S72">
        <f>IF(I72=0,0,(MIN(MAX((K72+O72),0),L72)*W72+SUMPRODUCT((Calc!$A$2:$A$1001=A72)*Calc!$G$2:$G$1001*((((K72+O72)-(L72+Calc!$J$2:$J$1001))&gt;0)*(((K72+O72)-(L72+Calc!$J$2:$J$1001))&lt;Calc!$F$2:$F$1001)*((K72+O72)-(L72+Calc!$J$2:$J$1001))+(((K72+O72)-(L72+Calc!$J$2:$J$1001))&gt;=Calc!$F$2:$F$1001)*Calc!$F$2:$F$1001))))</f>
        <v/>
      </c>
      <c r="T72">
        <f>IF(AND(E72=1,B72="RETURN"),Transactions!E72*Transactions!G72,0)</f>
        <v/>
      </c>
      <c r="U72">
        <f>IF(AND(E72=1,B72="EXPENSE"),Transactions!J72,0)</f>
        <v/>
      </c>
      <c r="V72">
        <f>IF(AND(Transactions!A72&lt;&gt;"",E72=0),ROW(),"")</f>
        <v/>
      </c>
      <c r="W72">
        <f>IFERROR(VLOOKUP(A72,Opening!$A:$D,4,0),0)</f>
        <v/>
      </c>
    </row>
    <row r="73">
      <c r="A73">
        <f>IF(Transactions!D73="","",UPPER(TRIM(Transactions!D73)))</f>
        <v/>
      </c>
      <c r="B73">
        <f>IF(Transactions!C73="","",UPPER(TRIM(Transactions!C73)))</f>
        <v/>
      </c>
      <c r="C73">
        <f>IF(Transactions!B73="",0,YEAR(Transactions!B73)*100+MONTH(Transactions!B73))</f>
        <v/>
      </c>
      <c r="D73">
        <f>IF(Transactions!A73="",1,IF(COUNTIF(Transactions!$A$1:A72,Transactions!A73)&gt;0,1,0))</f>
        <v/>
      </c>
      <c r="E73">
        <f>IF(D73=1,0,IF(B73="RETURN",IF(COUNTIFS($A$1:A72,A73,$B$1:B72,"SALE",$E$1:E72,1)&gt;0,1,0),1))</f>
        <v/>
      </c>
      <c r="F73">
        <f>IF(E73=1,IF(B73="RECEIPT",Transactions!E73,IF(AND(B73="RETURN",LOWER(TRIM(Transactions!H73))="resellable"),Transactions!E73,0)),0)</f>
        <v/>
      </c>
      <c r="G73">
        <f>IF(F73&gt;0,IF(B73="RECEIPT",Transactions!F73,IF(_xlfn.MAXIFS($H$2:H73,$A$2:A73,A73)&gt;0,INDEX(Transactions!$F:$F,_xlfn.MAXIFS($H$2:H73,$A$2:A73,A73)),W73)),0)</f>
        <v/>
      </c>
      <c r="H73">
        <f>IF(AND(E73=1,B73="RECEIPT"),ROW(),0)</f>
        <v/>
      </c>
      <c r="I73">
        <f>IF(E73=1,IF(OR(B73="SALE",B73="WRITEOFF"),Transactions!E73,0),0)</f>
        <v/>
      </c>
      <c r="J73">
        <f>SUMIFS($F$1:F72,$A$1:A72,A73)</f>
        <v/>
      </c>
      <c r="K73">
        <f>SUMIFS($I$1:I72,$A$1:A72,A73)</f>
        <v/>
      </c>
      <c r="L73">
        <f>IFERROR(VLOOKUP(A73,Opening!$A:$C,3,0),0)</f>
        <v/>
      </c>
      <c r="M73">
        <f>IF(I73=0,0,MAX(0,MIN(INDEX(Month!H$2:H$13,MATCH($A73,Month!$A$2:$A$13,0))-K73,I73)))</f>
        <v/>
      </c>
      <c r="N73">
        <f>IF(I73=0,0,MAX(0,MIN(INDEX(Month!I$2:I$13,MATCH($A73,Month!$A$2:$A$13,0))-K73,I73)))</f>
        <v/>
      </c>
      <c r="O73">
        <f>IF(I73=0,0,MAX(0,MIN(INDEX(Month!J$2:J$13,MATCH($A73,Month!$A$2:$A$13,0))-K73,I73)))</f>
        <v/>
      </c>
      <c r="P73">
        <f>IF(I73=0,0,(MIN(MAX(K73,0),L73)*W73+SUMPRODUCT((Calc!$A$2:$A$1001=A73)*Calc!$G$2:$G$1001*(((K73-(L73+Calc!$J$2:$J$1001))&gt;0)*((K73-(L73+Calc!$J$2:$J$1001))&lt;Calc!$F$2:$F$1001)*(K73-(L73+Calc!$J$2:$J$1001))+((K73-(L73+Calc!$J$2:$J$1001))&gt;=Calc!$F$2:$F$1001)*Calc!$F$2:$F$1001))))</f>
        <v/>
      </c>
      <c r="Q73">
        <f>IF(I73=0,0,(MIN(MAX((K73+M73),0),L73)*W73+SUMPRODUCT((Calc!$A$2:$A$1001=A73)*Calc!$G$2:$G$1001*((((K73+M73)-(L73+Calc!$J$2:$J$1001))&gt;0)*(((K73+M73)-(L73+Calc!$J$2:$J$1001))&lt;Calc!$F$2:$F$1001)*((K73+M73)-(L73+Calc!$J$2:$J$1001))+(((K73+M73)-(L73+Calc!$J$2:$J$1001))&gt;=Calc!$F$2:$F$1001)*Calc!$F$2:$F$1001))))</f>
        <v/>
      </c>
      <c r="R73">
        <f>IF(I73=0,0,(MIN(MAX((K73+N73),0),L73)*W73+SUMPRODUCT((Calc!$A$2:$A$1001=A73)*Calc!$G$2:$G$1001*((((K73+N73)-(L73+Calc!$J$2:$J$1001))&gt;0)*(((K73+N73)-(L73+Calc!$J$2:$J$1001))&lt;Calc!$F$2:$F$1001)*((K73+N73)-(L73+Calc!$J$2:$J$1001))+(((K73+N73)-(L73+Calc!$J$2:$J$1001))&gt;=Calc!$F$2:$F$1001)*Calc!$F$2:$F$1001))))</f>
        <v/>
      </c>
      <c r="S73">
        <f>IF(I73=0,0,(MIN(MAX((K73+O73),0),L73)*W73+SUMPRODUCT((Calc!$A$2:$A$1001=A73)*Calc!$G$2:$G$1001*((((K73+O73)-(L73+Calc!$J$2:$J$1001))&gt;0)*(((K73+O73)-(L73+Calc!$J$2:$J$1001))&lt;Calc!$F$2:$F$1001)*((K73+O73)-(L73+Calc!$J$2:$J$1001))+(((K73+O73)-(L73+Calc!$J$2:$J$1001))&gt;=Calc!$F$2:$F$1001)*Calc!$F$2:$F$1001))))</f>
        <v/>
      </c>
      <c r="T73">
        <f>IF(AND(E73=1,B73="RETURN"),Transactions!E73*Transactions!G73,0)</f>
        <v/>
      </c>
      <c r="U73">
        <f>IF(AND(E73=1,B73="EXPENSE"),Transactions!J73,0)</f>
        <v/>
      </c>
      <c r="V73">
        <f>IF(AND(Transactions!A73&lt;&gt;"",E73=0),ROW(),"")</f>
        <v/>
      </c>
      <c r="W73">
        <f>IFERROR(VLOOKUP(A73,Opening!$A:$D,4,0),0)</f>
        <v/>
      </c>
    </row>
    <row r="74">
      <c r="A74">
        <f>IF(Transactions!D74="","",UPPER(TRIM(Transactions!D74)))</f>
        <v/>
      </c>
      <c r="B74">
        <f>IF(Transactions!C74="","",UPPER(TRIM(Transactions!C74)))</f>
        <v/>
      </c>
      <c r="C74">
        <f>IF(Transactions!B74="",0,YEAR(Transactions!B74)*100+MONTH(Transactions!B74))</f>
        <v/>
      </c>
      <c r="D74">
        <f>IF(Transactions!A74="",1,IF(COUNTIF(Transactions!$A$1:A73,Transactions!A74)&gt;0,1,0))</f>
        <v/>
      </c>
      <c r="E74">
        <f>IF(D74=1,0,IF(B74="RETURN",IF(COUNTIFS($A$1:A73,A74,$B$1:B73,"SALE",$E$1:E73,1)&gt;0,1,0),1))</f>
        <v/>
      </c>
      <c r="F74">
        <f>IF(E74=1,IF(B74="RECEIPT",Transactions!E74,IF(AND(B74="RETURN",LOWER(TRIM(Transactions!H74))="resellable"),Transactions!E74,0)),0)</f>
        <v/>
      </c>
      <c r="G74">
        <f>IF(F74&gt;0,IF(B74="RECEIPT",Transactions!F74,IF(_xlfn.MAXIFS($H$2:H74,$A$2:A74,A74)&gt;0,INDEX(Transactions!$F:$F,_xlfn.MAXIFS($H$2:H74,$A$2:A74,A74)),W74)),0)</f>
        <v/>
      </c>
      <c r="H74">
        <f>IF(AND(E74=1,B74="RECEIPT"),ROW(),0)</f>
        <v/>
      </c>
      <c r="I74">
        <f>IF(E74=1,IF(OR(B74="SALE",B74="WRITEOFF"),Transactions!E74,0),0)</f>
        <v/>
      </c>
      <c r="J74">
        <f>SUMIFS($F$1:F73,$A$1:A73,A74)</f>
        <v/>
      </c>
      <c r="K74">
        <f>SUMIFS($I$1:I73,$A$1:A73,A74)</f>
        <v/>
      </c>
      <c r="L74">
        <f>IFERROR(VLOOKUP(A74,Opening!$A:$C,3,0),0)</f>
        <v/>
      </c>
      <c r="M74">
        <f>IF(I74=0,0,MAX(0,MIN(INDEX(Month!H$2:H$13,MATCH($A74,Month!$A$2:$A$13,0))-K74,I74)))</f>
        <v/>
      </c>
      <c r="N74">
        <f>IF(I74=0,0,MAX(0,MIN(INDEX(Month!I$2:I$13,MATCH($A74,Month!$A$2:$A$13,0))-K74,I74)))</f>
        <v/>
      </c>
      <c r="O74">
        <f>IF(I74=0,0,MAX(0,MIN(INDEX(Month!J$2:J$13,MATCH($A74,Month!$A$2:$A$13,0))-K74,I74)))</f>
        <v/>
      </c>
      <c r="P74">
        <f>IF(I74=0,0,(MIN(MAX(K74,0),L74)*W74+SUMPRODUCT((Calc!$A$2:$A$1001=A74)*Calc!$G$2:$G$1001*(((K74-(L74+Calc!$J$2:$J$1001))&gt;0)*((K74-(L74+Calc!$J$2:$J$1001))&lt;Calc!$F$2:$F$1001)*(K74-(L74+Calc!$J$2:$J$1001))+((K74-(L74+Calc!$J$2:$J$1001))&gt;=Calc!$F$2:$F$1001)*Calc!$F$2:$F$1001))))</f>
        <v/>
      </c>
      <c r="Q74">
        <f>IF(I74=0,0,(MIN(MAX((K74+M74),0),L74)*W74+SUMPRODUCT((Calc!$A$2:$A$1001=A74)*Calc!$G$2:$G$1001*((((K74+M74)-(L74+Calc!$J$2:$J$1001))&gt;0)*(((K74+M74)-(L74+Calc!$J$2:$J$1001))&lt;Calc!$F$2:$F$1001)*((K74+M74)-(L74+Calc!$J$2:$J$1001))+(((K74+M74)-(L74+Calc!$J$2:$J$1001))&gt;=Calc!$F$2:$F$1001)*Calc!$F$2:$F$1001))))</f>
        <v/>
      </c>
      <c r="R74">
        <f>IF(I74=0,0,(MIN(MAX((K74+N74),0),L74)*W74+SUMPRODUCT((Calc!$A$2:$A$1001=A74)*Calc!$G$2:$G$1001*((((K74+N74)-(L74+Calc!$J$2:$J$1001))&gt;0)*(((K74+N74)-(L74+Calc!$J$2:$J$1001))&lt;Calc!$F$2:$F$1001)*((K74+N74)-(L74+Calc!$J$2:$J$1001))+(((K74+N74)-(L74+Calc!$J$2:$J$1001))&gt;=Calc!$F$2:$F$1001)*Calc!$F$2:$F$1001))))</f>
        <v/>
      </c>
      <c r="S74">
        <f>IF(I74=0,0,(MIN(MAX((K74+O74),0),L74)*W74+SUMPRODUCT((Calc!$A$2:$A$1001=A74)*Calc!$G$2:$G$1001*((((K74+O74)-(L74+Calc!$J$2:$J$1001))&gt;0)*(((K74+O74)-(L74+Calc!$J$2:$J$1001))&lt;Calc!$F$2:$F$1001)*((K74+O74)-(L74+Calc!$J$2:$J$1001))+(((K74+O74)-(L74+Calc!$J$2:$J$1001))&gt;=Calc!$F$2:$F$1001)*Calc!$F$2:$F$1001))))</f>
        <v/>
      </c>
      <c r="T74">
        <f>IF(AND(E74=1,B74="RETURN"),Transactions!E74*Transactions!G74,0)</f>
        <v/>
      </c>
      <c r="U74">
        <f>IF(AND(E74=1,B74="EXPENSE"),Transactions!J74,0)</f>
        <v/>
      </c>
      <c r="V74">
        <f>IF(AND(Transactions!A74&lt;&gt;"",E74=0),ROW(),"")</f>
        <v/>
      </c>
      <c r="W74">
        <f>IFERROR(VLOOKUP(A74,Opening!$A:$D,4,0),0)</f>
        <v/>
      </c>
    </row>
    <row r="75">
      <c r="A75">
        <f>IF(Transactions!D75="","",UPPER(TRIM(Transactions!D75)))</f>
        <v/>
      </c>
      <c r="B75">
        <f>IF(Transactions!C75="","",UPPER(TRIM(Transactions!C75)))</f>
        <v/>
      </c>
      <c r="C75">
        <f>IF(Transactions!B75="",0,YEAR(Transactions!B75)*100+MONTH(Transactions!B75))</f>
        <v/>
      </c>
      <c r="D75">
        <f>IF(Transactions!A75="",1,IF(COUNTIF(Transactions!$A$1:A74,Transactions!A75)&gt;0,1,0))</f>
        <v/>
      </c>
      <c r="E75">
        <f>IF(D75=1,0,IF(B75="RETURN",IF(COUNTIFS($A$1:A74,A75,$B$1:B74,"SALE",$E$1:E74,1)&gt;0,1,0),1))</f>
        <v/>
      </c>
      <c r="F75">
        <f>IF(E75=1,IF(B75="RECEIPT",Transactions!E75,IF(AND(B75="RETURN",LOWER(TRIM(Transactions!H75))="resellable"),Transactions!E75,0)),0)</f>
        <v/>
      </c>
      <c r="G75">
        <f>IF(F75&gt;0,IF(B75="RECEIPT",Transactions!F75,IF(_xlfn.MAXIFS($H$2:H75,$A$2:A75,A75)&gt;0,INDEX(Transactions!$F:$F,_xlfn.MAXIFS($H$2:H75,$A$2:A75,A75)),W75)),0)</f>
        <v/>
      </c>
      <c r="H75">
        <f>IF(AND(E75=1,B75="RECEIPT"),ROW(),0)</f>
        <v/>
      </c>
      <c r="I75">
        <f>IF(E75=1,IF(OR(B75="SALE",B75="WRITEOFF"),Transactions!E75,0),0)</f>
        <v/>
      </c>
      <c r="J75">
        <f>SUMIFS($F$1:F74,$A$1:A74,A75)</f>
        <v/>
      </c>
      <c r="K75">
        <f>SUMIFS($I$1:I74,$A$1:A74,A75)</f>
        <v/>
      </c>
      <c r="L75">
        <f>IFERROR(VLOOKUP(A75,Opening!$A:$C,3,0),0)</f>
        <v/>
      </c>
      <c r="M75">
        <f>IF(I75=0,0,MAX(0,MIN(INDEX(Month!H$2:H$13,MATCH($A75,Month!$A$2:$A$13,0))-K75,I75)))</f>
        <v/>
      </c>
      <c r="N75">
        <f>IF(I75=0,0,MAX(0,MIN(INDEX(Month!I$2:I$13,MATCH($A75,Month!$A$2:$A$13,0))-K75,I75)))</f>
        <v/>
      </c>
      <c r="O75">
        <f>IF(I75=0,0,MAX(0,MIN(INDEX(Month!J$2:J$13,MATCH($A75,Month!$A$2:$A$13,0))-K75,I75)))</f>
        <v/>
      </c>
      <c r="P75">
        <f>IF(I75=0,0,(MIN(MAX(K75,0),L75)*W75+SUMPRODUCT((Calc!$A$2:$A$1001=A75)*Calc!$G$2:$G$1001*(((K75-(L75+Calc!$J$2:$J$1001))&gt;0)*((K75-(L75+Calc!$J$2:$J$1001))&lt;Calc!$F$2:$F$1001)*(K75-(L75+Calc!$J$2:$J$1001))+((K75-(L75+Calc!$J$2:$J$1001))&gt;=Calc!$F$2:$F$1001)*Calc!$F$2:$F$1001))))</f>
        <v/>
      </c>
      <c r="Q75">
        <f>IF(I75=0,0,(MIN(MAX((K75+M75),0),L75)*W75+SUMPRODUCT((Calc!$A$2:$A$1001=A75)*Calc!$G$2:$G$1001*((((K75+M75)-(L75+Calc!$J$2:$J$1001))&gt;0)*(((K75+M75)-(L75+Calc!$J$2:$J$1001))&lt;Calc!$F$2:$F$1001)*((K75+M75)-(L75+Calc!$J$2:$J$1001))+(((K75+M75)-(L75+Calc!$J$2:$J$1001))&gt;=Calc!$F$2:$F$1001)*Calc!$F$2:$F$1001))))</f>
        <v/>
      </c>
      <c r="R75">
        <f>IF(I75=0,0,(MIN(MAX((K75+N75),0),L75)*W75+SUMPRODUCT((Calc!$A$2:$A$1001=A75)*Calc!$G$2:$G$1001*((((K75+N75)-(L75+Calc!$J$2:$J$1001))&gt;0)*(((K75+N75)-(L75+Calc!$J$2:$J$1001))&lt;Calc!$F$2:$F$1001)*((K75+N75)-(L75+Calc!$J$2:$J$1001))+(((K75+N75)-(L75+Calc!$J$2:$J$1001))&gt;=Calc!$F$2:$F$1001)*Calc!$F$2:$F$1001))))</f>
        <v/>
      </c>
      <c r="S75">
        <f>IF(I75=0,0,(MIN(MAX((K75+O75),0),L75)*W75+SUMPRODUCT((Calc!$A$2:$A$1001=A75)*Calc!$G$2:$G$1001*((((K75+O75)-(L75+Calc!$J$2:$J$1001))&gt;0)*(((K75+O75)-(L75+Calc!$J$2:$J$1001))&lt;Calc!$F$2:$F$1001)*((K75+O75)-(L75+Calc!$J$2:$J$1001))+(((K75+O75)-(L75+Calc!$J$2:$J$1001))&gt;=Calc!$F$2:$F$1001)*Calc!$F$2:$F$1001))))</f>
        <v/>
      </c>
      <c r="T75">
        <f>IF(AND(E75=1,B75="RETURN"),Transactions!E75*Transactions!G75,0)</f>
        <v/>
      </c>
      <c r="U75">
        <f>IF(AND(E75=1,B75="EXPENSE"),Transactions!J75,0)</f>
        <v/>
      </c>
      <c r="V75">
        <f>IF(AND(Transactions!A75&lt;&gt;"",E75=0),ROW(),"")</f>
        <v/>
      </c>
      <c r="W75">
        <f>IFERROR(VLOOKUP(A75,Opening!$A:$D,4,0),0)</f>
        <v/>
      </c>
    </row>
    <row r="76">
      <c r="A76">
        <f>IF(Transactions!D76="","",UPPER(TRIM(Transactions!D76)))</f>
        <v/>
      </c>
      <c r="B76">
        <f>IF(Transactions!C76="","",UPPER(TRIM(Transactions!C76)))</f>
        <v/>
      </c>
      <c r="C76">
        <f>IF(Transactions!B76="",0,YEAR(Transactions!B76)*100+MONTH(Transactions!B76))</f>
        <v/>
      </c>
      <c r="D76">
        <f>IF(Transactions!A76="",1,IF(COUNTIF(Transactions!$A$1:A75,Transactions!A76)&gt;0,1,0))</f>
        <v/>
      </c>
      <c r="E76">
        <f>IF(D76=1,0,IF(B76="RETURN",IF(COUNTIFS($A$1:A75,A76,$B$1:B75,"SALE",$E$1:E75,1)&gt;0,1,0),1))</f>
        <v/>
      </c>
      <c r="F76">
        <f>IF(E76=1,IF(B76="RECEIPT",Transactions!E76,IF(AND(B76="RETURN",LOWER(TRIM(Transactions!H76))="resellable"),Transactions!E76,0)),0)</f>
        <v/>
      </c>
      <c r="G76">
        <f>IF(F76&gt;0,IF(B76="RECEIPT",Transactions!F76,IF(_xlfn.MAXIFS($H$2:H76,$A$2:A76,A76)&gt;0,INDEX(Transactions!$F:$F,_xlfn.MAXIFS($H$2:H76,$A$2:A76,A76)),W76)),0)</f>
        <v/>
      </c>
      <c r="H76">
        <f>IF(AND(E76=1,B76="RECEIPT"),ROW(),0)</f>
        <v/>
      </c>
      <c r="I76">
        <f>IF(E76=1,IF(OR(B76="SALE",B76="WRITEOFF"),Transactions!E76,0),0)</f>
        <v/>
      </c>
      <c r="J76">
        <f>SUMIFS($F$1:F75,$A$1:A75,A76)</f>
        <v/>
      </c>
      <c r="K76">
        <f>SUMIFS($I$1:I75,$A$1:A75,A76)</f>
        <v/>
      </c>
      <c r="L76">
        <f>IFERROR(VLOOKUP(A76,Opening!$A:$C,3,0),0)</f>
        <v/>
      </c>
      <c r="M76">
        <f>IF(I76=0,0,MAX(0,MIN(INDEX(Month!H$2:H$13,MATCH($A76,Month!$A$2:$A$13,0))-K76,I76)))</f>
        <v/>
      </c>
      <c r="N76">
        <f>IF(I76=0,0,MAX(0,MIN(INDEX(Month!I$2:I$13,MATCH($A76,Month!$A$2:$A$13,0))-K76,I76)))</f>
        <v/>
      </c>
      <c r="O76">
        <f>IF(I76=0,0,MAX(0,MIN(INDEX(Month!J$2:J$13,MATCH($A76,Month!$A$2:$A$13,0))-K76,I76)))</f>
        <v/>
      </c>
      <c r="P76">
        <f>IF(I76=0,0,(MIN(MAX(K76,0),L76)*W76+SUMPRODUCT((Calc!$A$2:$A$1001=A76)*Calc!$G$2:$G$1001*(((K76-(L76+Calc!$J$2:$J$1001))&gt;0)*((K76-(L76+Calc!$J$2:$J$1001))&lt;Calc!$F$2:$F$1001)*(K76-(L76+Calc!$J$2:$J$1001))+((K76-(L76+Calc!$J$2:$J$1001))&gt;=Calc!$F$2:$F$1001)*Calc!$F$2:$F$1001))))</f>
        <v/>
      </c>
      <c r="Q76">
        <f>IF(I76=0,0,(MIN(MAX((K76+M76),0),L76)*W76+SUMPRODUCT((Calc!$A$2:$A$1001=A76)*Calc!$G$2:$G$1001*((((K76+M76)-(L76+Calc!$J$2:$J$1001))&gt;0)*(((K76+M76)-(L76+Calc!$J$2:$J$1001))&lt;Calc!$F$2:$F$1001)*((K76+M76)-(L76+Calc!$J$2:$J$1001))+(((K76+M76)-(L76+Calc!$J$2:$J$1001))&gt;=Calc!$F$2:$F$1001)*Calc!$F$2:$F$1001))))</f>
        <v/>
      </c>
      <c r="R76">
        <f>IF(I76=0,0,(MIN(MAX((K76+N76),0),L76)*W76+SUMPRODUCT((Calc!$A$2:$A$1001=A76)*Calc!$G$2:$G$1001*((((K76+N76)-(L76+Calc!$J$2:$J$1001))&gt;0)*(((K76+N76)-(L76+Calc!$J$2:$J$1001))&lt;Calc!$F$2:$F$1001)*((K76+N76)-(L76+Calc!$J$2:$J$1001))+(((K76+N76)-(L76+Calc!$J$2:$J$1001))&gt;=Calc!$F$2:$F$1001)*Calc!$F$2:$F$1001))))</f>
        <v/>
      </c>
      <c r="S76">
        <f>IF(I76=0,0,(MIN(MAX((K76+O76),0),L76)*W76+SUMPRODUCT((Calc!$A$2:$A$1001=A76)*Calc!$G$2:$G$1001*((((K76+O76)-(L76+Calc!$J$2:$J$1001))&gt;0)*(((K76+O76)-(L76+Calc!$J$2:$J$1001))&lt;Calc!$F$2:$F$1001)*((K76+O76)-(L76+Calc!$J$2:$J$1001))+(((K76+O76)-(L76+Calc!$J$2:$J$1001))&gt;=Calc!$F$2:$F$1001)*Calc!$F$2:$F$1001))))</f>
        <v/>
      </c>
      <c r="T76">
        <f>IF(AND(E76=1,B76="RETURN"),Transactions!E76*Transactions!G76,0)</f>
        <v/>
      </c>
      <c r="U76">
        <f>IF(AND(E76=1,B76="EXPENSE"),Transactions!J76,0)</f>
        <v/>
      </c>
      <c r="V76">
        <f>IF(AND(Transactions!A76&lt;&gt;"",E76=0),ROW(),"")</f>
        <v/>
      </c>
      <c r="W76">
        <f>IFERROR(VLOOKUP(A76,Opening!$A:$D,4,0),0)</f>
        <v/>
      </c>
    </row>
    <row r="77">
      <c r="A77">
        <f>IF(Transactions!D77="","",UPPER(TRIM(Transactions!D77)))</f>
        <v/>
      </c>
      <c r="B77">
        <f>IF(Transactions!C77="","",UPPER(TRIM(Transactions!C77)))</f>
        <v/>
      </c>
      <c r="C77">
        <f>IF(Transactions!B77="",0,YEAR(Transactions!B77)*100+MONTH(Transactions!B77))</f>
        <v/>
      </c>
      <c r="D77">
        <f>IF(Transactions!A77="",1,IF(COUNTIF(Transactions!$A$1:A76,Transactions!A77)&gt;0,1,0))</f>
        <v/>
      </c>
      <c r="E77">
        <f>IF(D77=1,0,IF(B77="RETURN",IF(COUNTIFS($A$1:A76,A77,$B$1:B76,"SALE",$E$1:E76,1)&gt;0,1,0),1))</f>
        <v/>
      </c>
      <c r="F77">
        <f>IF(E77=1,IF(B77="RECEIPT",Transactions!E77,IF(AND(B77="RETURN",LOWER(TRIM(Transactions!H77))="resellable"),Transactions!E77,0)),0)</f>
        <v/>
      </c>
      <c r="G77">
        <f>IF(F77&gt;0,IF(B77="RECEIPT",Transactions!F77,IF(_xlfn.MAXIFS($H$2:H77,$A$2:A77,A77)&gt;0,INDEX(Transactions!$F:$F,_xlfn.MAXIFS($H$2:H77,$A$2:A77,A77)),W77)),0)</f>
        <v/>
      </c>
      <c r="H77">
        <f>IF(AND(E77=1,B77="RECEIPT"),ROW(),0)</f>
        <v/>
      </c>
      <c r="I77">
        <f>IF(E77=1,IF(OR(B77="SALE",B77="WRITEOFF"),Transactions!E77,0),0)</f>
        <v/>
      </c>
      <c r="J77">
        <f>SUMIFS($F$1:F76,$A$1:A76,A77)</f>
        <v/>
      </c>
      <c r="K77">
        <f>SUMIFS($I$1:I76,$A$1:A76,A77)</f>
        <v/>
      </c>
      <c r="L77">
        <f>IFERROR(VLOOKUP(A77,Opening!$A:$C,3,0),0)</f>
        <v/>
      </c>
      <c r="M77">
        <f>IF(I77=0,0,MAX(0,MIN(INDEX(Month!H$2:H$13,MATCH($A77,Month!$A$2:$A$13,0))-K77,I77)))</f>
        <v/>
      </c>
      <c r="N77">
        <f>IF(I77=0,0,MAX(0,MIN(INDEX(Month!I$2:I$13,MATCH($A77,Month!$A$2:$A$13,0))-K77,I77)))</f>
        <v/>
      </c>
      <c r="O77">
        <f>IF(I77=0,0,MAX(0,MIN(INDEX(Month!J$2:J$13,MATCH($A77,Month!$A$2:$A$13,0))-K77,I77)))</f>
        <v/>
      </c>
      <c r="P77">
        <f>IF(I77=0,0,(MIN(MAX(K77,0),L77)*W77+SUMPRODUCT((Calc!$A$2:$A$1001=A77)*Calc!$G$2:$G$1001*(((K77-(L77+Calc!$J$2:$J$1001))&gt;0)*((K77-(L77+Calc!$J$2:$J$1001))&lt;Calc!$F$2:$F$1001)*(K77-(L77+Calc!$J$2:$J$1001))+((K77-(L77+Calc!$J$2:$J$1001))&gt;=Calc!$F$2:$F$1001)*Calc!$F$2:$F$1001))))</f>
        <v/>
      </c>
      <c r="Q77">
        <f>IF(I77=0,0,(MIN(MAX((K77+M77),0),L77)*W77+SUMPRODUCT((Calc!$A$2:$A$1001=A77)*Calc!$G$2:$G$1001*((((K77+M77)-(L77+Calc!$J$2:$J$1001))&gt;0)*(((K77+M77)-(L77+Calc!$J$2:$J$1001))&lt;Calc!$F$2:$F$1001)*((K77+M77)-(L77+Calc!$J$2:$J$1001))+(((K77+M77)-(L77+Calc!$J$2:$J$1001))&gt;=Calc!$F$2:$F$1001)*Calc!$F$2:$F$1001))))</f>
        <v/>
      </c>
      <c r="R77">
        <f>IF(I77=0,0,(MIN(MAX((K77+N77),0),L77)*W77+SUMPRODUCT((Calc!$A$2:$A$1001=A77)*Calc!$G$2:$G$1001*((((K77+N77)-(L77+Calc!$J$2:$J$1001))&gt;0)*(((K77+N77)-(L77+Calc!$J$2:$J$1001))&lt;Calc!$F$2:$F$1001)*((K77+N77)-(L77+Calc!$J$2:$J$1001))+(((K77+N77)-(L77+Calc!$J$2:$J$1001))&gt;=Calc!$F$2:$F$1001)*Calc!$F$2:$F$1001))))</f>
        <v/>
      </c>
      <c r="S77">
        <f>IF(I77=0,0,(MIN(MAX((K77+O77),0),L77)*W77+SUMPRODUCT((Calc!$A$2:$A$1001=A77)*Calc!$G$2:$G$1001*((((K77+O77)-(L77+Calc!$J$2:$J$1001))&gt;0)*(((K77+O77)-(L77+Calc!$J$2:$J$1001))&lt;Calc!$F$2:$F$1001)*((K77+O77)-(L77+Calc!$J$2:$J$1001))+(((K77+O77)-(L77+Calc!$J$2:$J$1001))&gt;=Calc!$F$2:$F$1001)*Calc!$F$2:$F$1001))))</f>
        <v/>
      </c>
      <c r="T77">
        <f>IF(AND(E77=1,B77="RETURN"),Transactions!E77*Transactions!G77,0)</f>
        <v/>
      </c>
      <c r="U77">
        <f>IF(AND(E77=1,B77="EXPENSE"),Transactions!J77,0)</f>
        <v/>
      </c>
      <c r="V77">
        <f>IF(AND(Transactions!A77&lt;&gt;"",E77=0),ROW(),"")</f>
        <v/>
      </c>
      <c r="W77">
        <f>IFERROR(VLOOKUP(A77,Opening!$A:$D,4,0),0)</f>
        <v/>
      </c>
    </row>
    <row r="78">
      <c r="A78">
        <f>IF(Transactions!D78="","",UPPER(TRIM(Transactions!D78)))</f>
        <v/>
      </c>
      <c r="B78">
        <f>IF(Transactions!C78="","",UPPER(TRIM(Transactions!C78)))</f>
        <v/>
      </c>
      <c r="C78">
        <f>IF(Transactions!B78="",0,YEAR(Transactions!B78)*100+MONTH(Transactions!B78))</f>
        <v/>
      </c>
      <c r="D78">
        <f>IF(Transactions!A78="",1,IF(COUNTIF(Transactions!$A$1:A77,Transactions!A78)&gt;0,1,0))</f>
        <v/>
      </c>
      <c r="E78">
        <f>IF(D78=1,0,IF(B78="RETURN",IF(COUNTIFS($A$1:A77,A78,$B$1:B77,"SALE",$E$1:E77,1)&gt;0,1,0),1))</f>
        <v/>
      </c>
      <c r="F78">
        <f>IF(E78=1,IF(B78="RECEIPT",Transactions!E78,IF(AND(B78="RETURN",LOWER(TRIM(Transactions!H78))="resellable"),Transactions!E78,0)),0)</f>
        <v/>
      </c>
      <c r="G78">
        <f>IF(F78&gt;0,IF(B78="RECEIPT",Transactions!F78,IF(_xlfn.MAXIFS($H$2:H78,$A$2:A78,A78)&gt;0,INDEX(Transactions!$F:$F,_xlfn.MAXIFS($H$2:H78,$A$2:A78,A78)),W78)),0)</f>
        <v/>
      </c>
      <c r="H78">
        <f>IF(AND(E78=1,B78="RECEIPT"),ROW(),0)</f>
        <v/>
      </c>
      <c r="I78">
        <f>IF(E78=1,IF(OR(B78="SALE",B78="WRITEOFF"),Transactions!E78,0),0)</f>
        <v/>
      </c>
      <c r="J78">
        <f>SUMIFS($F$1:F77,$A$1:A77,A78)</f>
        <v/>
      </c>
      <c r="K78">
        <f>SUMIFS($I$1:I77,$A$1:A77,A78)</f>
        <v/>
      </c>
      <c r="L78">
        <f>IFERROR(VLOOKUP(A78,Opening!$A:$C,3,0),0)</f>
        <v/>
      </c>
      <c r="M78">
        <f>IF(I78=0,0,MAX(0,MIN(INDEX(Month!H$2:H$13,MATCH($A78,Month!$A$2:$A$13,0))-K78,I78)))</f>
        <v/>
      </c>
      <c r="N78">
        <f>IF(I78=0,0,MAX(0,MIN(INDEX(Month!I$2:I$13,MATCH($A78,Month!$A$2:$A$13,0))-K78,I78)))</f>
        <v/>
      </c>
      <c r="O78">
        <f>IF(I78=0,0,MAX(0,MIN(INDEX(Month!J$2:J$13,MATCH($A78,Month!$A$2:$A$13,0))-K78,I78)))</f>
        <v/>
      </c>
      <c r="P78">
        <f>IF(I78=0,0,(MIN(MAX(K78,0),L78)*W78+SUMPRODUCT((Calc!$A$2:$A$1001=A78)*Calc!$G$2:$G$1001*(((K78-(L78+Calc!$J$2:$J$1001))&gt;0)*((K78-(L78+Calc!$J$2:$J$1001))&lt;Calc!$F$2:$F$1001)*(K78-(L78+Calc!$J$2:$J$1001))+((K78-(L78+Calc!$J$2:$J$1001))&gt;=Calc!$F$2:$F$1001)*Calc!$F$2:$F$1001))))</f>
        <v/>
      </c>
      <c r="Q78">
        <f>IF(I78=0,0,(MIN(MAX((K78+M78),0),L78)*W78+SUMPRODUCT((Calc!$A$2:$A$1001=A78)*Calc!$G$2:$G$1001*((((K78+M78)-(L78+Calc!$J$2:$J$1001))&gt;0)*(((K78+M78)-(L78+Calc!$J$2:$J$1001))&lt;Calc!$F$2:$F$1001)*((K78+M78)-(L78+Calc!$J$2:$J$1001))+(((K78+M78)-(L78+Calc!$J$2:$J$1001))&gt;=Calc!$F$2:$F$1001)*Calc!$F$2:$F$1001))))</f>
        <v/>
      </c>
      <c r="R78">
        <f>IF(I78=0,0,(MIN(MAX((K78+N78),0),L78)*W78+SUMPRODUCT((Calc!$A$2:$A$1001=A78)*Calc!$G$2:$G$1001*((((K78+N78)-(L78+Calc!$J$2:$J$1001))&gt;0)*(((K78+N78)-(L78+Calc!$J$2:$J$1001))&lt;Calc!$F$2:$F$1001)*((K78+N78)-(L78+Calc!$J$2:$J$1001))+(((K78+N78)-(L78+Calc!$J$2:$J$1001))&gt;=Calc!$F$2:$F$1001)*Calc!$F$2:$F$1001))))</f>
        <v/>
      </c>
      <c r="S78">
        <f>IF(I78=0,0,(MIN(MAX((K78+O78),0),L78)*W78+SUMPRODUCT((Calc!$A$2:$A$1001=A78)*Calc!$G$2:$G$1001*((((K78+O78)-(L78+Calc!$J$2:$J$1001))&gt;0)*(((K78+O78)-(L78+Calc!$J$2:$J$1001))&lt;Calc!$F$2:$F$1001)*((K78+O78)-(L78+Calc!$J$2:$J$1001))+(((K78+O78)-(L78+Calc!$J$2:$J$1001))&gt;=Calc!$F$2:$F$1001)*Calc!$F$2:$F$1001))))</f>
        <v/>
      </c>
      <c r="T78">
        <f>IF(AND(E78=1,B78="RETURN"),Transactions!E78*Transactions!G78,0)</f>
        <v/>
      </c>
      <c r="U78">
        <f>IF(AND(E78=1,B78="EXPENSE"),Transactions!J78,0)</f>
        <v/>
      </c>
      <c r="V78">
        <f>IF(AND(Transactions!A78&lt;&gt;"",E78=0),ROW(),"")</f>
        <v/>
      </c>
      <c r="W78">
        <f>IFERROR(VLOOKUP(A78,Opening!$A:$D,4,0),0)</f>
        <v/>
      </c>
    </row>
    <row r="79">
      <c r="A79">
        <f>IF(Transactions!D79="","",UPPER(TRIM(Transactions!D79)))</f>
        <v/>
      </c>
      <c r="B79">
        <f>IF(Transactions!C79="","",UPPER(TRIM(Transactions!C79)))</f>
        <v/>
      </c>
      <c r="C79">
        <f>IF(Transactions!B79="",0,YEAR(Transactions!B79)*100+MONTH(Transactions!B79))</f>
        <v/>
      </c>
      <c r="D79">
        <f>IF(Transactions!A79="",1,IF(COUNTIF(Transactions!$A$1:A78,Transactions!A79)&gt;0,1,0))</f>
        <v/>
      </c>
      <c r="E79">
        <f>IF(D79=1,0,IF(B79="RETURN",IF(COUNTIFS($A$1:A78,A79,$B$1:B78,"SALE",$E$1:E78,1)&gt;0,1,0),1))</f>
        <v/>
      </c>
      <c r="F79">
        <f>IF(E79=1,IF(B79="RECEIPT",Transactions!E79,IF(AND(B79="RETURN",LOWER(TRIM(Transactions!H79))="resellable"),Transactions!E79,0)),0)</f>
        <v/>
      </c>
      <c r="G79">
        <f>IF(F79&gt;0,IF(B79="RECEIPT",Transactions!F79,IF(_xlfn.MAXIFS($H$2:H79,$A$2:A79,A79)&gt;0,INDEX(Transactions!$F:$F,_xlfn.MAXIFS($H$2:H79,$A$2:A79,A79)),W79)),0)</f>
        <v/>
      </c>
      <c r="H79">
        <f>IF(AND(E79=1,B79="RECEIPT"),ROW(),0)</f>
        <v/>
      </c>
      <c r="I79">
        <f>IF(E79=1,IF(OR(B79="SALE",B79="WRITEOFF"),Transactions!E79,0),0)</f>
        <v/>
      </c>
      <c r="J79">
        <f>SUMIFS($F$1:F78,$A$1:A78,A79)</f>
        <v/>
      </c>
      <c r="K79">
        <f>SUMIFS($I$1:I78,$A$1:A78,A79)</f>
        <v/>
      </c>
      <c r="L79">
        <f>IFERROR(VLOOKUP(A79,Opening!$A:$C,3,0),0)</f>
        <v/>
      </c>
      <c r="M79">
        <f>IF(I79=0,0,MAX(0,MIN(INDEX(Month!H$2:H$13,MATCH($A79,Month!$A$2:$A$13,0))-K79,I79)))</f>
        <v/>
      </c>
      <c r="N79">
        <f>IF(I79=0,0,MAX(0,MIN(INDEX(Month!I$2:I$13,MATCH($A79,Month!$A$2:$A$13,0))-K79,I79)))</f>
        <v/>
      </c>
      <c r="O79">
        <f>IF(I79=0,0,MAX(0,MIN(INDEX(Month!J$2:J$13,MATCH($A79,Month!$A$2:$A$13,0))-K79,I79)))</f>
        <v/>
      </c>
      <c r="P79">
        <f>IF(I79=0,0,(MIN(MAX(K79,0),L79)*W79+SUMPRODUCT((Calc!$A$2:$A$1001=A79)*Calc!$G$2:$G$1001*(((K79-(L79+Calc!$J$2:$J$1001))&gt;0)*((K79-(L79+Calc!$J$2:$J$1001))&lt;Calc!$F$2:$F$1001)*(K79-(L79+Calc!$J$2:$J$1001))+((K79-(L79+Calc!$J$2:$J$1001))&gt;=Calc!$F$2:$F$1001)*Calc!$F$2:$F$1001))))</f>
        <v/>
      </c>
      <c r="Q79">
        <f>IF(I79=0,0,(MIN(MAX((K79+M79),0),L79)*W79+SUMPRODUCT((Calc!$A$2:$A$1001=A79)*Calc!$G$2:$G$1001*((((K79+M79)-(L79+Calc!$J$2:$J$1001))&gt;0)*(((K79+M79)-(L79+Calc!$J$2:$J$1001))&lt;Calc!$F$2:$F$1001)*((K79+M79)-(L79+Calc!$J$2:$J$1001))+(((K79+M79)-(L79+Calc!$J$2:$J$1001))&gt;=Calc!$F$2:$F$1001)*Calc!$F$2:$F$1001))))</f>
        <v/>
      </c>
      <c r="R79">
        <f>IF(I79=0,0,(MIN(MAX((K79+N79),0),L79)*W79+SUMPRODUCT((Calc!$A$2:$A$1001=A79)*Calc!$G$2:$G$1001*((((K79+N79)-(L79+Calc!$J$2:$J$1001))&gt;0)*(((K79+N79)-(L79+Calc!$J$2:$J$1001))&lt;Calc!$F$2:$F$1001)*((K79+N79)-(L79+Calc!$J$2:$J$1001))+(((K79+N79)-(L79+Calc!$J$2:$J$1001))&gt;=Calc!$F$2:$F$1001)*Calc!$F$2:$F$1001))))</f>
        <v/>
      </c>
      <c r="S79">
        <f>IF(I79=0,0,(MIN(MAX((K79+O79),0),L79)*W79+SUMPRODUCT((Calc!$A$2:$A$1001=A79)*Calc!$G$2:$G$1001*((((K79+O79)-(L79+Calc!$J$2:$J$1001))&gt;0)*(((K79+O79)-(L79+Calc!$J$2:$J$1001))&lt;Calc!$F$2:$F$1001)*((K79+O79)-(L79+Calc!$J$2:$J$1001))+(((K79+O79)-(L79+Calc!$J$2:$J$1001))&gt;=Calc!$F$2:$F$1001)*Calc!$F$2:$F$1001))))</f>
        <v/>
      </c>
      <c r="T79">
        <f>IF(AND(E79=1,B79="RETURN"),Transactions!E79*Transactions!G79,0)</f>
        <v/>
      </c>
      <c r="U79">
        <f>IF(AND(E79=1,B79="EXPENSE"),Transactions!J79,0)</f>
        <v/>
      </c>
      <c r="V79">
        <f>IF(AND(Transactions!A79&lt;&gt;"",E79=0),ROW(),"")</f>
        <v/>
      </c>
      <c r="W79">
        <f>IFERROR(VLOOKUP(A79,Opening!$A:$D,4,0),0)</f>
        <v/>
      </c>
    </row>
    <row r="80">
      <c r="A80">
        <f>IF(Transactions!D80="","",UPPER(TRIM(Transactions!D80)))</f>
        <v/>
      </c>
      <c r="B80">
        <f>IF(Transactions!C80="","",UPPER(TRIM(Transactions!C80)))</f>
        <v/>
      </c>
      <c r="C80">
        <f>IF(Transactions!B80="",0,YEAR(Transactions!B80)*100+MONTH(Transactions!B80))</f>
        <v/>
      </c>
      <c r="D80">
        <f>IF(Transactions!A80="",1,IF(COUNTIF(Transactions!$A$1:A79,Transactions!A80)&gt;0,1,0))</f>
        <v/>
      </c>
      <c r="E80">
        <f>IF(D80=1,0,IF(B80="RETURN",IF(COUNTIFS($A$1:A79,A80,$B$1:B79,"SALE",$E$1:E79,1)&gt;0,1,0),1))</f>
        <v/>
      </c>
      <c r="F80">
        <f>IF(E80=1,IF(B80="RECEIPT",Transactions!E80,IF(AND(B80="RETURN",LOWER(TRIM(Transactions!H80))="resellable"),Transactions!E80,0)),0)</f>
        <v/>
      </c>
      <c r="G80">
        <f>IF(F80&gt;0,IF(B80="RECEIPT",Transactions!F80,IF(_xlfn.MAXIFS($H$2:H80,$A$2:A80,A80)&gt;0,INDEX(Transactions!$F:$F,_xlfn.MAXIFS($H$2:H80,$A$2:A80,A80)),W80)),0)</f>
        <v/>
      </c>
      <c r="H80">
        <f>IF(AND(E80=1,B80="RECEIPT"),ROW(),0)</f>
        <v/>
      </c>
      <c r="I80">
        <f>IF(E80=1,IF(OR(B80="SALE",B80="WRITEOFF"),Transactions!E80,0),0)</f>
        <v/>
      </c>
      <c r="J80">
        <f>SUMIFS($F$1:F79,$A$1:A79,A80)</f>
        <v/>
      </c>
      <c r="K80">
        <f>SUMIFS($I$1:I79,$A$1:A79,A80)</f>
        <v/>
      </c>
      <c r="L80">
        <f>IFERROR(VLOOKUP(A80,Opening!$A:$C,3,0),0)</f>
        <v/>
      </c>
      <c r="M80">
        <f>IF(I80=0,0,MAX(0,MIN(INDEX(Month!H$2:H$13,MATCH($A80,Month!$A$2:$A$13,0))-K80,I80)))</f>
        <v/>
      </c>
      <c r="N80">
        <f>IF(I80=0,0,MAX(0,MIN(INDEX(Month!I$2:I$13,MATCH($A80,Month!$A$2:$A$13,0))-K80,I80)))</f>
        <v/>
      </c>
      <c r="O80">
        <f>IF(I80=0,0,MAX(0,MIN(INDEX(Month!J$2:J$13,MATCH($A80,Month!$A$2:$A$13,0))-K80,I80)))</f>
        <v/>
      </c>
      <c r="P80">
        <f>IF(I80=0,0,(MIN(MAX(K80,0),L80)*W80+SUMPRODUCT((Calc!$A$2:$A$1001=A80)*Calc!$G$2:$G$1001*(((K80-(L80+Calc!$J$2:$J$1001))&gt;0)*((K80-(L80+Calc!$J$2:$J$1001))&lt;Calc!$F$2:$F$1001)*(K80-(L80+Calc!$J$2:$J$1001))+((K80-(L80+Calc!$J$2:$J$1001))&gt;=Calc!$F$2:$F$1001)*Calc!$F$2:$F$1001))))</f>
        <v/>
      </c>
      <c r="Q80">
        <f>IF(I80=0,0,(MIN(MAX((K80+M80),0),L80)*W80+SUMPRODUCT((Calc!$A$2:$A$1001=A80)*Calc!$G$2:$G$1001*((((K80+M80)-(L80+Calc!$J$2:$J$1001))&gt;0)*(((K80+M80)-(L80+Calc!$J$2:$J$1001))&lt;Calc!$F$2:$F$1001)*((K80+M80)-(L80+Calc!$J$2:$J$1001))+(((K80+M80)-(L80+Calc!$J$2:$J$1001))&gt;=Calc!$F$2:$F$1001)*Calc!$F$2:$F$1001))))</f>
        <v/>
      </c>
      <c r="R80">
        <f>IF(I80=0,0,(MIN(MAX((K80+N80),0),L80)*W80+SUMPRODUCT((Calc!$A$2:$A$1001=A80)*Calc!$G$2:$G$1001*((((K80+N80)-(L80+Calc!$J$2:$J$1001))&gt;0)*(((K80+N80)-(L80+Calc!$J$2:$J$1001))&lt;Calc!$F$2:$F$1001)*((K80+N80)-(L80+Calc!$J$2:$J$1001))+(((K80+N80)-(L80+Calc!$J$2:$J$1001))&gt;=Calc!$F$2:$F$1001)*Calc!$F$2:$F$1001))))</f>
        <v/>
      </c>
      <c r="S80">
        <f>IF(I80=0,0,(MIN(MAX((K80+O80),0),L80)*W80+SUMPRODUCT((Calc!$A$2:$A$1001=A80)*Calc!$G$2:$G$1001*((((K80+O80)-(L80+Calc!$J$2:$J$1001))&gt;0)*(((K80+O80)-(L80+Calc!$J$2:$J$1001))&lt;Calc!$F$2:$F$1001)*((K80+O80)-(L80+Calc!$J$2:$J$1001))+(((K80+O80)-(L80+Calc!$J$2:$J$1001))&gt;=Calc!$F$2:$F$1001)*Calc!$F$2:$F$1001))))</f>
        <v/>
      </c>
      <c r="T80">
        <f>IF(AND(E80=1,B80="RETURN"),Transactions!E80*Transactions!G80,0)</f>
        <v/>
      </c>
      <c r="U80">
        <f>IF(AND(E80=1,B80="EXPENSE"),Transactions!J80,0)</f>
        <v/>
      </c>
      <c r="V80">
        <f>IF(AND(Transactions!A80&lt;&gt;"",E80=0),ROW(),"")</f>
        <v/>
      </c>
      <c r="W80">
        <f>IFERROR(VLOOKUP(A80,Opening!$A:$D,4,0),0)</f>
        <v/>
      </c>
    </row>
    <row r="81">
      <c r="A81">
        <f>IF(Transactions!D81="","",UPPER(TRIM(Transactions!D81)))</f>
        <v/>
      </c>
      <c r="B81">
        <f>IF(Transactions!C81="","",UPPER(TRIM(Transactions!C81)))</f>
        <v/>
      </c>
      <c r="C81">
        <f>IF(Transactions!B81="",0,YEAR(Transactions!B81)*100+MONTH(Transactions!B81))</f>
        <v/>
      </c>
      <c r="D81">
        <f>IF(Transactions!A81="",1,IF(COUNTIF(Transactions!$A$1:A80,Transactions!A81)&gt;0,1,0))</f>
        <v/>
      </c>
      <c r="E81">
        <f>IF(D81=1,0,IF(B81="RETURN",IF(COUNTIFS($A$1:A80,A81,$B$1:B80,"SALE",$E$1:E80,1)&gt;0,1,0),1))</f>
        <v/>
      </c>
      <c r="F81">
        <f>IF(E81=1,IF(B81="RECEIPT",Transactions!E81,IF(AND(B81="RETURN",LOWER(TRIM(Transactions!H81))="resellable"),Transactions!E81,0)),0)</f>
        <v/>
      </c>
      <c r="G81">
        <f>IF(F81&gt;0,IF(B81="RECEIPT",Transactions!F81,IF(_xlfn.MAXIFS($H$2:H81,$A$2:A81,A81)&gt;0,INDEX(Transactions!$F:$F,_xlfn.MAXIFS($H$2:H81,$A$2:A81,A81)),W81)),0)</f>
        <v/>
      </c>
      <c r="H81">
        <f>IF(AND(E81=1,B81="RECEIPT"),ROW(),0)</f>
        <v/>
      </c>
      <c r="I81">
        <f>IF(E81=1,IF(OR(B81="SALE",B81="WRITEOFF"),Transactions!E81,0),0)</f>
        <v/>
      </c>
      <c r="J81">
        <f>SUMIFS($F$1:F80,$A$1:A80,A81)</f>
        <v/>
      </c>
      <c r="K81">
        <f>SUMIFS($I$1:I80,$A$1:A80,A81)</f>
        <v/>
      </c>
      <c r="L81">
        <f>IFERROR(VLOOKUP(A81,Opening!$A:$C,3,0),0)</f>
        <v/>
      </c>
      <c r="M81">
        <f>IF(I81=0,0,MAX(0,MIN(INDEX(Month!H$2:H$13,MATCH($A81,Month!$A$2:$A$13,0))-K81,I81)))</f>
        <v/>
      </c>
      <c r="N81">
        <f>IF(I81=0,0,MAX(0,MIN(INDEX(Month!I$2:I$13,MATCH($A81,Month!$A$2:$A$13,0))-K81,I81)))</f>
        <v/>
      </c>
      <c r="O81">
        <f>IF(I81=0,0,MAX(0,MIN(INDEX(Month!J$2:J$13,MATCH($A81,Month!$A$2:$A$13,0))-K81,I81)))</f>
        <v/>
      </c>
      <c r="P81">
        <f>IF(I81=0,0,(MIN(MAX(K81,0),L81)*W81+SUMPRODUCT((Calc!$A$2:$A$1001=A81)*Calc!$G$2:$G$1001*(((K81-(L81+Calc!$J$2:$J$1001))&gt;0)*((K81-(L81+Calc!$J$2:$J$1001))&lt;Calc!$F$2:$F$1001)*(K81-(L81+Calc!$J$2:$J$1001))+((K81-(L81+Calc!$J$2:$J$1001))&gt;=Calc!$F$2:$F$1001)*Calc!$F$2:$F$1001))))</f>
        <v/>
      </c>
      <c r="Q81">
        <f>IF(I81=0,0,(MIN(MAX((K81+M81),0),L81)*W81+SUMPRODUCT((Calc!$A$2:$A$1001=A81)*Calc!$G$2:$G$1001*((((K81+M81)-(L81+Calc!$J$2:$J$1001))&gt;0)*(((K81+M81)-(L81+Calc!$J$2:$J$1001))&lt;Calc!$F$2:$F$1001)*((K81+M81)-(L81+Calc!$J$2:$J$1001))+(((K81+M81)-(L81+Calc!$J$2:$J$1001))&gt;=Calc!$F$2:$F$1001)*Calc!$F$2:$F$1001))))</f>
        <v/>
      </c>
      <c r="R81">
        <f>IF(I81=0,0,(MIN(MAX((K81+N81),0),L81)*W81+SUMPRODUCT((Calc!$A$2:$A$1001=A81)*Calc!$G$2:$G$1001*((((K81+N81)-(L81+Calc!$J$2:$J$1001))&gt;0)*(((K81+N81)-(L81+Calc!$J$2:$J$1001))&lt;Calc!$F$2:$F$1001)*((K81+N81)-(L81+Calc!$J$2:$J$1001))+(((K81+N81)-(L81+Calc!$J$2:$J$1001))&gt;=Calc!$F$2:$F$1001)*Calc!$F$2:$F$1001))))</f>
        <v/>
      </c>
      <c r="S81">
        <f>IF(I81=0,0,(MIN(MAX((K81+O81),0),L81)*W81+SUMPRODUCT((Calc!$A$2:$A$1001=A81)*Calc!$G$2:$G$1001*((((K81+O81)-(L81+Calc!$J$2:$J$1001))&gt;0)*(((K81+O81)-(L81+Calc!$J$2:$J$1001))&lt;Calc!$F$2:$F$1001)*((K81+O81)-(L81+Calc!$J$2:$J$1001))+(((K81+O81)-(L81+Calc!$J$2:$J$1001))&gt;=Calc!$F$2:$F$1001)*Calc!$F$2:$F$1001))))</f>
        <v/>
      </c>
      <c r="T81">
        <f>IF(AND(E81=1,B81="RETURN"),Transactions!E81*Transactions!G81,0)</f>
        <v/>
      </c>
      <c r="U81">
        <f>IF(AND(E81=1,B81="EXPENSE"),Transactions!J81,0)</f>
        <v/>
      </c>
      <c r="V81">
        <f>IF(AND(Transactions!A81&lt;&gt;"",E81=0),ROW(),"")</f>
        <v/>
      </c>
      <c r="W81">
        <f>IFERROR(VLOOKUP(A81,Opening!$A:$D,4,0),0)</f>
        <v/>
      </c>
    </row>
    <row r="82">
      <c r="A82">
        <f>IF(Transactions!D82="","",UPPER(TRIM(Transactions!D82)))</f>
        <v/>
      </c>
      <c r="B82">
        <f>IF(Transactions!C82="","",UPPER(TRIM(Transactions!C82)))</f>
        <v/>
      </c>
      <c r="C82">
        <f>IF(Transactions!B82="",0,YEAR(Transactions!B82)*100+MONTH(Transactions!B82))</f>
        <v/>
      </c>
      <c r="D82">
        <f>IF(Transactions!A82="",1,IF(COUNTIF(Transactions!$A$1:A81,Transactions!A82)&gt;0,1,0))</f>
        <v/>
      </c>
      <c r="E82">
        <f>IF(D82=1,0,IF(B82="RETURN",IF(COUNTIFS($A$1:A81,A82,$B$1:B81,"SALE",$E$1:E81,1)&gt;0,1,0),1))</f>
        <v/>
      </c>
      <c r="F82">
        <f>IF(E82=1,IF(B82="RECEIPT",Transactions!E82,IF(AND(B82="RETURN",LOWER(TRIM(Transactions!H82))="resellable"),Transactions!E82,0)),0)</f>
        <v/>
      </c>
      <c r="G82">
        <f>IF(F82&gt;0,IF(B82="RECEIPT",Transactions!F82,IF(_xlfn.MAXIFS($H$2:H82,$A$2:A82,A82)&gt;0,INDEX(Transactions!$F:$F,_xlfn.MAXIFS($H$2:H82,$A$2:A82,A82)),W82)),0)</f>
        <v/>
      </c>
      <c r="H82">
        <f>IF(AND(E82=1,B82="RECEIPT"),ROW(),0)</f>
        <v/>
      </c>
      <c r="I82">
        <f>IF(E82=1,IF(OR(B82="SALE",B82="WRITEOFF"),Transactions!E82,0),0)</f>
        <v/>
      </c>
      <c r="J82">
        <f>SUMIFS($F$1:F81,$A$1:A81,A82)</f>
        <v/>
      </c>
      <c r="K82">
        <f>SUMIFS($I$1:I81,$A$1:A81,A82)</f>
        <v/>
      </c>
      <c r="L82">
        <f>IFERROR(VLOOKUP(A82,Opening!$A:$C,3,0),0)</f>
        <v/>
      </c>
      <c r="M82">
        <f>IF(I82=0,0,MAX(0,MIN(INDEX(Month!H$2:H$13,MATCH($A82,Month!$A$2:$A$13,0))-K82,I82)))</f>
        <v/>
      </c>
      <c r="N82">
        <f>IF(I82=0,0,MAX(0,MIN(INDEX(Month!I$2:I$13,MATCH($A82,Month!$A$2:$A$13,0))-K82,I82)))</f>
        <v/>
      </c>
      <c r="O82">
        <f>IF(I82=0,0,MAX(0,MIN(INDEX(Month!J$2:J$13,MATCH($A82,Month!$A$2:$A$13,0))-K82,I82)))</f>
        <v/>
      </c>
      <c r="P82">
        <f>IF(I82=0,0,(MIN(MAX(K82,0),L82)*W82+SUMPRODUCT((Calc!$A$2:$A$1001=A82)*Calc!$G$2:$G$1001*(((K82-(L82+Calc!$J$2:$J$1001))&gt;0)*((K82-(L82+Calc!$J$2:$J$1001))&lt;Calc!$F$2:$F$1001)*(K82-(L82+Calc!$J$2:$J$1001))+((K82-(L82+Calc!$J$2:$J$1001))&gt;=Calc!$F$2:$F$1001)*Calc!$F$2:$F$1001))))</f>
        <v/>
      </c>
      <c r="Q82">
        <f>IF(I82=0,0,(MIN(MAX((K82+M82),0),L82)*W82+SUMPRODUCT((Calc!$A$2:$A$1001=A82)*Calc!$G$2:$G$1001*((((K82+M82)-(L82+Calc!$J$2:$J$1001))&gt;0)*(((K82+M82)-(L82+Calc!$J$2:$J$1001))&lt;Calc!$F$2:$F$1001)*((K82+M82)-(L82+Calc!$J$2:$J$1001))+(((K82+M82)-(L82+Calc!$J$2:$J$1001))&gt;=Calc!$F$2:$F$1001)*Calc!$F$2:$F$1001))))</f>
        <v/>
      </c>
      <c r="R82">
        <f>IF(I82=0,0,(MIN(MAX((K82+N82),0),L82)*W82+SUMPRODUCT((Calc!$A$2:$A$1001=A82)*Calc!$G$2:$G$1001*((((K82+N82)-(L82+Calc!$J$2:$J$1001))&gt;0)*(((K82+N82)-(L82+Calc!$J$2:$J$1001))&lt;Calc!$F$2:$F$1001)*((K82+N82)-(L82+Calc!$J$2:$J$1001))+(((K82+N82)-(L82+Calc!$J$2:$J$1001))&gt;=Calc!$F$2:$F$1001)*Calc!$F$2:$F$1001))))</f>
        <v/>
      </c>
      <c r="S82">
        <f>IF(I82=0,0,(MIN(MAX((K82+O82),0),L82)*W82+SUMPRODUCT((Calc!$A$2:$A$1001=A82)*Calc!$G$2:$G$1001*((((K82+O82)-(L82+Calc!$J$2:$J$1001))&gt;0)*(((K82+O82)-(L82+Calc!$J$2:$J$1001))&lt;Calc!$F$2:$F$1001)*((K82+O82)-(L82+Calc!$J$2:$J$1001))+(((K82+O82)-(L82+Calc!$J$2:$J$1001))&gt;=Calc!$F$2:$F$1001)*Calc!$F$2:$F$1001))))</f>
        <v/>
      </c>
      <c r="T82">
        <f>IF(AND(E82=1,B82="RETURN"),Transactions!E82*Transactions!G82,0)</f>
        <v/>
      </c>
      <c r="U82">
        <f>IF(AND(E82=1,B82="EXPENSE"),Transactions!J82,0)</f>
        <v/>
      </c>
      <c r="V82">
        <f>IF(AND(Transactions!A82&lt;&gt;"",E82=0),ROW(),"")</f>
        <v/>
      </c>
      <c r="W82">
        <f>IFERROR(VLOOKUP(A82,Opening!$A:$D,4,0),0)</f>
        <v/>
      </c>
    </row>
    <row r="83">
      <c r="A83">
        <f>IF(Transactions!D83="","",UPPER(TRIM(Transactions!D83)))</f>
        <v/>
      </c>
      <c r="B83">
        <f>IF(Transactions!C83="","",UPPER(TRIM(Transactions!C83)))</f>
        <v/>
      </c>
      <c r="C83">
        <f>IF(Transactions!B83="",0,YEAR(Transactions!B83)*100+MONTH(Transactions!B83))</f>
        <v/>
      </c>
      <c r="D83">
        <f>IF(Transactions!A83="",1,IF(COUNTIF(Transactions!$A$1:A82,Transactions!A83)&gt;0,1,0))</f>
        <v/>
      </c>
      <c r="E83">
        <f>IF(D83=1,0,IF(B83="RETURN",IF(COUNTIFS($A$1:A82,A83,$B$1:B82,"SALE",$E$1:E82,1)&gt;0,1,0),1))</f>
        <v/>
      </c>
      <c r="F83">
        <f>IF(E83=1,IF(B83="RECEIPT",Transactions!E83,IF(AND(B83="RETURN",LOWER(TRIM(Transactions!H83))="resellable"),Transactions!E83,0)),0)</f>
        <v/>
      </c>
      <c r="G83">
        <f>IF(F83&gt;0,IF(B83="RECEIPT",Transactions!F83,IF(_xlfn.MAXIFS($H$2:H83,$A$2:A83,A83)&gt;0,INDEX(Transactions!$F:$F,_xlfn.MAXIFS($H$2:H83,$A$2:A83,A83)),W83)),0)</f>
        <v/>
      </c>
      <c r="H83">
        <f>IF(AND(E83=1,B83="RECEIPT"),ROW(),0)</f>
        <v/>
      </c>
      <c r="I83">
        <f>IF(E83=1,IF(OR(B83="SALE",B83="WRITEOFF"),Transactions!E83,0),0)</f>
        <v/>
      </c>
      <c r="J83">
        <f>SUMIFS($F$1:F82,$A$1:A82,A83)</f>
        <v/>
      </c>
      <c r="K83">
        <f>SUMIFS($I$1:I82,$A$1:A82,A83)</f>
        <v/>
      </c>
      <c r="L83">
        <f>IFERROR(VLOOKUP(A83,Opening!$A:$C,3,0),0)</f>
        <v/>
      </c>
      <c r="M83">
        <f>IF(I83=0,0,MAX(0,MIN(INDEX(Month!H$2:H$13,MATCH($A83,Month!$A$2:$A$13,0))-K83,I83)))</f>
        <v/>
      </c>
      <c r="N83">
        <f>IF(I83=0,0,MAX(0,MIN(INDEX(Month!I$2:I$13,MATCH($A83,Month!$A$2:$A$13,0))-K83,I83)))</f>
        <v/>
      </c>
      <c r="O83">
        <f>IF(I83=0,0,MAX(0,MIN(INDEX(Month!J$2:J$13,MATCH($A83,Month!$A$2:$A$13,0))-K83,I83)))</f>
        <v/>
      </c>
      <c r="P83">
        <f>IF(I83=0,0,(MIN(MAX(K83,0),L83)*W83+SUMPRODUCT((Calc!$A$2:$A$1001=A83)*Calc!$G$2:$G$1001*(((K83-(L83+Calc!$J$2:$J$1001))&gt;0)*((K83-(L83+Calc!$J$2:$J$1001))&lt;Calc!$F$2:$F$1001)*(K83-(L83+Calc!$J$2:$J$1001))+((K83-(L83+Calc!$J$2:$J$1001))&gt;=Calc!$F$2:$F$1001)*Calc!$F$2:$F$1001))))</f>
        <v/>
      </c>
      <c r="Q83">
        <f>IF(I83=0,0,(MIN(MAX((K83+M83),0),L83)*W83+SUMPRODUCT((Calc!$A$2:$A$1001=A83)*Calc!$G$2:$G$1001*((((K83+M83)-(L83+Calc!$J$2:$J$1001))&gt;0)*(((K83+M83)-(L83+Calc!$J$2:$J$1001))&lt;Calc!$F$2:$F$1001)*((K83+M83)-(L83+Calc!$J$2:$J$1001))+(((K83+M83)-(L83+Calc!$J$2:$J$1001))&gt;=Calc!$F$2:$F$1001)*Calc!$F$2:$F$1001))))</f>
        <v/>
      </c>
      <c r="R83">
        <f>IF(I83=0,0,(MIN(MAX((K83+N83),0),L83)*W83+SUMPRODUCT((Calc!$A$2:$A$1001=A83)*Calc!$G$2:$G$1001*((((K83+N83)-(L83+Calc!$J$2:$J$1001))&gt;0)*(((K83+N83)-(L83+Calc!$J$2:$J$1001))&lt;Calc!$F$2:$F$1001)*((K83+N83)-(L83+Calc!$J$2:$J$1001))+(((K83+N83)-(L83+Calc!$J$2:$J$1001))&gt;=Calc!$F$2:$F$1001)*Calc!$F$2:$F$1001))))</f>
        <v/>
      </c>
      <c r="S83">
        <f>IF(I83=0,0,(MIN(MAX((K83+O83),0),L83)*W83+SUMPRODUCT((Calc!$A$2:$A$1001=A83)*Calc!$G$2:$G$1001*((((K83+O83)-(L83+Calc!$J$2:$J$1001))&gt;0)*(((K83+O83)-(L83+Calc!$J$2:$J$1001))&lt;Calc!$F$2:$F$1001)*((K83+O83)-(L83+Calc!$J$2:$J$1001))+(((K83+O83)-(L83+Calc!$J$2:$J$1001))&gt;=Calc!$F$2:$F$1001)*Calc!$F$2:$F$1001))))</f>
        <v/>
      </c>
      <c r="T83">
        <f>IF(AND(E83=1,B83="RETURN"),Transactions!E83*Transactions!G83,0)</f>
        <v/>
      </c>
      <c r="U83">
        <f>IF(AND(E83=1,B83="EXPENSE"),Transactions!J83,0)</f>
        <v/>
      </c>
      <c r="V83">
        <f>IF(AND(Transactions!A83&lt;&gt;"",E83=0),ROW(),"")</f>
        <v/>
      </c>
      <c r="W83">
        <f>IFERROR(VLOOKUP(A83,Opening!$A:$D,4,0),0)</f>
        <v/>
      </c>
    </row>
    <row r="84">
      <c r="A84">
        <f>IF(Transactions!D84="","",UPPER(TRIM(Transactions!D84)))</f>
        <v/>
      </c>
      <c r="B84">
        <f>IF(Transactions!C84="","",UPPER(TRIM(Transactions!C84)))</f>
        <v/>
      </c>
      <c r="C84">
        <f>IF(Transactions!B84="",0,YEAR(Transactions!B84)*100+MONTH(Transactions!B84))</f>
        <v/>
      </c>
      <c r="D84">
        <f>IF(Transactions!A84="",1,IF(COUNTIF(Transactions!$A$1:A83,Transactions!A84)&gt;0,1,0))</f>
        <v/>
      </c>
      <c r="E84">
        <f>IF(D84=1,0,IF(B84="RETURN",IF(COUNTIFS($A$1:A83,A84,$B$1:B83,"SALE",$E$1:E83,1)&gt;0,1,0),1))</f>
        <v/>
      </c>
      <c r="F84">
        <f>IF(E84=1,IF(B84="RECEIPT",Transactions!E84,IF(AND(B84="RETURN",LOWER(TRIM(Transactions!H84))="resellable"),Transactions!E84,0)),0)</f>
        <v/>
      </c>
      <c r="G84">
        <f>IF(F84&gt;0,IF(B84="RECEIPT",Transactions!F84,IF(_xlfn.MAXIFS($H$2:H84,$A$2:A84,A84)&gt;0,INDEX(Transactions!$F:$F,_xlfn.MAXIFS($H$2:H84,$A$2:A84,A84)),W84)),0)</f>
        <v/>
      </c>
      <c r="H84">
        <f>IF(AND(E84=1,B84="RECEIPT"),ROW(),0)</f>
        <v/>
      </c>
      <c r="I84">
        <f>IF(E84=1,IF(OR(B84="SALE",B84="WRITEOFF"),Transactions!E84,0),0)</f>
        <v/>
      </c>
      <c r="J84">
        <f>SUMIFS($F$1:F83,$A$1:A83,A84)</f>
        <v/>
      </c>
      <c r="K84">
        <f>SUMIFS($I$1:I83,$A$1:A83,A84)</f>
        <v/>
      </c>
      <c r="L84">
        <f>IFERROR(VLOOKUP(A84,Opening!$A:$C,3,0),0)</f>
        <v/>
      </c>
      <c r="M84">
        <f>IF(I84=0,0,MAX(0,MIN(INDEX(Month!H$2:H$13,MATCH($A84,Month!$A$2:$A$13,0))-K84,I84)))</f>
        <v/>
      </c>
      <c r="N84">
        <f>IF(I84=0,0,MAX(0,MIN(INDEX(Month!I$2:I$13,MATCH($A84,Month!$A$2:$A$13,0))-K84,I84)))</f>
        <v/>
      </c>
      <c r="O84">
        <f>IF(I84=0,0,MAX(0,MIN(INDEX(Month!J$2:J$13,MATCH($A84,Month!$A$2:$A$13,0))-K84,I84)))</f>
        <v/>
      </c>
      <c r="P84">
        <f>IF(I84=0,0,(MIN(MAX(K84,0),L84)*W84+SUMPRODUCT((Calc!$A$2:$A$1001=A84)*Calc!$G$2:$G$1001*(((K84-(L84+Calc!$J$2:$J$1001))&gt;0)*((K84-(L84+Calc!$J$2:$J$1001))&lt;Calc!$F$2:$F$1001)*(K84-(L84+Calc!$J$2:$J$1001))+((K84-(L84+Calc!$J$2:$J$1001))&gt;=Calc!$F$2:$F$1001)*Calc!$F$2:$F$1001))))</f>
        <v/>
      </c>
      <c r="Q84">
        <f>IF(I84=0,0,(MIN(MAX((K84+M84),0),L84)*W84+SUMPRODUCT((Calc!$A$2:$A$1001=A84)*Calc!$G$2:$G$1001*((((K84+M84)-(L84+Calc!$J$2:$J$1001))&gt;0)*(((K84+M84)-(L84+Calc!$J$2:$J$1001))&lt;Calc!$F$2:$F$1001)*((K84+M84)-(L84+Calc!$J$2:$J$1001))+(((K84+M84)-(L84+Calc!$J$2:$J$1001))&gt;=Calc!$F$2:$F$1001)*Calc!$F$2:$F$1001))))</f>
        <v/>
      </c>
      <c r="R84">
        <f>IF(I84=0,0,(MIN(MAX((K84+N84),0),L84)*W84+SUMPRODUCT((Calc!$A$2:$A$1001=A84)*Calc!$G$2:$G$1001*((((K84+N84)-(L84+Calc!$J$2:$J$1001))&gt;0)*(((K84+N84)-(L84+Calc!$J$2:$J$1001))&lt;Calc!$F$2:$F$1001)*((K84+N84)-(L84+Calc!$J$2:$J$1001))+(((K84+N84)-(L84+Calc!$J$2:$J$1001))&gt;=Calc!$F$2:$F$1001)*Calc!$F$2:$F$1001))))</f>
        <v/>
      </c>
      <c r="S84">
        <f>IF(I84=0,0,(MIN(MAX((K84+O84),0),L84)*W84+SUMPRODUCT((Calc!$A$2:$A$1001=A84)*Calc!$G$2:$G$1001*((((K84+O84)-(L84+Calc!$J$2:$J$1001))&gt;0)*(((K84+O84)-(L84+Calc!$J$2:$J$1001))&lt;Calc!$F$2:$F$1001)*((K84+O84)-(L84+Calc!$J$2:$J$1001))+(((K84+O84)-(L84+Calc!$J$2:$J$1001))&gt;=Calc!$F$2:$F$1001)*Calc!$F$2:$F$1001))))</f>
        <v/>
      </c>
      <c r="T84">
        <f>IF(AND(E84=1,B84="RETURN"),Transactions!E84*Transactions!G84,0)</f>
        <v/>
      </c>
      <c r="U84">
        <f>IF(AND(E84=1,B84="EXPENSE"),Transactions!J84,0)</f>
        <v/>
      </c>
      <c r="V84">
        <f>IF(AND(Transactions!A84&lt;&gt;"",E84=0),ROW(),"")</f>
        <v/>
      </c>
      <c r="W84">
        <f>IFERROR(VLOOKUP(A84,Opening!$A:$D,4,0),0)</f>
        <v/>
      </c>
    </row>
    <row r="85">
      <c r="A85">
        <f>IF(Transactions!D85="","",UPPER(TRIM(Transactions!D85)))</f>
        <v/>
      </c>
      <c r="B85">
        <f>IF(Transactions!C85="","",UPPER(TRIM(Transactions!C85)))</f>
        <v/>
      </c>
      <c r="C85">
        <f>IF(Transactions!B85="",0,YEAR(Transactions!B85)*100+MONTH(Transactions!B85))</f>
        <v/>
      </c>
      <c r="D85">
        <f>IF(Transactions!A85="",1,IF(COUNTIF(Transactions!$A$1:A84,Transactions!A85)&gt;0,1,0))</f>
        <v/>
      </c>
      <c r="E85">
        <f>IF(D85=1,0,IF(B85="RETURN",IF(COUNTIFS($A$1:A84,A85,$B$1:B84,"SALE",$E$1:E84,1)&gt;0,1,0),1))</f>
        <v/>
      </c>
      <c r="F85">
        <f>IF(E85=1,IF(B85="RECEIPT",Transactions!E85,IF(AND(B85="RETURN",LOWER(TRIM(Transactions!H85))="resellable"),Transactions!E85,0)),0)</f>
        <v/>
      </c>
      <c r="G85">
        <f>IF(F85&gt;0,IF(B85="RECEIPT",Transactions!F85,IF(_xlfn.MAXIFS($H$2:H85,$A$2:A85,A85)&gt;0,INDEX(Transactions!$F:$F,_xlfn.MAXIFS($H$2:H85,$A$2:A85,A85)),W85)),0)</f>
        <v/>
      </c>
      <c r="H85">
        <f>IF(AND(E85=1,B85="RECEIPT"),ROW(),0)</f>
        <v/>
      </c>
      <c r="I85">
        <f>IF(E85=1,IF(OR(B85="SALE",B85="WRITEOFF"),Transactions!E85,0),0)</f>
        <v/>
      </c>
      <c r="J85">
        <f>SUMIFS($F$1:F84,$A$1:A84,A85)</f>
        <v/>
      </c>
      <c r="K85">
        <f>SUMIFS($I$1:I84,$A$1:A84,A85)</f>
        <v/>
      </c>
      <c r="L85">
        <f>IFERROR(VLOOKUP(A85,Opening!$A:$C,3,0),0)</f>
        <v/>
      </c>
      <c r="M85">
        <f>IF(I85=0,0,MAX(0,MIN(INDEX(Month!H$2:H$13,MATCH($A85,Month!$A$2:$A$13,0))-K85,I85)))</f>
        <v/>
      </c>
      <c r="N85">
        <f>IF(I85=0,0,MAX(0,MIN(INDEX(Month!I$2:I$13,MATCH($A85,Month!$A$2:$A$13,0))-K85,I85)))</f>
        <v/>
      </c>
      <c r="O85">
        <f>IF(I85=0,0,MAX(0,MIN(INDEX(Month!J$2:J$13,MATCH($A85,Month!$A$2:$A$13,0))-K85,I85)))</f>
        <v/>
      </c>
      <c r="P85">
        <f>IF(I85=0,0,(MIN(MAX(K85,0),L85)*W85+SUMPRODUCT((Calc!$A$2:$A$1001=A85)*Calc!$G$2:$G$1001*(((K85-(L85+Calc!$J$2:$J$1001))&gt;0)*((K85-(L85+Calc!$J$2:$J$1001))&lt;Calc!$F$2:$F$1001)*(K85-(L85+Calc!$J$2:$J$1001))+((K85-(L85+Calc!$J$2:$J$1001))&gt;=Calc!$F$2:$F$1001)*Calc!$F$2:$F$1001))))</f>
        <v/>
      </c>
      <c r="Q85">
        <f>IF(I85=0,0,(MIN(MAX((K85+M85),0),L85)*W85+SUMPRODUCT((Calc!$A$2:$A$1001=A85)*Calc!$G$2:$G$1001*((((K85+M85)-(L85+Calc!$J$2:$J$1001))&gt;0)*(((K85+M85)-(L85+Calc!$J$2:$J$1001))&lt;Calc!$F$2:$F$1001)*((K85+M85)-(L85+Calc!$J$2:$J$1001))+(((K85+M85)-(L85+Calc!$J$2:$J$1001))&gt;=Calc!$F$2:$F$1001)*Calc!$F$2:$F$1001))))</f>
        <v/>
      </c>
      <c r="R85">
        <f>IF(I85=0,0,(MIN(MAX((K85+N85),0),L85)*W85+SUMPRODUCT((Calc!$A$2:$A$1001=A85)*Calc!$G$2:$G$1001*((((K85+N85)-(L85+Calc!$J$2:$J$1001))&gt;0)*(((K85+N85)-(L85+Calc!$J$2:$J$1001))&lt;Calc!$F$2:$F$1001)*((K85+N85)-(L85+Calc!$J$2:$J$1001))+(((K85+N85)-(L85+Calc!$J$2:$J$1001))&gt;=Calc!$F$2:$F$1001)*Calc!$F$2:$F$1001))))</f>
        <v/>
      </c>
      <c r="S85">
        <f>IF(I85=0,0,(MIN(MAX((K85+O85),0),L85)*W85+SUMPRODUCT((Calc!$A$2:$A$1001=A85)*Calc!$G$2:$G$1001*((((K85+O85)-(L85+Calc!$J$2:$J$1001))&gt;0)*(((K85+O85)-(L85+Calc!$J$2:$J$1001))&lt;Calc!$F$2:$F$1001)*((K85+O85)-(L85+Calc!$J$2:$J$1001))+(((K85+O85)-(L85+Calc!$J$2:$J$1001))&gt;=Calc!$F$2:$F$1001)*Calc!$F$2:$F$1001))))</f>
        <v/>
      </c>
      <c r="T85">
        <f>IF(AND(E85=1,B85="RETURN"),Transactions!E85*Transactions!G85,0)</f>
        <v/>
      </c>
      <c r="U85">
        <f>IF(AND(E85=1,B85="EXPENSE"),Transactions!J85,0)</f>
        <v/>
      </c>
      <c r="V85">
        <f>IF(AND(Transactions!A85&lt;&gt;"",E85=0),ROW(),"")</f>
        <v/>
      </c>
      <c r="W85">
        <f>IFERROR(VLOOKUP(A85,Opening!$A:$D,4,0),0)</f>
        <v/>
      </c>
    </row>
    <row r="86">
      <c r="A86">
        <f>IF(Transactions!D86="","",UPPER(TRIM(Transactions!D86)))</f>
        <v/>
      </c>
      <c r="B86">
        <f>IF(Transactions!C86="","",UPPER(TRIM(Transactions!C86)))</f>
        <v/>
      </c>
      <c r="C86">
        <f>IF(Transactions!B86="",0,YEAR(Transactions!B86)*100+MONTH(Transactions!B86))</f>
        <v/>
      </c>
      <c r="D86">
        <f>IF(Transactions!A86="",1,IF(COUNTIF(Transactions!$A$1:A85,Transactions!A86)&gt;0,1,0))</f>
        <v/>
      </c>
      <c r="E86">
        <f>IF(D86=1,0,IF(B86="RETURN",IF(COUNTIFS($A$1:A85,A86,$B$1:B85,"SALE",$E$1:E85,1)&gt;0,1,0),1))</f>
        <v/>
      </c>
      <c r="F86">
        <f>IF(E86=1,IF(B86="RECEIPT",Transactions!E86,IF(AND(B86="RETURN",LOWER(TRIM(Transactions!H86))="resellable"),Transactions!E86,0)),0)</f>
        <v/>
      </c>
      <c r="G86">
        <f>IF(F86&gt;0,IF(B86="RECEIPT",Transactions!F86,IF(_xlfn.MAXIFS($H$2:H86,$A$2:A86,A86)&gt;0,INDEX(Transactions!$F:$F,_xlfn.MAXIFS($H$2:H86,$A$2:A86,A86)),W86)),0)</f>
        <v/>
      </c>
      <c r="H86">
        <f>IF(AND(E86=1,B86="RECEIPT"),ROW(),0)</f>
        <v/>
      </c>
      <c r="I86">
        <f>IF(E86=1,IF(OR(B86="SALE",B86="WRITEOFF"),Transactions!E86,0),0)</f>
        <v/>
      </c>
      <c r="J86">
        <f>SUMIFS($F$1:F85,$A$1:A85,A86)</f>
        <v/>
      </c>
      <c r="K86">
        <f>SUMIFS($I$1:I85,$A$1:A85,A86)</f>
        <v/>
      </c>
      <c r="L86">
        <f>IFERROR(VLOOKUP(A86,Opening!$A:$C,3,0),0)</f>
        <v/>
      </c>
      <c r="M86">
        <f>IF(I86=0,0,MAX(0,MIN(INDEX(Month!H$2:H$13,MATCH($A86,Month!$A$2:$A$13,0))-K86,I86)))</f>
        <v/>
      </c>
      <c r="N86">
        <f>IF(I86=0,0,MAX(0,MIN(INDEX(Month!I$2:I$13,MATCH($A86,Month!$A$2:$A$13,0))-K86,I86)))</f>
        <v/>
      </c>
      <c r="O86">
        <f>IF(I86=0,0,MAX(0,MIN(INDEX(Month!J$2:J$13,MATCH($A86,Month!$A$2:$A$13,0))-K86,I86)))</f>
        <v/>
      </c>
      <c r="P86">
        <f>IF(I86=0,0,(MIN(MAX(K86,0),L86)*W86+SUMPRODUCT((Calc!$A$2:$A$1001=A86)*Calc!$G$2:$G$1001*(((K86-(L86+Calc!$J$2:$J$1001))&gt;0)*((K86-(L86+Calc!$J$2:$J$1001))&lt;Calc!$F$2:$F$1001)*(K86-(L86+Calc!$J$2:$J$1001))+((K86-(L86+Calc!$J$2:$J$1001))&gt;=Calc!$F$2:$F$1001)*Calc!$F$2:$F$1001))))</f>
        <v/>
      </c>
      <c r="Q86">
        <f>IF(I86=0,0,(MIN(MAX((K86+M86),0),L86)*W86+SUMPRODUCT((Calc!$A$2:$A$1001=A86)*Calc!$G$2:$G$1001*((((K86+M86)-(L86+Calc!$J$2:$J$1001))&gt;0)*(((K86+M86)-(L86+Calc!$J$2:$J$1001))&lt;Calc!$F$2:$F$1001)*((K86+M86)-(L86+Calc!$J$2:$J$1001))+(((K86+M86)-(L86+Calc!$J$2:$J$1001))&gt;=Calc!$F$2:$F$1001)*Calc!$F$2:$F$1001))))</f>
        <v/>
      </c>
      <c r="R86">
        <f>IF(I86=0,0,(MIN(MAX((K86+N86),0),L86)*W86+SUMPRODUCT((Calc!$A$2:$A$1001=A86)*Calc!$G$2:$G$1001*((((K86+N86)-(L86+Calc!$J$2:$J$1001))&gt;0)*(((K86+N86)-(L86+Calc!$J$2:$J$1001))&lt;Calc!$F$2:$F$1001)*((K86+N86)-(L86+Calc!$J$2:$J$1001))+(((K86+N86)-(L86+Calc!$J$2:$J$1001))&gt;=Calc!$F$2:$F$1001)*Calc!$F$2:$F$1001))))</f>
        <v/>
      </c>
      <c r="S86">
        <f>IF(I86=0,0,(MIN(MAX((K86+O86),0),L86)*W86+SUMPRODUCT((Calc!$A$2:$A$1001=A86)*Calc!$G$2:$G$1001*((((K86+O86)-(L86+Calc!$J$2:$J$1001))&gt;0)*(((K86+O86)-(L86+Calc!$J$2:$J$1001))&lt;Calc!$F$2:$F$1001)*((K86+O86)-(L86+Calc!$J$2:$J$1001))+(((K86+O86)-(L86+Calc!$J$2:$J$1001))&gt;=Calc!$F$2:$F$1001)*Calc!$F$2:$F$1001))))</f>
        <v/>
      </c>
      <c r="T86">
        <f>IF(AND(E86=1,B86="RETURN"),Transactions!E86*Transactions!G86,0)</f>
        <v/>
      </c>
      <c r="U86">
        <f>IF(AND(E86=1,B86="EXPENSE"),Transactions!J86,0)</f>
        <v/>
      </c>
      <c r="V86">
        <f>IF(AND(Transactions!A86&lt;&gt;"",E86=0),ROW(),"")</f>
        <v/>
      </c>
      <c r="W86">
        <f>IFERROR(VLOOKUP(A86,Opening!$A:$D,4,0),0)</f>
        <v/>
      </c>
    </row>
    <row r="87">
      <c r="A87">
        <f>IF(Transactions!D87="","",UPPER(TRIM(Transactions!D87)))</f>
        <v/>
      </c>
      <c r="B87">
        <f>IF(Transactions!C87="","",UPPER(TRIM(Transactions!C87)))</f>
        <v/>
      </c>
      <c r="C87">
        <f>IF(Transactions!B87="",0,YEAR(Transactions!B87)*100+MONTH(Transactions!B87))</f>
        <v/>
      </c>
      <c r="D87">
        <f>IF(Transactions!A87="",1,IF(COUNTIF(Transactions!$A$1:A86,Transactions!A87)&gt;0,1,0))</f>
        <v/>
      </c>
      <c r="E87">
        <f>IF(D87=1,0,IF(B87="RETURN",IF(COUNTIFS($A$1:A86,A87,$B$1:B86,"SALE",$E$1:E86,1)&gt;0,1,0),1))</f>
        <v/>
      </c>
      <c r="F87">
        <f>IF(E87=1,IF(B87="RECEIPT",Transactions!E87,IF(AND(B87="RETURN",LOWER(TRIM(Transactions!H87))="resellable"),Transactions!E87,0)),0)</f>
        <v/>
      </c>
      <c r="G87">
        <f>IF(F87&gt;0,IF(B87="RECEIPT",Transactions!F87,IF(_xlfn.MAXIFS($H$2:H87,$A$2:A87,A87)&gt;0,INDEX(Transactions!$F:$F,_xlfn.MAXIFS($H$2:H87,$A$2:A87,A87)),W87)),0)</f>
        <v/>
      </c>
      <c r="H87">
        <f>IF(AND(E87=1,B87="RECEIPT"),ROW(),0)</f>
        <v/>
      </c>
      <c r="I87">
        <f>IF(E87=1,IF(OR(B87="SALE",B87="WRITEOFF"),Transactions!E87,0),0)</f>
        <v/>
      </c>
      <c r="J87">
        <f>SUMIFS($F$1:F86,$A$1:A86,A87)</f>
        <v/>
      </c>
      <c r="K87">
        <f>SUMIFS($I$1:I86,$A$1:A86,A87)</f>
        <v/>
      </c>
      <c r="L87">
        <f>IFERROR(VLOOKUP(A87,Opening!$A:$C,3,0),0)</f>
        <v/>
      </c>
      <c r="M87">
        <f>IF(I87=0,0,MAX(0,MIN(INDEX(Month!H$2:H$13,MATCH($A87,Month!$A$2:$A$13,0))-K87,I87)))</f>
        <v/>
      </c>
      <c r="N87">
        <f>IF(I87=0,0,MAX(0,MIN(INDEX(Month!I$2:I$13,MATCH($A87,Month!$A$2:$A$13,0))-K87,I87)))</f>
        <v/>
      </c>
      <c r="O87">
        <f>IF(I87=0,0,MAX(0,MIN(INDEX(Month!J$2:J$13,MATCH($A87,Month!$A$2:$A$13,0))-K87,I87)))</f>
        <v/>
      </c>
      <c r="P87">
        <f>IF(I87=0,0,(MIN(MAX(K87,0),L87)*W87+SUMPRODUCT((Calc!$A$2:$A$1001=A87)*Calc!$G$2:$G$1001*(((K87-(L87+Calc!$J$2:$J$1001))&gt;0)*((K87-(L87+Calc!$J$2:$J$1001))&lt;Calc!$F$2:$F$1001)*(K87-(L87+Calc!$J$2:$J$1001))+((K87-(L87+Calc!$J$2:$J$1001))&gt;=Calc!$F$2:$F$1001)*Calc!$F$2:$F$1001))))</f>
        <v/>
      </c>
      <c r="Q87">
        <f>IF(I87=0,0,(MIN(MAX((K87+M87),0),L87)*W87+SUMPRODUCT((Calc!$A$2:$A$1001=A87)*Calc!$G$2:$G$1001*((((K87+M87)-(L87+Calc!$J$2:$J$1001))&gt;0)*(((K87+M87)-(L87+Calc!$J$2:$J$1001))&lt;Calc!$F$2:$F$1001)*((K87+M87)-(L87+Calc!$J$2:$J$1001))+(((K87+M87)-(L87+Calc!$J$2:$J$1001))&gt;=Calc!$F$2:$F$1001)*Calc!$F$2:$F$1001))))</f>
        <v/>
      </c>
      <c r="R87">
        <f>IF(I87=0,0,(MIN(MAX((K87+N87),0),L87)*W87+SUMPRODUCT((Calc!$A$2:$A$1001=A87)*Calc!$G$2:$G$1001*((((K87+N87)-(L87+Calc!$J$2:$J$1001))&gt;0)*(((K87+N87)-(L87+Calc!$J$2:$J$1001))&lt;Calc!$F$2:$F$1001)*((K87+N87)-(L87+Calc!$J$2:$J$1001))+(((K87+N87)-(L87+Calc!$J$2:$J$1001))&gt;=Calc!$F$2:$F$1001)*Calc!$F$2:$F$1001))))</f>
        <v/>
      </c>
      <c r="S87">
        <f>IF(I87=0,0,(MIN(MAX((K87+O87),0),L87)*W87+SUMPRODUCT((Calc!$A$2:$A$1001=A87)*Calc!$G$2:$G$1001*((((K87+O87)-(L87+Calc!$J$2:$J$1001))&gt;0)*(((K87+O87)-(L87+Calc!$J$2:$J$1001))&lt;Calc!$F$2:$F$1001)*((K87+O87)-(L87+Calc!$J$2:$J$1001))+(((K87+O87)-(L87+Calc!$J$2:$J$1001))&gt;=Calc!$F$2:$F$1001)*Calc!$F$2:$F$1001))))</f>
        <v/>
      </c>
      <c r="T87">
        <f>IF(AND(E87=1,B87="RETURN"),Transactions!E87*Transactions!G87,0)</f>
        <v/>
      </c>
      <c r="U87">
        <f>IF(AND(E87=1,B87="EXPENSE"),Transactions!J87,0)</f>
        <v/>
      </c>
      <c r="V87">
        <f>IF(AND(Transactions!A87&lt;&gt;"",E87=0),ROW(),"")</f>
        <v/>
      </c>
      <c r="W87">
        <f>IFERROR(VLOOKUP(A87,Opening!$A:$D,4,0),0)</f>
        <v/>
      </c>
    </row>
    <row r="88">
      <c r="A88">
        <f>IF(Transactions!D88="","",UPPER(TRIM(Transactions!D88)))</f>
        <v/>
      </c>
      <c r="B88">
        <f>IF(Transactions!C88="","",UPPER(TRIM(Transactions!C88)))</f>
        <v/>
      </c>
      <c r="C88">
        <f>IF(Transactions!B88="",0,YEAR(Transactions!B88)*100+MONTH(Transactions!B88))</f>
        <v/>
      </c>
      <c r="D88">
        <f>IF(Transactions!A88="",1,IF(COUNTIF(Transactions!$A$1:A87,Transactions!A88)&gt;0,1,0))</f>
        <v/>
      </c>
      <c r="E88">
        <f>IF(D88=1,0,IF(B88="RETURN",IF(COUNTIFS($A$1:A87,A88,$B$1:B87,"SALE",$E$1:E87,1)&gt;0,1,0),1))</f>
        <v/>
      </c>
      <c r="F88">
        <f>IF(E88=1,IF(B88="RECEIPT",Transactions!E88,IF(AND(B88="RETURN",LOWER(TRIM(Transactions!H88))="resellable"),Transactions!E88,0)),0)</f>
        <v/>
      </c>
      <c r="G88">
        <f>IF(F88&gt;0,IF(B88="RECEIPT",Transactions!F88,IF(_xlfn.MAXIFS($H$2:H88,$A$2:A88,A88)&gt;0,INDEX(Transactions!$F:$F,_xlfn.MAXIFS($H$2:H88,$A$2:A88,A88)),W88)),0)</f>
        <v/>
      </c>
      <c r="H88">
        <f>IF(AND(E88=1,B88="RECEIPT"),ROW(),0)</f>
        <v/>
      </c>
      <c r="I88">
        <f>IF(E88=1,IF(OR(B88="SALE",B88="WRITEOFF"),Transactions!E88,0),0)</f>
        <v/>
      </c>
      <c r="J88">
        <f>SUMIFS($F$1:F87,$A$1:A87,A88)</f>
        <v/>
      </c>
      <c r="K88">
        <f>SUMIFS($I$1:I87,$A$1:A87,A88)</f>
        <v/>
      </c>
      <c r="L88">
        <f>IFERROR(VLOOKUP(A88,Opening!$A:$C,3,0),0)</f>
        <v/>
      </c>
      <c r="M88">
        <f>IF(I88=0,0,MAX(0,MIN(INDEX(Month!H$2:H$13,MATCH($A88,Month!$A$2:$A$13,0))-K88,I88)))</f>
        <v/>
      </c>
      <c r="N88">
        <f>IF(I88=0,0,MAX(0,MIN(INDEX(Month!I$2:I$13,MATCH($A88,Month!$A$2:$A$13,0))-K88,I88)))</f>
        <v/>
      </c>
      <c r="O88">
        <f>IF(I88=0,0,MAX(0,MIN(INDEX(Month!J$2:J$13,MATCH($A88,Month!$A$2:$A$13,0))-K88,I88)))</f>
        <v/>
      </c>
      <c r="P88">
        <f>IF(I88=0,0,(MIN(MAX(K88,0),L88)*W88+SUMPRODUCT((Calc!$A$2:$A$1001=A88)*Calc!$G$2:$G$1001*(((K88-(L88+Calc!$J$2:$J$1001))&gt;0)*((K88-(L88+Calc!$J$2:$J$1001))&lt;Calc!$F$2:$F$1001)*(K88-(L88+Calc!$J$2:$J$1001))+((K88-(L88+Calc!$J$2:$J$1001))&gt;=Calc!$F$2:$F$1001)*Calc!$F$2:$F$1001))))</f>
        <v/>
      </c>
      <c r="Q88">
        <f>IF(I88=0,0,(MIN(MAX((K88+M88),0),L88)*W88+SUMPRODUCT((Calc!$A$2:$A$1001=A88)*Calc!$G$2:$G$1001*((((K88+M88)-(L88+Calc!$J$2:$J$1001))&gt;0)*(((K88+M88)-(L88+Calc!$J$2:$J$1001))&lt;Calc!$F$2:$F$1001)*((K88+M88)-(L88+Calc!$J$2:$J$1001))+(((K88+M88)-(L88+Calc!$J$2:$J$1001))&gt;=Calc!$F$2:$F$1001)*Calc!$F$2:$F$1001))))</f>
        <v/>
      </c>
      <c r="R88">
        <f>IF(I88=0,0,(MIN(MAX((K88+N88),0),L88)*W88+SUMPRODUCT((Calc!$A$2:$A$1001=A88)*Calc!$G$2:$G$1001*((((K88+N88)-(L88+Calc!$J$2:$J$1001))&gt;0)*(((K88+N88)-(L88+Calc!$J$2:$J$1001))&lt;Calc!$F$2:$F$1001)*((K88+N88)-(L88+Calc!$J$2:$J$1001))+(((K88+N88)-(L88+Calc!$J$2:$J$1001))&gt;=Calc!$F$2:$F$1001)*Calc!$F$2:$F$1001))))</f>
        <v/>
      </c>
      <c r="S88">
        <f>IF(I88=0,0,(MIN(MAX((K88+O88),0),L88)*W88+SUMPRODUCT((Calc!$A$2:$A$1001=A88)*Calc!$G$2:$G$1001*((((K88+O88)-(L88+Calc!$J$2:$J$1001))&gt;0)*(((K88+O88)-(L88+Calc!$J$2:$J$1001))&lt;Calc!$F$2:$F$1001)*((K88+O88)-(L88+Calc!$J$2:$J$1001))+(((K88+O88)-(L88+Calc!$J$2:$J$1001))&gt;=Calc!$F$2:$F$1001)*Calc!$F$2:$F$1001))))</f>
        <v/>
      </c>
      <c r="T88">
        <f>IF(AND(E88=1,B88="RETURN"),Transactions!E88*Transactions!G88,0)</f>
        <v/>
      </c>
      <c r="U88">
        <f>IF(AND(E88=1,B88="EXPENSE"),Transactions!J88,0)</f>
        <v/>
      </c>
      <c r="V88">
        <f>IF(AND(Transactions!A88&lt;&gt;"",E88=0),ROW(),"")</f>
        <v/>
      </c>
      <c r="W88">
        <f>IFERROR(VLOOKUP(A88,Opening!$A:$D,4,0),0)</f>
        <v/>
      </c>
    </row>
    <row r="89">
      <c r="A89">
        <f>IF(Transactions!D89="","",UPPER(TRIM(Transactions!D89)))</f>
        <v/>
      </c>
      <c r="B89">
        <f>IF(Transactions!C89="","",UPPER(TRIM(Transactions!C89)))</f>
        <v/>
      </c>
      <c r="C89">
        <f>IF(Transactions!B89="",0,YEAR(Transactions!B89)*100+MONTH(Transactions!B89))</f>
        <v/>
      </c>
      <c r="D89">
        <f>IF(Transactions!A89="",1,IF(COUNTIF(Transactions!$A$1:A88,Transactions!A89)&gt;0,1,0))</f>
        <v/>
      </c>
      <c r="E89">
        <f>IF(D89=1,0,IF(B89="RETURN",IF(COUNTIFS($A$1:A88,A89,$B$1:B88,"SALE",$E$1:E88,1)&gt;0,1,0),1))</f>
        <v/>
      </c>
      <c r="F89">
        <f>IF(E89=1,IF(B89="RECEIPT",Transactions!E89,IF(AND(B89="RETURN",LOWER(TRIM(Transactions!H89))="resellable"),Transactions!E89,0)),0)</f>
        <v/>
      </c>
      <c r="G89">
        <f>IF(F89&gt;0,IF(B89="RECEIPT",Transactions!F89,IF(_xlfn.MAXIFS($H$2:H89,$A$2:A89,A89)&gt;0,INDEX(Transactions!$F:$F,_xlfn.MAXIFS($H$2:H89,$A$2:A89,A89)),W89)),0)</f>
        <v/>
      </c>
      <c r="H89">
        <f>IF(AND(E89=1,B89="RECEIPT"),ROW(),0)</f>
        <v/>
      </c>
      <c r="I89">
        <f>IF(E89=1,IF(OR(B89="SALE",B89="WRITEOFF"),Transactions!E89,0),0)</f>
        <v/>
      </c>
      <c r="J89">
        <f>SUMIFS($F$1:F88,$A$1:A88,A89)</f>
        <v/>
      </c>
      <c r="K89">
        <f>SUMIFS($I$1:I88,$A$1:A88,A89)</f>
        <v/>
      </c>
      <c r="L89">
        <f>IFERROR(VLOOKUP(A89,Opening!$A:$C,3,0),0)</f>
        <v/>
      </c>
      <c r="M89">
        <f>IF(I89=0,0,MAX(0,MIN(INDEX(Month!H$2:H$13,MATCH($A89,Month!$A$2:$A$13,0))-K89,I89)))</f>
        <v/>
      </c>
      <c r="N89">
        <f>IF(I89=0,0,MAX(0,MIN(INDEX(Month!I$2:I$13,MATCH($A89,Month!$A$2:$A$13,0))-K89,I89)))</f>
        <v/>
      </c>
      <c r="O89">
        <f>IF(I89=0,0,MAX(0,MIN(INDEX(Month!J$2:J$13,MATCH($A89,Month!$A$2:$A$13,0))-K89,I89)))</f>
        <v/>
      </c>
      <c r="P89">
        <f>IF(I89=0,0,(MIN(MAX(K89,0),L89)*W89+SUMPRODUCT((Calc!$A$2:$A$1001=A89)*Calc!$G$2:$G$1001*(((K89-(L89+Calc!$J$2:$J$1001))&gt;0)*((K89-(L89+Calc!$J$2:$J$1001))&lt;Calc!$F$2:$F$1001)*(K89-(L89+Calc!$J$2:$J$1001))+((K89-(L89+Calc!$J$2:$J$1001))&gt;=Calc!$F$2:$F$1001)*Calc!$F$2:$F$1001))))</f>
        <v/>
      </c>
      <c r="Q89">
        <f>IF(I89=0,0,(MIN(MAX((K89+M89),0),L89)*W89+SUMPRODUCT((Calc!$A$2:$A$1001=A89)*Calc!$G$2:$G$1001*((((K89+M89)-(L89+Calc!$J$2:$J$1001))&gt;0)*(((K89+M89)-(L89+Calc!$J$2:$J$1001))&lt;Calc!$F$2:$F$1001)*((K89+M89)-(L89+Calc!$J$2:$J$1001))+(((K89+M89)-(L89+Calc!$J$2:$J$1001))&gt;=Calc!$F$2:$F$1001)*Calc!$F$2:$F$1001))))</f>
        <v/>
      </c>
      <c r="R89">
        <f>IF(I89=0,0,(MIN(MAX((K89+N89),0),L89)*W89+SUMPRODUCT((Calc!$A$2:$A$1001=A89)*Calc!$G$2:$G$1001*((((K89+N89)-(L89+Calc!$J$2:$J$1001))&gt;0)*(((K89+N89)-(L89+Calc!$J$2:$J$1001))&lt;Calc!$F$2:$F$1001)*((K89+N89)-(L89+Calc!$J$2:$J$1001))+(((K89+N89)-(L89+Calc!$J$2:$J$1001))&gt;=Calc!$F$2:$F$1001)*Calc!$F$2:$F$1001))))</f>
        <v/>
      </c>
      <c r="S89">
        <f>IF(I89=0,0,(MIN(MAX((K89+O89),0),L89)*W89+SUMPRODUCT((Calc!$A$2:$A$1001=A89)*Calc!$G$2:$G$1001*((((K89+O89)-(L89+Calc!$J$2:$J$1001))&gt;0)*(((K89+O89)-(L89+Calc!$J$2:$J$1001))&lt;Calc!$F$2:$F$1001)*((K89+O89)-(L89+Calc!$J$2:$J$1001))+(((K89+O89)-(L89+Calc!$J$2:$J$1001))&gt;=Calc!$F$2:$F$1001)*Calc!$F$2:$F$1001))))</f>
        <v/>
      </c>
      <c r="T89">
        <f>IF(AND(E89=1,B89="RETURN"),Transactions!E89*Transactions!G89,0)</f>
        <v/>
      </c>
      <c r="U89">
        <f>IF(AND(E89=1,B89="EXPENSE"),Transactions!J89,0)</f>
        <v/>
      </c>
      <c r="V89">
        <f>IF(AND(Transactions!A89&lt;&gt;"",E89=0),ROW(),"")</f>
        <v/>
      </c>
      <c r="W89">
        <f>IFERROR(VLOOKUP(A89,Opening!$A:$D,4,0),0)</f>
        <v/>
      </c>
    </row>
    <row r="90">
      <c r="A90">
        <f>IF(Transactions!D90="","",UPPER(TRIM(Transactions!D90)))</f>
        <v/>
      </c>
      <c r="B90">
        <f>IF(Transactions!C90="","",UPPER(TRIM(Transactions!C90)))</f>
        <v/>
      </c>
      <c r="C90">
        <f>IF(Transactions!B90="",0,YEAR(Transactions!B90)*100+MONTH(Transactions!B90))</f>
        <v/>
      </c>
      <c r="D90">
        <f>IF(Transactions!A90="",1,IF(COUNTIF(Transactions!$A$1:A89,Transactions!A90)&gt;0,1,0))</f>
        <v/>
      </c>
      <c r="E90">
        <f>IF(D90=1,0,IF(B90="RETURN",IF(COUNTIFS($A$1:A89,A90,$B$1:B89,"SALE",$E$1:E89,1)&gt;0,1,0),1))</f>
        <v/>
      </c>
      <c r="F90">
        <f>IF(E90=1,IF(B90="RECEIPT",Transactions!E90,IF(AND(B90="RETURN",LOWER(TRIM(Transactions!H90))="resellable"),Transactions!E90,0)),0)</f>
        <v/>
      </c>
      <c r="G90">
        <f>IF(F90&gt;0,IF(B90="RECEIPT",Transactions!F90,IF(_xlfn.MAXIFS($H$2:H90,$A$2:A90,A90)&gt;0,INDEX(Transactions!$F:$F,_xlfn.MAXIFS($H$2:H90,$A$2:A90,A90)),W90)),0)</f>
        <v/>
      </c>
      <c r="H90">
        <f>IF(AND(E90=1,B90="RECEIPT"),ROW(),0)</f>
        <v/>
      </c>
      <c r="I90">
        <f>IF(E90=1,IF(OR(B90="SALE",B90="WRITEOFF"),Transactions!E90,0),0)</f>
        <v/>
      </c>
      <c r="J90">
        <f>SUMIFS($F$1:F89,$A$1:A89,A90)</f>
        <v/>
      </c>
      <c r="K90">
        <f>SUMIFS($I$1:I89,$A$1:A89,A90)</f>
        <v/>
      </c>
      <c r="L90">
        <f>IFERROR(VLOOKUP(A90,Opening!$A:$C,3,0),0)</f>
        <v/>
      </c>
      <c r="M90">
        <f>IF(I90=0,0,MAX(0,MIN(INDEX(Month!H$2:H$13,MATCH($A90,Month!$A$2:$A$13,0))-K90,I90)))</f>
        <v/>
      </c>
      <c r="N90">
        <f>IF(I90=0,0,MAX(0,MIN(INDEX(Month!I$2:I$13,MATCH($A90,Month!$A$2:$A$13,0))-K90,I90)))</f>
        <v/>
      </c>
      <c r="O90">
        <f>IF(I90=0,0,MAX(0,MIN(INDEX(Month!J$2:J$13,MATCH($A90,Month!$A$2:$A$13,0))-K90,I90)))</f>
        <v/>
      </c>
      <c r="P90">
        <f>IF(I90=0,0,(MIN(MAX(K90,0),L90)*W90+SUMPRODUCT((Calc!$A$2:$A$1001=A90)*Calc!$G$2:$G$1001*(((K90-(L90+Calc!$J$2:$J$1001))&gt;0)*((K90-(L90+Calc!$J$2:$J$1001))&lt;Calc!$F$2:$F$1001)*(K90-(L90+Calc!$J$2:$J$1001))+((K90-(L90+Calc!$J$2:$J$1001))&gt;=Calc!$F$2:$F$1001)*Calc!$F$2:$F$1001))))</f>
        <v/>
      </c>
      <c r="Q90">
        <f>IF(I90=0,0,(MIN(MAX((K90+M90),0),L90)*W90+SUMPRODUCT((Calc!$A$2:$A$1001=A90)*Calc!$G$2:$G$1001*((((K90+M90)-(L90+Calc!$J$2:$J$1001))&gt;0)*(((K90+M90)-(L90+Calc!$J$2:$J$1001))&lt;Calc!$F$2:$F$1001)*((K90+M90)-(L90+Calc!$J$2:$J$1001))+(((K90+M90)-(L90+Calc!$J$2:$J$1001))&gt;=Calc!$F$2:$F$1001)*Calc!$F$2:$F$1001))))</f>
        <v/>
      </c>
      <c r="R90">
        <f>IF(I90=0,0,(MIN(MAX((K90+N90),0),L90)*W90+SUMPRODUCT((Calc!$A$2:$A$1001=A90)*Calc!$G$2:$G$1001*((((K90+N90)-(L90+Calc!$J$2:$J$1001))&gt;0)*(((K90+N90)-(L90+Calc!$J$2:$J$1001))&lt;Calc!$F$2:$F$1001)*((K90+N90)-(L90+Calc!$J$2:$J$1001))+(((K90+N90)-(L90+Calc!$J$2:$J$1001))&gt;=Calc!$F$2:$F$1001)*Calc!$F$2:$F$1001))))</f>
        <v/>
      </c>
      <c r="S90">
        <f>IF(I90=0,0,(MIN(MAX((K90+O90),0),L90)*W90+SUMPRODUCT((Calc!$A$2:$A$1001=A90)*Calc!$G$2:$G$1001*((((K90+O90)-(L90+Calc!$J$2:$J$1001))&gt;0)*(((K90+O90)-(L90+Calc!$J$2:$J$1001))&lt;Calc!$F$2:$F$1001)*((K90+O90)-(L90+Calc!$J$2:$J$1001))+(((K90+O90)-(L90+Calc!$J$2:$J$1001))&gt;=Calc!$F$2:$F$1001)*Calc!$F$2:$F$1001))))</f>
        <v/>
      </c>
      <c r="T90">
        <f>IF(AND(E90=1,B90="RETURN"),Transactions!E90*Transactions!G90,0)</f>
        <v/>
      </c>
      <c r="U90">
        <f>IF(AND(E90=1,B90="EXPENSE"),Transactions!J90,0)</f>
        <v/>
      </c>
      <c r="V90">
        <f>IF(AND(Transactions!A90&lt;&gt;"",E90=0),ROW(),"")</f>
        <v/>
      </c>
      <c r="W90">
        <f>IFERROR(VLOOKUP(A90,Opening!$A:$D,4,0),0)</f>
        <v/>
      </c>
    </row>
    <row r="91">
      <c r="A91">
        <f>IF(Transactions!D91="","",UPPER(TRIM(Transactions!D91)))</f>
        <v/>
      </c>
      <c r="B91">
        <f>IF(Transactions!C91="","",UPPER(TRIM(Transactions!C91)))</f>
        <v/>
      </c>
      <c r="C91">
        <f>IF(Transactions!B91="",0,YEAR(Transactions!B91)*100+MONTH(Transactions!B91))</f>
        <v/>
      </c>
      <c r="D91">
        <f>IF(Transactions!A91="",1,IF(COUNTIF(Transactions!$A$1:A90,Transactions!A91)&gt;0,1,0))</f>
        <v/>
      </c>
      <c r="E91">
        <f>IF(D91=1,0,IF(B91="RETURN",IF(COUNTIFS($A$1:A90,A91,$B$1:B90,"SALE",$E$1:E90,1)&gt;0,1,0),1))</f>
        <v/>
      </c>
      <c r="F91">
        <f>IF(E91=1,IF(B91="RECEIPT",Transactions!E91,IF(AND(B91="RETURN",LOWER(TRIM(Transactions!H91))="resellable"),Transactions!E91,0)),0)</f>
        <v/>
      </c>
      <c r="G91">
        <f>IF(F91&gt;0,IF(B91="RECEIPT",Transactions!F91,IF(_xlfn.MAXIFS($H$2:H91,$A$2:A91,A91)&gt;0,INDEX(Transactions!$F:$F,_xlfn.MAXIFS($H$2:H91,$A$2:A91,A91)),W91)),0)</f>
        <v/>
      </c>
      <c r="H91">
        <f>IF(AND(E91=1,B91="RECEIPT"),ROW(),0)</f>
        <v/>
      </c>
      <c r="I91">
        <f>IF(E91=1,IF(OR(B91="SALE",B91="WRITEOFF"),Transactions!E91,0),0)</f>
        <v/>
      </c>
      <c r="J91">
        <f>SUMIFS($F$1:F90,$A$1:A90,A91)</f>
        <v/>
      </c>
      <c r="K91">
        <f>SUMIFS($I$1:I90,$A$1:A90,A91)</f>
        <v/>
      </c>
      <c r="L91">
        <f>IFERROR(VLOOKUP(A91,Opening!$A:$C,3,0),0)</f>
        <v/>
      </c>
      <c r="M91">
        <f>IF(I91=0,0,MAX(0,MIN(INDEX(Month!H$2:H$13,MATCH($A91,Month!$A$2:$A$13,0))-K91,I91)))</f>
        <v/>
      </c>
      <c r="N91">
        <f>IF(I91=0,0,MAX(0,MIN(INDEX(Month!I$2:I$13,MATCH($A91,Month!$A$2:$A$13,0))-K91,I91)))</f>
        <v/>
      </c>
      <c r="O91">
        <f>IF(I91=0,0,MAX(0,MIN(INDEX(Month!J$2:J$13,MATCH($A91,Month!$A$2:$A$13,0))-K91,I91)))</f>
        <v/>
      </c>
      <c r="P91">
        <f>IF(I91=0,0,(MIN(MAX(K91,0),L91)*W91+SUMPRODUCT((Calc!$A$2:$A$1001=A91)*Calc!$G$2:$G$1001*(((K91-(L91+Calc!$J$2:$J$1001))&gt;0)*((K91-(L91+Calc!$J$2:$J$1001))&lt;Calc!$F$2:$F$1001)*(K91-(L91+Calc!$J$2:$J$1001))+((K91-(L91+Calc!$J$2:$J$1001))&gt;=Calc!$F$2:$F$1001)*Calc!$F$2:$F$1001))))</f>
        <v/>
      </c>
      <c r="Q91">
        <f>IF(I91=0,0,(MIN(MAX((K91+M91),0),L91)*W91+SUMPRODUCT((Calc!$A$2:$A$1001=A91)*Calc!$G$2:$G$1001*((((K91+M91)-(L91+Calc!$J$2:$J$1001))&gt;0)*(((K91+M91)-(L91+Calc!$J$2:$J$1001))&lt;Calc!$F$2:$F$1001)*((K91+M91)-(L91+Calc!$J$2:$J$1001))+(((K91+M91)-(L91+Calc!$J$2:$J$1001))&gt;=Calc!$F$2:$F$1001)*Calc!$F$2:$F$1001))))</f>
        <v/>
      </c>
      <c r="R91">
        <f>IF(I91=0,0,(MIN(MAX((K91+N91),0),L91)*W91+SUMPRODUCT((Calc!$A$2:$A$1001=A91)*Calc!$G$2:$G$1001*((((K91+N91)-(L91+Calc!$J$2:$J$1001))&gt;0)*(((K91+N91)-(L91+Calc!$J$2:$J$1001))&lt;Calc!$F$2:$F$1001)*((K91+N91)-(L91+Calc!$J$2:$J$1001))+(((K91+N91)-(L91+Calc!$J$2:$J$1001))&gt;=Calc!$F$2:$F$1001)*Calc!$F$2:$F$1001))))</f>
        <v/>
      </c>
      <c r="S91">
        <f>IF(I91=0,0,(MIN(MAX((K91+O91),0),L91)*W91+SUMPRODUCT((Calc!$A$2:$A$1001=A91)*Calc!$G$2:$G$1001*((((K91+O91)-(L91+Calc!$J$2:$J$1001))&gt;0)*(((K91+O91)-(L91+Calc!$J$2:$J$1001))&lt;Calc!$F$2:$F$1001)*((K91+O91)-(L91+Calc!$J$2:$J$1001))+(((K91+O91)-(L91+Calc!$J$2:$J$1001))&gt;=Calc!$F$2:$F$1001)*Calc!$F$2:$F$1001))))</f>
        <v/>
      </c>
      <c r="T91">
        <f>IF(AND(E91=1,B91="RETURN"),Transactions!E91*Transactions!G91,0)</f>
        <v/>
      </c>
      <c r="U91">
        <f>IF(AND(E91=1,B91="EXPENSE"),Transactions!J91,0)</f>
        <v/>
      </c>
      <c r="V91">
        <f>IF(AND(Transactions!A91&lt;&gt;"",E91=0),ROW(),"")</f>
        <v/>
      </c>
      <c r="W91">
        <f>IFERROR(VLOOKUP(A91,Opening!$A:$D,4,0),0)</f>
        <v/>
      </c>
    </row>
    <row r="92">
      <c r="A92">
        <f>IF(Transactions!D92="","",UPPER(TRIM(Transactions!D92)))</f>
        <v/>
      </c>
      <c r="B92">
        <f>IF(Transactions!C92="","",UPPER(TRIM(Transactions!C92)))</f>
        <v/>
      </c>
      <c r="C92">
        <f>IF(Transactions!B92="",0,YEAR(Transactions!B92)*100+MONTH(Transactions!B92))</f>
        <v/>
      </c>
      <c r="D92">
        <f>IF(Transactions!A92="",1,IF(COUNTIF(Transactions!$A$1:A91,Transactions!A92)&gt;0,1,0))</f>
        <v/>
      </c>
      <c r="E92">
        <f>IF(D92=1,0,IF(B92="RETURN",IF(COUNTIFS($A$1:A91,A92,$B$1:B91,"SALE",$E$1:E91,1)&gt;0,1,0),1))</f>
        <v/>
      </c>
      <c r="F92">
        <f>IF(E92=1,IF(B92="RECEIPT",Transactions!E92,IF(AND(B92="RETURN",LOWER(TRIM(Transactions!H92))="resellable"),Transactions!E92,0)),0)</f>
        <v/>
      </c>
      <c r="G92">
        <f>IF(F92&gt;0,IF(B92="RECEIPT",Transactions!F92,IF(_xlfn.MAXIFS($H$2:H92,$A$2:A92,A92)&gt;0,INDEX(Transactions!$F:$F,_xlfn.MAXIFS($H$2:H92,$A$2:A92,A92)),W92)),0)</f>
        <v/>
      </c>
      <c r="H92">
        <f>IF(AND(E92=1,B92="RECEIPT"),ROW(),0)</f>
        <v/>
      </c>
      <c r="I92">
        <f>IF(E92=1,IF(OR(B92="SALE",B92="WRITEOFF"),Transactions!E92,0),0)</f>
        <v/>
      </c>
      <c r="J92">
        <f>SUMIFS($F$1:F91,$A$1:A91,A92)</f>
        <v/>
      </c>
      <c r="K92">
        <f>SUMIFS($I$1:I91,$A$1:A91,A92)</f>
        <v/>
      </c>
      <c r="L92">
        <f>IFERROR(VLOOKUP(A92,Opening!$A:$C,3,0),0)</f>
        <v/>
      </c>
      <c r="M92">
        <f>IF(I92=0,0,MAX(0,MIN(INDEX(Month!H$2:H$13,MATCH($A92,Month!$A$2:$A$13,0))-K92,I92)))</f>
        <v/>
      </c>
      <c r="N92">
        <f>IF(I92=0,0,MAX(0,MIN(INDEX(Month!I$2:I$13,MATCH($A92,Month!$A$2:$A$13,0))-K92,I92)))</f>
        <v/>
      </c>
      <c r="O92">
        <f>IF(I92=0,0,MAX(0,MIN(INDEX(Month!J$2:J$13,MATCH($A92,Month!$A$2:$A$13,0))-K92,I92)))</f>
        <v/>
      </c>
      <c r="P92">
        <f>IF(I92=0,0,(MIN(MAX(K92,0),L92)*W92+SUMPRODUCT((Calc!$A$2:$A$1001=A92)*Calc!$G$2:$G$1001*(((K92-(L92+Calc!$J$2:$J$1001))&gt;0)*((K92-(L92+Calc!$J$2:$J$1001))&lt;Calc!$F$2:$F$1001)*(K92-(L92+Calc!$J$2:$J$1001))+((K92-(L92+Calc!$J$2:$J$1001))&gt;=Calc!$F$2:$F$1001)*Calc!$F$2:$F$1001))))</f>
        <v/>
      </c>
      <c r="Q92">
        <f>IF(I92=0,0,(MIN(MAX((K92+M92),0),L92)*W92+SUMPRODUCT((Calc!$A$2:$A$1001=A92)*Calc!$G$2:$G$1001*((((K92+M92)-(L92+Calc!$J$2:$J$1001))&gt;0)*(((K92+M92)-(L92+Calc!$J$2:$J$1001))&lt;Calc!$F$2:$F$1001)*((K92+M92)-(L92+Calc!$J$2:$J$1001))+(((K92+M92)-(L92+Calc!$J$2:$J$1001))&gt;=Calc!$F$2:$F$1001)*Calc!$F$2:$F$1001))))</f>
        <v/>
      </c>
      <c r="R92">
        <f>IF(I92=0,0,(MIN(MAX((K92+N92),0),L92)*W92+SUMPRODUCT((Calc!$A$2:$A$1001=A92)*Calc!$G$2:$G$1001*((((K92+N92)-(L92+Calc!$J$2:$J$1001))&gt;0)*(((K92+N92)-(L92+Calc!$J$2:$J$1001))&lt;Calc!$F$2:$F$1001)*((K92+N92)-(L92+Calc!$J$2:$J$1001))+(((K92+N92)-(L92+Calc!$J$2:$J$1001))&gt;=Calc!$F$2:$F$1001)*Calc!$F$2:$F$1001))))</f>
        <v/>
      </c>
      <c r="S92">
        <f>IF(I92=0,0,(MIN(MAX((K92+O92),0),L92)*W92+SUMPRODUCT((Calc!$A$2:$A$1001=A92)*Calc!$G$2:$G$1001*((((K92+O92)-(L92+Calc!$J$2:$J$1001))&gt;0)*(((K92+O92)-(L92+Calc!$J$2:$J$1001))&lt;Calc!$F$2:$F$1001)*((K92+O92)-(L92+Calc!$J$2:$J$1001))+(((K92+O92)-(L92+Calc!$J$2:$J$1001))&gt;=Calc!$F$2:$F$1001)*Calc!$F$2:$F$1001))))</f>
        <v/>
      </c>
      <c r="T92">
        <f>IF(AND(E92=1,B92="RETURN"),Transactions!E92*Transactions!G92,0)</f>
        <v/>
      </c>
      <c r="U92">
        <f>IF(AND(E92=1,B92="EXPENSE"),Transactions!J92,0)</f>
        <v/>
      </c>
      <c r="V92">
        <f>IF(AND(Transactions!A92&lt;&gt;"",E92=0),ROW(),"")</f>
        <v/>
      </c>
      <c r="W92">
        <f>IFERROR(VLOOKUP(A92,Opening!$A:$D,4,0),0)</f>
        <v/>
      </c>
    </row>
    <row r="93">
      <c r="A93">
        <f>IF(Transactions!D93="","",UPPER(TRIM(Transactions!D93)))</f>
        <v/>
      </c>
      <c r="B93">
        <f>IF(Transactions!C93="","",UPPER(TRIM(Transactions!C93)))</f>
        <v/>
      </c>
      <c r="C93">
        <f>IF(Transactions!B93="",0,YEAR(Transactions!B93)*100+MONTH(Transactions!B93))</f>
        <v/>
      </c>
      <c r="D93">
        <f>IF(Transactions!A93="",1,IF(COUNTIF(Transactions!$A$1:A92,Transactions!A93)&gt;0,1,0))</f>
        <v/>
      </c>
      <c r="E93">
        <f>IF(D93=1,0,IF(B93="RETURN",IF(COUNTIFS($A$1:A92,A93,$B$1:B92,"SALE",$E$1:E92,1)&gt;0,1,0),1))</f>
        <v/>
      </c>
      <c r="F93">
        <f>IF(E93=1,IF(B93="RECEIPT",Transactions!E93,IF(AND(B93="RETURN",LOWER(TRIM(Transactions!H93))="resellable"),Transactions!E93,0)),0)</f>
        <v/>
      </c>
      <c r="G93">
        <f>IF(F93&gt;0,IF(B93="RECEIPT",Transactions!F93,IF(_xlfn.MAXIFS($H$2:H93,$A$2:A93,A93)&gt;0,INDEX(Transactions!$F:$F,_xlfn.MAXIFS($H$2:H93,$A$2:A93,A93)),W93)),0)</f>
        <v/>
      </c>
      <c r="H93">
        <f>IF(AND(E93=1,B93="RECEIPT"),ROW(),0)</f>
        <v/>
      </c>
      <c r="I93">
        <f>IF(E93=1,IF(OR(B93="SALE",B93="WRITEOFF"),Transactions!E93,0),0)</f>
        <v/>
      </c>
      <c r="J93">
        <f>SUMIFS($F$1:F92,$A$1:A92,A93)</f>
        <v/>
      </c>
      <c r="K93">
        <f>SUMIFS($I$1:I92,$A$1:A92,A93)</f>
        <v/>
      </c>
      <c r="L93">
        <f>IFERROR(VLOOKUP(A93,Opening!$A:$C,3,0),0)</f>
        <v/>
      </c>
      <c r="M93">
        <f>IF(I93=0,0,MAX(0,MIN(INDEX(Month!H$2:H$13,MATCH($A93,Month!$A$2:$A$13,0))-K93,I93)))</f>
        <v/>
      </c>
      <c r="N93">
        <f>IF(I93=0,0,MAX(0,MIN(INDEX(Month!I$2:I$13,MATCH($A93,Month!$A$2:$A$13,0))-K93,I93)))</f>
        <v/>
      </c>
      <c r="O93">
        <f>IF(I93=0,0,MAX(0,MIN(INDEX(Month!J$2:J$13,MATCH($A93,Month!$A$2:$A$13,0))-K93,I93)))</f>
        <v/>
      </c>
      <c r="P93">
        <f>IF(I93=0,0,(MIN(MAX(K93,0),L93)*W93+SUMPRODUCT((Calc!$A$2:$A$1001=A93)*Calc!$G$2:$G$1001*(((K93-(L93+Calc!$J$2:$J$1001))&gt;0)*((K93-(L93+Calc!$J$2:$J$1001))&lt;Calc!$F$2:$F$1001)*(K93-(L93+Calc!$J$2:$J$1001))+((K93-(L93+Calc!$J$2:$J$1001))&gt;=Calc!$F$2:$F$1001)*Calc!$F$2:$F$1001))))</f>
        <v/>
      </c>
      <c r="Q93">
        <f>IF(I93=0,0,(MIN(MAX((K93+M93),0),L93)*W93+SUMPRODUCT((Calc!$A$2:$A$1001=A93)*Calc!$G$2:$G$1001*((((K93+M93)-(L93+Calc!$J$2:$J$1001))&gt;0)*(((K93+M93)-(L93+Calc!$J$2:$J$1001))&lt;Calc!$F$2:$F$1001)*((K93+M93)-(L93+Calc!$J$2:$J$1001))+(((K93+M93)-(L93+Calc!$J$2:$J$1001))&gt;=Calc!$F$2:$F$1001)*Calc!$F$2:$F$1001))))</f>
        <v/>
      </c>
      <c r="R93">
        <f>IF(I93=0,0,(MIN(MAX((K93+N93),0),L93)*W93+SUMPRODUCT((Calc!$A$2:$A$1001=A93)*Calc!$G$2:$G$1001*((((K93+N93)-(L93+Calc!$J$2:$J$1001))&gt;0)*(((K93+N93)-(L93+Calc!$J$2:$J$1001))&lt;Calc!$F$2:$F$1001)*((K93+N93)-(L93+Calc!$J$2:$J$1001))+(((K93+N93)-(L93+Calc!$J$2:$J$1001))&gt;=Calc!$F$2:$F$1001)*Calc!$F$2:$F$1001))))</f>
        <v/>
      </c>
      <c r="S93">
        <f>IF(I93=0,0,(MIN(MAX((K93+O93),0),L93)*W93+SUMPRODUCT((Calc!$A$2:$A$1001=A93)*Calc!$G$2:$G$1001*((((K93+O93)-(L93+Calc!$J$2:$J$1001))&gt;0)*(((K93+O93)-(L93+Calc!$J$2:$J$1001))&lt;Calc!$F$2:$F$1001)*((K93+O93)-(L93+Calc!$J$2:$J$1001))+(((K93+O93)-(L93+Calc!$J$2:$J$1001))&gt;=Calc!$F$2:$F$1001)*Calc!$F$2:$F$1001))))</f>
        <v/>
      </c>
      <c r="T93">
        <f>IF(AND(E93=1,B93="RETURN"),Transactions!E93*Transactions!G93,0)</f>
        <v/>
      </c>
      <c r="U93">
        <f>IF(AND(E93=1,B93="EXPENSE"),Transactions!J93,0)</f>
        <v/>
      </c>
      <c r="V93">
        <f>IF(AND(Transactions!A93&lt;&gt;"",E93=0),ROW(),"")</f>
        <v/>
      </c>
      <c r="W93">
        <f>IFERROR(VLOOKUP(A93,Opening!$A:$D,4,0),0)</f>
        <v/>
      </c>
    </row>
    <row r="94">
      <c r="A94">
        <f>IF(Transactions!D94="","",UPPER(TRIM(Transactions!D94)))</f>
        <v/>
      </c>
      <c r="B94">
        <f>IF(Transactions!C94="","",UPPER(TRIM(Transactions!C94)))</f>
        <v/>
      </c>
      <c r="C94">
        <f>IF(Transactions!B94="",0,YEAR(Transactions!B94)*100+MONTH(Transactions!B94))</f>
        <v/>
      </c>
      <c r="D94">
        <f>IF(Transactions!A94="",1,IF(COUNTIF(Transactions!$A$1:A93,Transactions!A94)&gt;0,1,0))</f>
        <v/>
      </c>
      <c r="E94">
        <f>IF(D94=1,0,IF(B94="RETURN",IF(COUNTIFS($A$1:A93,A94,$B$1:B93,"SALE",$E$1:E93,1)&gt;0,1,0),1))</f>
        <v/>
      </c>
      <c r="F94">
        <f>IF(E94=1,IF(B94="RECEIPT",Transactions!E94,IF(AND(B94="RETURN",LOWER(TRIM(Transactions!H94))="resellable"),Transactions!E94,0)),0)</f>
        <v/>
      </c>
      <c r="G94">
        <f>IF(F94&gt;0,IF(B94="RECEIPT",Transactions!F94,IF(_xlfn.MAXIFS($H$2:H94,$A$2:A94,A94)&gt;0,INDEX(Transactions!$F:$F,_xlfn.MAXIFS($H$2:H94,$A$2:A94,A94)),W94)),0)</f>
        <v/>
      </c>
      <c r="H94">
        <f>IF(AND(E94=1,B94="RECEIPT"),ROW(),0)</f>
        <v/>
      </c>
      <c r="I94">
        <f>IF(E94=1,IF(OR(B94="SALE",B94="WRITEOFF"),Transactions!E94,0),0)</f>
        <v/>
      </c>
      <c r="J94">
        <f>SUMIFS($F$1:F93,$A$1:A93,A94)</f>
        <v/>
      </c>
      <c r="K94">
        <f>SUMIFS($I$1:I93,$A$1:A93,A94)</f>
        <v/>
      </c>
      <c r="L94">
        <f>IFERROR(VLOOKUP(A94,Opening!$A:$C,3,0),0)</f>
        <v/>
      </c>
      <c r="M94">
        <f>IF(I94=0,0,MAX(0,MIN(INDEX(Month!H$2:H$13,MATCH($A94,Month!$A$2:$A$13,0))-K94,I94)))</f>
        <v/>
      </c>
      <c r="N94">
        <f>IF(I94=0,0,MAX(0,MIN(INDEX(Month!I$2:I$13,MATCH($A94,Month!$A$2:$A$13,0))-K94,I94)))</f>
        <v/>
      </c>
      <c r="O94">
        <f>IF(I94=0,0,MAX(0,MIN(INDEX(Month!J$2:J$13,MATCH($A94,Month!$A$2:$A$13,0))-K94,I94)))</f>
        <v/>
      </c>
      <c r="P94">
        <f>IF(I94=0,0,(MIN(MAX(K94,0),L94)*W94+SUMPRODUCT((Calc!$A$2:$A$1001=A94)*Calc!$G$2:$G$1001*(((K94-(L94+Calc!$J$2:$J$1001))&gt;0)*((K94-(L94+Calc!$J$2:$J$1001))&lt;Calc!$F$2:$F$1001)*(K94-(L94+Calc!$J$2:$J$1001))+((K94-(L94+Calc!$J$2:$J$1001))&gt;=Calc!$F$2:$F$1001)*Calc!$F$2:$F$1001))))</f>
        <v/>
      </c>
      <c r="Q94">
        <f>IF(I94=0,0,(MIN(MAX((K94+M94),0),L94)*W94+SUMPRODUCT((Calc!$A$2:$A$1001=A94)*Calc!$G$2:$G$1001*((((K94+M94)-(L94+Calc!$J$2:$J$1001))&gt;0)*(((K94+M94)-(L94+Calc!$J$2:$J$1001))&lt;Calc!$F$2:$F$1001)*((K94+M94)-(L94+Calc!$J$2:$J$1001))+(((K94+M94)-(L94+Calc!$J$2:$J$1001))&gt;=Calc!$F$2:$F$1001)*Calc!$F$2:$F$1001))))</f>
        <v/>
      </c>
      <c r="R94">
        <f>IF(I94=0,0,(MIN(MAX((K94+N94),0),L94)*W94+SUMPRODUCT((Calc!$A$2:$A$1001=A94)*Calc!$G$2:$G$1001*((((K94+N94)-(L94+Calc!$J$2:$J$1001))&gt;0)*(((K94+N94)-(L94+Calc!$J$2:$J$1001))&lt;Calc!$F$2:$F$1001)*((K94+N94)-(L94+Calc!$J$2:$J$1001))+(((K94+N94)-(L94+Calc!$J$2:$J$1001))&gt;=Calc!$F$2:$F$1001)*Calc!$F$2:$F$1001))))</f>
        <v/>
      </c>
      <c r="S94">
        <f>IF(I94=0,0,(MIN(MAX((K94+O94),0),L94)*W94+SUMPRODUCT((Calc!$A$2:$A$1001=A94)*Calc!$G$2:$G$1001*((((K94+O94)-(L94+Calc!$J$2:$J$1001))&gt;0)*(((K94+O94)-(L94+Calc!$J$2:$J$1001))&lt;Calc!$F$2:$F$1001)*((K94+O94)-(L94+Calc!$J$2:$J$1001))+(((K94+O94)-(L94+Calc!$J$2:$J$1001))&gt;=Calc!$F$2:$F$1001)*Calc!$F$2:$F$1001))))</f>
        <v/>
      </c>
      <c r="T94">
        <f>IF(AND(E94=1,B94="RETURN"),Transactions!E94*Transactions!G94,0)</f>
        <v/>
      </c>
      <c r="U94">
        <f>IF(AND(E94=1,B94="EXPENSE"),Transactions!J94,0)</f>
        <v/>
      </c>
      <c r="V94">
        <f>IF(AND(Transactions!A94&lt;&gt;"",E94=0),ROW(),"")</f>
        <v/>
      </c>
      <c r="W94">
        <f>IFERROR(VLOOKUP(A94,Opening!$A:$D,4,0),0)</f>
        <v/>
      </c>
    </row>
    <row r="95">
      <c r="A95">
        <f>IF(Transactions!D95="","",UPPER(TRIM(Transactions!D95)))</f>
        <v/>
      </c>
      <c r="B95">
        <f>IF(Transactions!C95="","",UPPER(TRIM(Transactions!C95)))</f>
        <v/>
      </c>
      <c r="C95">
        <f>IF(Transactions!B95="",0,YEAR(Transactions!B95)*100+MONTH(Transactions!B95))</f>
        <v/>
      </c>
      <c r="D95">
        <f>IF(Transactions!A95="",1,IF(COUNTIF(Transactions!$A$1:A94,Transactions!A95)&gt;0,1,0))</f>
        <v/>
      </c>
      <c r="E95">
        <f>IF(D95=1,0,IF(B95="RETURN",IF(COUNTIFS($A$1:A94,A95,$B$1:B94,"SALE",$E$1:E94,1)&gt;0,1,0),1))</f>
        <v/>
      </c>
      <c r="F95">
        <f>IF(E95=1,IF(B95="RECEIPT",Transactions!E95,IF(AND(B95="RETURN",LOWER(TRIM(Transactions!H95))="resellable"),Transactions!E95,0)),0)</f>
        <v/>
      </c>
      <c r="G95">
        <f>IF(F95&gt;0,IF(B95="RECEIPT",Transactions!F95,IF(_xlfn.MAXIFS($H$2:H95,$A$2:A95,A95)&gt;0,INDEX(Transactions!$F:$F,_xlfn.MAXIFS($H$2:H95,$A$2:A95,A95)),W95)),0)</f>
        <v/>
      </c>
      <c r="H95">
        <f>IF(AND(E95=1,B95="RECEIPT"),ROW(),0)</f>
        <v/>
      </c>
      <c r="I95">
        <f>IF(E95=1,IF(OR(B95="SALE",B95="WRITEOFF"),Transactions!E95,0),0)</f>
        <v/>
      </c>
      <c r="J95">
        <f>SUMIFS($F$1:F94,$A$1:A94,A95)</f>
        <v/>
      </c>
      <c r="K95">
        <f>SUMIFS($I$1:I94,$A$1:A94,A95)</f>
        <v/>
      </c>
      <c r="L95">
        <f>IFERROR(VLOOKUP(A95,Opening!$A:$C,3,0),0)</f>
        <v/>
      </c>
      <c r="M95">
        <f>IF(I95=0,0,MAX(0,MIN(INDEX(Month!H$2:H$13,MATCH($A95,Month!$A$2:$A$13,0))-K95,I95)))</f>
        <v/>
      </c>
      <c r="N95">
        <f>IF(I95=0,0,MAX(0,MIN(INDEX(Month!I$2:I$13,MATCH($A95,Month!$A$2:$A$13,0))-K95,I95)))</f>
        <v/>
      </c>
      <c r="O95">
        <f>IF(I95=0,0,MAX(0,MIN(INDEX(Month!J$2:J$13,MATCH($A95,Month!$A$2:$A$13,0))-K95,I95)))</f>
        <v/>
      </c>
      <c r="P95">
        <f>IF(I95=0,0,(MIN(MAX(K95,0),L95)*W95+SUMPRODUCT((Calc!$A$2:$A$1001=A95)*Calc!$G$2:$G$1001*(((K95-(L95+Calc!$J$2:$J$1001))&gt;0)*((K95-(L95+Calc!$J$2:$J$1001))&lt;Calc!$F$2:$F$1001)*(K95-(L95+Calc!$J$2:$J$1001))+((K95-(L95+Calc!$J$2:$J$1001))&gt;=Calc!$F$2:$F$1001)*Calc!$F$2:$F$1001))))</f>
        <v/>
      </c>
      <c r="Q95">
        <f>IF(I95=0,0,(MIN(MAX((K95+M95),0),L95)*W95+SUMPRODUCT((Calc!$A$2:$A$1001=A95)*Calc!$G$2:$G$1001*((((K95+M95)-(L95+Calc!$J$2:$J$1001))&gt;0)*(((K95+M95)-(L95+Calc!$J$2:$J$1001))&lt;Calc!$F$2:$F$1001)*((K95+M95)-(L95+Calc!$J$2:$J$1001))+(((K95+M95)-(L95+Calc!$J$2:$J$1001))&gt;=Calc!$F$2:$F$1001)*Calc!$F$2:$F$1001))))</f>
        <v/>
      </c>
      <c r="R95">
        <f>IF(I95=0,0,(MIN(MAX((K95+N95),0),L95)*W95+SUMPRODUCT((Calc!$A$2:$A$1001=A95)*Calc!$G$2:$G$1001*((((K95+N95)-(L95+Calc!$J$2:$J$1001))&gt;0)*(((K95+N95)-(L95+Calc!$J$2:$J$1001))&lt;Calc!$F$2:$F$1001)*((K95+N95)-(L95+Calc!$J$2:$J$1001))+(((K95+N95)-(L95+Calc!$J$2:$J$1001))&gt;=Calc!$F$2:$F$1001)*Calc!$F$2:$F$1001))))</f>
        <v/>
      </c>
      <c r="S95">
        <f>IF(I95=0,0,(MIN(MAX((K95+O95),0),L95)*W95+SUMPRODUCT((Calc!$A$2:$A$1001=A95)*Calc!$G$2:$G$1001*((((K95+O95)-(L95+Calc!$J$2:$J$1001))&gt;0)*(((K95+O95)-(L95+Calc!$J$2:$J$1001))&lt;Calc!$F$2:$F$1001)*((K95+O95)-(L95+Calc!$J$2:$J$1001))+(((K95+O95)-(L95+Calc!$J$2:$J$1001))&gt;=Calc!$F$2:$F$1001)*Calc!$F$2:$F$1001))))</f>
        <v/>
      </c>
      <c r="T95">
        <f>IF(AND(E95=1,B95="RETURN"),Transactions!E95*Transactions!G95,0)</f>
        <v/>
      </c>
      <c r="U95">
        <f>IF(AND(E95=1,B95="EXPENSE"),Transactions!J95,0)</f>
        <v/>
      </c>
      <c r="V95">
        <f>IF(AND(Transactions!A95&lt;&gt;"",E95=0),ROW(),"")</f>
        <v/>
      </c>
      <c r="W95">
        <f>IFERROR(VLOOKUP(A95,Opening!$A:$D,4,0),0)</f>
        <v/>
      </c>
    </row>
    <row r="96">
      <c r="A96">
        <f>IF(Transactions!D96="","",UPPER(TRIM(Transactions!D96)))</f>
        <v/>
      </c>
      <c r="B96">
        <f>IF(Transactions!C96="","",UPPER(TRIM(Transactions!C96)))</f>
        <v/>
      </c>
      <c r="C96">
        <f>IF(Transactions!B96="",0,YEAR(Transactions!B96)*100+MONTH(Transactions!B96))</f>
        <v/>
      </c>
      <c r="D96">
        <f>IF(Transactions!A96="",1,IF(COUNTIF(Transactions!$A$1:A95,Transactions!A96)&gt;0,1,0))</f>
        <v/>
      </c>
      <c r="E96">
        <f>IF(D96=1,0,IF(B96="RETURN",IF(COUNTIFS($A$1:A95,A96,$B$1:B95,"SALE",$E$1:E95,1)&gt;0,1,0),1))</f>
        <v/>
      </c>
      <c r="F96">
        <f>IF(E96=1,IF(B96="RECEIPT",Transactions!E96,IF(AND(B96="RETURN",LOWER(TRIM(Transactions!H96))="resellable"),Transactions!E96,0)),0)</f>
        <v/>
      </c>
      <c r="G96">
        <f>IF(F96&gt;0,IF(B96="RECEIPT",Transactions!F96,IF(_xlfn.MAXIFS($H$2:H96,$A$2:A96,A96)&gt;0,INDEX(Transactions!$F:$F,_xlfn.MAXIFS($H$2:H96,$A$2:A96,A96)),W96)),0)</f>
        <v/>
      </c>
      <c r="H96">
        <f>IF(AND(E96=1,B96="RECEIPT"),ROW(),0)</f>
        <v/>
      </c>
      <c r="I96">
        <f>IF(E96=1,IF(OR(B96="SALE",B96="WRITEOFF"),Transactions!E96,0),0)</f>
        <v/>
      </c>
      <c r="J96">
        <f>SUMIFS($F$1:F95,$A$1:A95,A96)</f>
        <v/>
      </c>
      <c r="K96">
        <f>SUMIFS($I$1:I95,$A$1:A95,A96)</f>
        <v/>
      </c>
      <c r="L96">
        <f>IFERROR(VLOOKUP(A96,Opening!$A:$C,3,0),0)</f>
        <v/>
      </c>
      <c r="M96">
        <f>IF(I96=0,0,MAX(0,MIN(INDEX(Month!H$2:H$13,MATCH($A96,Month!$A$2:$A$13,0))-K96,I96)))</f>
        <v/>
      </c>
      <c r="N96">
        <f>IF(I96=0,0,MAX(0,MIN(INDEX(Month!I$2:I$13,MATCH($A96,Month!$A$2:$A$13,0))-K96,I96)))</f>
        <v/>
      </c>
      <c r="O96">
        <f>IF(I96=0,0,MAX(0,MIN(INDEX(Month!J$2:J$13,MATCH($A96,Month!$A$2:$A$13,0))-K96,I96)))</f>
        <v/>
      </c>
      <c r="P96">
        <f>IF(I96=0,0,(MIN(MAX(K96,0),L96)*W96+SUMPRODUCT((Calc!$A$2:$A$1001=A96)*Calc!$G$2:$G$1001*(((K96-(L96+Calc!$J$2:$J$1001))&gt;0)*((K96-(L96+Calc!$J$2:$J$1001))&lt;Calc!$F$2:$F$1001)*(K96-(L96+Calc!$J$2:$J$1001))+((K96-(L96+Calc!$J$2:$J$1001))&gt;=Calc!$F$2:$F$1001)*Calc!$F$2:$F$1001))))</f>
        <v/>
      </c>
      <c r="Q96">
        <f>IF(I96=0,0,(MIN(MAX((K96+M96),0),L96)*W96+SUMPRODUCT((Calc!$A$2:$A$1001=A96)*Calc!$G$2:$G$1001*((((K96+M96)-(L96+Calc!$J$2:$J$1001))&gt;0)*(((K96+M96)-(L96+Calc!$J$2:$J$1001))&lt;Calc!$F$2:$F$1001)*((K96+M96)-(L96+Calc!$J$2:$J$1001))+(((K96+M96)-(L96+Calc!$J$2:$J$1001))&gt;=Calc!$F$2:$F$1001)*Calc!$F$2:$F$1001))))</f>
        <v/>
      </c>
      <c r="R96">
        <f>IF(I96=0,0,(MIN(MAX((K96+N96),0),L96)*W96+SUMPRODUCT((Calc!$A$2:$A$1001=A96)*Calc!$G$2:$G$1001*((((K96+N96)-(L96+Calc!$J$2:$J$1001))&gt;0)*(((K96+N96)-(L96+Calc!$J$2:$J$1001))&lt;Calc!$F$2:$F$1001)*((K96+N96)-(L96+Calc!$J$2:$J$1001))+(((K96+N96)-(L96+Calc!$J$2:$J$1001))&gt;=Calc!$F$2:$F$1001)*Calc!$F$2:$F$1001))))</f>
        <v/>
      </c>
      <c r="S96">
        <f>IF(I96=0,0,(MIN(MAX((K96+O96),0),L96)*W96+SUMPRODUCT((Calc!$A$2:$A$1001=A96)*Calc!$G$2:$G$1001*((((K96+O96)-(L96+Calc!$J$2:$J$1001))&gt;0)*(((K96+O96)-(L96+Calc!$J$2:$J$1001))&lt;Calc!$F$2:$F$1001)*((K96+O96)-(L96+Calc!$J$2:$J$1001))+(((K96+O96)-(L96+Calc!$J$2:$J$1001))&gt;=Calc!$F$2:$F$1001)*Calc!$F$2:$F$1001))))</f>
        <v/>
      </c>
      <c r="T96">
        <f>IF(AND(E96=1,B96="RETURN"),Transactions!E96*Transactions!G96,0)</f>
        <v/>
      </c>
      <c r="U96">
        <f>IF(AND(E96=1,B96="EXPENSE"),Transactions!J96,0)</f>
        <v/>
      </c>
      <c r="V96">
        <f>IF(AND(Transactions!A96&lt;&gt;"",E96=0),ROW(),"")</f>
        <v/>
      </c>
      <c r="W96">
        <f>IFERROR(VLOOKUP(A96,Opening!$A:$D,4,0),0)</f>
        <v/>
      </c>
    </row>
    <row r="97">
      <c r="A97">
        <f>IF(Transactions!D97="","",UPPER(TRIM(Transactions!D97)))</f>
        <v/>
      </c>
      <c r="B97">
        <f>IF(Transactions!C97="","",UPPER(TRIM(Transactions!C97)))</f>
        <v/>
      </c>
      <c r="C97">
        <f>IF(Transactions!B97="",0,YEAR(Transactions!B97)*100+MONTH(Transactions!B97))</f>
        <v/>
      </c>
      <c r="D97">
        <f>IF(Transactions!A97="",1,IF(COUNTIF(Transactions!$A$1:A96,Transactions!A97)&gt;0,1,0))</f>
        <v/>
      </c>
      <c r="E97">
        <f>IF(D97=1,0,IF(B97="RETURN",IF(COUNTIFS($A$1:A96,A97,$B$1:B96,"SALE",$E$1:E96,1)&gt;0,1,0),1))</f>
        <v/>
      </c>
      <c r="F97">
        <f>IF(E97=1,IF(B97="RECEIPT",Transactions!E97,IF(AND(B97="RETURN",LOWER(TRIM(Transactions!H97))="resellable"),Transactions!E97,0)),0)</f>
        <v/>
      </c>
      <c r="G97">
        <f>IF(F97&gt;0,IF(B97="RECEIPT",Transactions!F97,IF(_xlfn.MAXIFS($H$2:H97,$A$2:A97,A97)&gt;0,INDEX(Transactions!$F:$F,_xlfn.MAXIFS($H$2:H97,$A$2:A97,A97)),W97)),0)</f>
        <v/>
      </c>
      <c r="H97">
        <f>IF(AND(E97=1,B97="RECEIPT"),ROW(),0)</f>
        <v/>
      </c>
      <c r="I97">
        <f>IF(E97=1,IF(OR(B97="SALE",B97="WRITEOFF"),Transactions!E97,0),0)</f>
        <v/>
      </c>
      <c r="J97">
        <f>SUMIFS($F$1:F96,$A$1:A96,A97)</f>
        <v/>
      </c>
      <c r="K97">
        <f>SUMIFS($I$1:I96,$A$1:A96,A97)</f>
        <v/>
      </c>
      <c r="L97">
        <f>IFERROR(VLOOKUP(A97,Opening!$A:$C,3,0),0)</f>
        <v/>
      </c>
      <c r="M97">
        <f>IF(I97=0,0,MAX(0,MIN(INDEX(Month!H$2:H$13,MATCH($A97,Month!$A$2:$A$13,0))-K97,I97)))</f>
        <v/>
      </c>
      <c r="N97">
        <f>IF(I97=0,0,MAX(0,MIN(INDEX(Month!I$2:I$13,MATCH($A97,Month!$A$2:$A$13,0))-K97,I97)))</f>
        <v/>
      </c>
      <c r="O97">
        <f>IF(I97=0,0,MAX(0,MIN(INDEX(Month!J$2:J$13,MATCH($A97,Month!$A$2:$A$13,0))-K97,I97)))</f>
        <v/>
      </c>
      <c r="P97">
        <f>IF(I97=0,0,(MIN(MAX(K97,0),L97)*W97+SUMPRODUCT((Calc!$A$2:$A$1001=A97)*Calc!$G$2:$G$1001*(((K97-(L97+Calc!$J$2:$J$1001))&gt;0)*((K97-(L97+Calc!$J$2:$J$1001))&lt;Calc!$F$2:$F$1001)*(K97-(L97+Calc!$J$2:$J$1001))+((K97-(L97+Calc!$J$2:$J$1001))&gt;=Calc!$F$2:$F$1001)*Calc!$F$2:$F$1001))))</f>
        <v/>
      </c>
      <c r="Q97">
        <f>IF(I97=0,0,(MIN(MAX((K97+M97),0),L97)*W97+SUMPRODUCT((Calc!$A$2:$A$1001=A97)*Calc!$G$2:$G$1001*((((K97+M97)-(L97+Calc!$J$2:$J$1001))&gt;0)*(((K97+M97)-(L97+Calc!$J$2:$J$1001))&lt;Calc!$F$2:$F$1001)*((K97+M97)-(L97+Calc!$J$2:$J$1001))+(((K97+M97)-(L97+Calc!$J$2:$J$1001))&gt;=Calc!$F$2:$F$1001)*Calc!$F$2:$F$1001))))</f>
        <v/>
      </c>
      <c r="R97">
        <f>IF(I97=0,0,(MIN(MAX((K97+N97),0),L97)*W97+SUMPRODUCT((Calc!$A$2:$A$1001=A97)*Calc!$G$2:$G$1001*((((K97+N97)-(L97+Calc!$J$2:$J$1001))&gt;0)*(((K97+N97)-(L97+Calc!$J$2:$J$1001))&lt;Calc!$F$2:$F$1001)*((K97+N97)-(L97+Calc!$J$2:$J$1001))+(((K97+N97)-(L97+Calc!$J$2:$J$1001))&gt;=Calc!$F$2:$F$1001)*Calc!$F$2:$F$1001))))</f>
        <v/>
      </c>
      <c r="S97">
        <f>IF(I97=0,0,(MIN(MAX((K97+O97),0),L97)*W97+SUMPRODUCT((Calc!$A$2:$A$1001=A97)*Calc!$G$2:$G$1001*((((K97+O97)-(L97+Calc!$J$2:$J$1001))&gt;0)*(((K97+O97)-(L97+Calc!$J$2:$J$1001))&lt;Calc!$F$2:$F$1001)*((K97+O97)-(L97+Calc!$J$2:$J$1001))+(((K97+O97)-(L97+Calc!$J$2:$J$1001))&gt;=Calc!$F$2:$F$1001)*Calc!$F$2:$F$1001))))</f>
        <v/>
      </c>
      <c r="T97">
        <f>IF(AND(E97=1,B97="RETURN"),Transactions!E97*Transactions!G97,0)</f>
        <v/>
      </c>
      <c r="U97">
        <f>IF(AND(E97=1,B97="EXPENSE"),Transactions!J97,0)</f>
        <v/>
      </c>
      <c r="V97">
        <f>IF(AND(Transactions!A97&lt;&gt;"",E97=0),ROW(),"")</f>
        <v/>
      </c>
      <c r="W97">
        <f>IFERROR(VLOOKUP(A97,Opening!$A:$D,4,0),0)</f>
        <v/>
      </c>
    </row>
    <row r="98">
      <c r="A98">
        <f>IF(Transactions!D98="","",UPPER(TRIM(Transactions!D98)))</f>
        <v/>
      </c>
      <c r="B98">
        <f>IF(Transactions!C98="","",UPPER(TRIM(Transactions!C98)))</f>
        <v/>
      </c>
      <c r="C98">
        <f>IF(Transactions!B98="",0,YEAR(Transactions!B98)*100+MONTH(Transactions!B98))</f>
        <v/>
      </c>
      <c r="D98">
        <f>IF(Transactions!A98="",1,IF(COUNTIF(Transactions!$A$1:A97,Transactions!A98)&gt;0,1,0))</f>
        <v/>
      </c>
      <c r="E98">
        <f>IF(D98=1,0,IF(B98="RETURN",IF(COUNTIFS($A$1:A97,A98,$B$1:B97,"SALE",$E$1:E97,1)&gt;0,1,0),1))</f>
        <v/>
      </c>
      <c r="F98">
        <f>IF(E98=1,IF(B98="RECEIPT",Transactions!E98,IF(AND(B98="RETURN",LOWER(TRIM(Transactions!H98))="resellable"),Transactions!E98,0)),0)</f>
        <v/>
      </c>
      <c r="G98">
        <f>IF(F98&gt;0,IF(B98="RECEIPT",Transactions!F98,IF(_xlfn.MAXIFS($H$2:H98,$A$2:A98,A98)&gt;0,INDEX(Transactions!$F:$F,_xlfn.MAXIFS($H$2:H98,$A$2:A98,A98)),W98)),0)</f>
        <v/>
      </c>
      <c r="H98">
        <f>IF(AND(E98=1,B98="RECEIPT"),ROW(),0)</f>
        <v/>
      </c>
      <c r="I98">
        <f>IF(E98=1,IF(OR(B98="SALE",B98="WRITEOFF"),Transactions!E98,0),0)</f>
        <v/>
      </c>
      <c r="J98">
        <f>SUMIFS($F$1:F97,$A$1:A97,A98)</f>
        <v/>
      </c>
      <c r="K98">
        <f>SUMIFS($I$1:I97,$A$1:A97,A98)</f>
        <v/>
      </c>
      <c r="L98">
        <f>IFERROR(VLOOKUP(A98,Opening!$A:$C,3,0),0)</f>
        <v/>
      </c>
      <c r="M98">
        <f>IF(I98=0,0,MAX(0,MIN(INDEX(Month!H$2:H$13,MATCH($A98,Month!$A$2:$A$13,0))-K98,I98)))</f>
        <v/>
      </c>
      <c r="N98">
        <f>IF(I98=0,0,MAX(0,MIN(INDEX(Month!I$2:I$13,MATCH($A98,Month!$A$2:$A$13,0))-K98,I98)))</f>
        <v/>
      </c>
      <c r="O98">
        <f>IF(I98=0,0,MAX(0,MIN(INDEX(Month!J$2:J$13,MATCH($A98,Month!$A$2:$A$13,0))-K98,I98)))</f>
        <v/>
      </c>
      <c r="P98">
        <f>IF(I98=0,0,(MIN(MAX(K98,0),L98)*W98+SUMPRODUCT((Calc!$A$2:$A$1001=A98)*Calc!$G$2:$G$1001*(((K98-(L98+Calc!$J$2:$J$1001))&gt;0)*((K98-(L98+Calc!$J$2:$J$1001))&lt;Calc!$F$2:$F$1001)*(K98-(L98+Calc!$J$2:$J$1001))+((K98-(L98+Calc!$J$2:$J$1001))&gt;=Calc!$F$2:$F$1001)*Calc!$F$2:$F$1001))))</f>
        <v/>
      </c>
      <c r="Q98">
        <f>IF(I98=0,0,(MIN(MAX((K98+M98),0),L98)*W98+SUMPRODUCT((Calc!$A$2:$A$1001=A98)*Calc!$G$2:$G$1001*((((K98+M98)-(L98+Calc!$J$2:$J$1001))&gt;0)*(((K98+M98)-(L98+Calc!$J$2:$J$1001))&lt;Calc!$F$2:$F$1001)*((K98+M98)-(L98+Calc!$J$2:$J$1001))+(((K98+M98)-(L98+Calc!$J$2:$J$1001))&gt;=Calc!$F$2:$F$1001)*Calc!$F$2:$F$1001))))</f>
        <v/>
      </c>
      <c r="R98">
        <f>IF(I98=0,0,(MIN(MAX((K98+N98),0),L98)*W98+SUMPRODUCT((Calc!$A$2:$A$1001=A98)*Calc!$G$2:$G$1001*((((K98+N98)-(L98+Calc!$J$2:$J$1001))&gt;0)*(((K98+N98)-(L98+Calc!$J$2:$J$1001))&lt;Calc!$F$2:$F$1001)*((K98+N98)-(L98+Calc!$J$2:$J$1001))+(((K98+N98)-(L98+Calc!$J$2:$J$1001))&gt;=Calc!$F$2:$F$1001)*Calc!$F$2:$F$1001))))</f>
        <v/>
      </c>
      <c r="S98">
        <f>IF(I98=0,0,(MIN(MAX((K98+O98),0),L98)*W98+SUMPRODUCT((Calc!$A$2:$A$1001=A98)*Calc!$G$2:$G$1001*((((K98+O98)-(L98+Calc!$J$2:$J$1001))&gt;0)*(((K98+O98)-(L98+Calc!$J$2:$J$1001))&lt;Calc!$F$2:$F$1001)*((K98+O98)-(L98+Calc!$J$2:$J$1001))+(((K98+O98)-(L98+Calc!$J$2:$J$1001))&gt;=Calc!$F$2:$F$1001)*Calc!$F$2:$F$1001))))</f>
        <v/>
      </c>
      <c r="T98">
        <f>IF(AND(E98=1,B98="RETURN"),Transactions!E98*Transactions!G98,0)</f>
        <v/>
      </c>
      <c r="U98">
        <f>IF(AND(E98=1,B98="EXPENSE"),Transactions!J98,0)</f>
        <v/>
      </c>
      <c r="V98">
        <f>IF(AND(Transactions!A98&lt;&gt;"",E98=0),ROW(),"")</f>
        <v/>
      </c>
      <c r="W98">
        <f>IFERROR(VLOOKUP(A98,Opening!$A:$D,4,0),0)</f>
        <v/>
      </c>
    </row>
    <row r="99">
      <c r="A99">
        <f>IF(Transactions!D99="","",UPPER(TRIM(Transactions!D99)))</f>
        <v/>
      </c>
      <c r="B99">
        <f>IF(Transactions!C99="","",UPPER(TRIM(Transactions!C99)))</f>
        <v/>
      </c>
      <c r="C99">
        <f>IF(Transactions!B99="",0,YEAR(Transactions!B99)*100+MONTH(Transactions!B99))</f>
        <v/>
      </c>
      <c r="D99">
        <f>IF(Transactions!A99="",1,IF(COUNTIF(Transactions!$A$1:A98,Transactions!A99)&gt;0,1,0))</f>
        <v/>
      </c>
      <c r="E99">
        <f>IF(D99=1,0,IF(B99="RETURN",IF(COUNTIFS($A$1:A98,A99,$B$1:B98,"SALE",$E$1:E98,1)&gt;0,1,0),1))</f>
        <v/>
      </c>
      <c r="F99">
        <f>IF(E99=1,IF(B99="RECEIPT",Transactions!E99,IF(AND(B99="RETURN",LOWER(TRIM(Transactions!H99))="resellable"),Transactions!E99,0)),0)</f>
        <v/>
      </c>
      <c r="G99">
        <f>IF(F99&gt;0,IF(B99="RECEIPT",Transactions!F99,IF(_xlfn.MAXIFS($H$2:H99,$A$2:A99,A99)&gt;0,INDEX(Transactions!$F:$F,_xlfn.MAXIFS($H$2:H99,$A$2:A99,A99)),W99)),0)</f>
        <v/>
      </c>
      <c r="H99">
        <f>IF(AND(E99=1,B99="RECEIPT"),ROW(),0)</f>
        <v/>
      </c>
      <c r="I99">
        <f>IF(E99=1,IF(OR(B99="SALE",B99="WRITEOFF"),Transactions!E99,0),0)</f>
        <v/>
      </c>
      <c r="J99">
        <f>SUMIFS($F$1:F98,$A$1:A98,A99)</f>
        <v/>
      </c>
      <c r="K99">
        <f>SUMIFS($I$1:I98,$A$1:A98,A99)</f>
        <v/>
      </c>
      <c r="L99">
        <f>IFERROR(VLOOKUP(A99,Opening!$A:$C,3,0),0)</f>
        <v/>
      </c>
      <c r="M99">
        <f>IF(I99=0,0,MAX(0,MIN(INDEX(Month!H$2:H$13,MATCH($A99,Month!$A$2:$A$13,0))-K99,I99)))</f>
        <v/>
      </c>
      <c r="N99">
        <f>IF(I99=0,0,MAX(0,MIN(INDEX(Month!I$2:I$13,MATCH($A99,Month!$A$2:$A$13,0))-K99,I99)))</f>
        <v/>
      </c>
      <c r="O99">
        <f>IF(I99=0,0,MAX(0,MIN(INDEX(Month!J$2:J$13,MATCH($A99,Month!$A$2:$A$13,0))-K99,I99)))</f>
        <v/>
      </c>
      <c r="P99">
        <f>IF(I99=0,0,(MIN(MAX(K99,0),L99)*W99+SUMPRODUCT((Calc!$A$2:$A$1001=A99)*Calc!$G$2:$G$1001*(((K99-(L99+Calc!$J$2:$J$1001))&gt;0)*((K99-(L99+Calc!$J$2:$J$1001))&lt;Calc!$F$2:$F$1001)*(K99-(L99+Calc!$J$2:$J$1001))+((K99-(L99+Calc!$J$2:$J$1001))&gt;=Calc!$F$2:$F$1001)*Calc!$F$2:$F$1001))))</f>
        <v/>
      </c>
      <c r="Q99">
        <f>IF(I99=0,0,(MIN(MAX((K99+M99),0),L99)*W99+SUMPRODUCT((Calc!$A$2:$A$1001=A99)*Calc!$G$2:$G$1001*((((K99+M99)-(L99+Calc!$J$2:$J$1001))&gt;0)*(((K99+M99)-(L99+Calc!$J$2:$J$1001))&lt;Calc!$F$2:$F$1001)*((K99+M99)-(L99+Calc!$J$2:$J$1001))+(((K99+M99)-(L99+Calc!$J$2:$J$1001))&gt;=Calc!$F$2:$F$1001)*Calc!$F$2:$F$1001))))</f>
        <v/>
      </c>
      <c r="R99">
        <f>IF(I99=0,0,(MIN(MAX((K99+N99),0),L99)*W99+SUMPRODUCT((Calc!$A$2:$A$1001=A99)*Calc!$G$2:$G$1001*((((K99+N99)-(L99+Calc!$J$2:$J$1001))&gt;0)*(((K99+N99)-(L99+Calc!$J$2:$J$1001))&lt;Calc!$F$2:$F$1001)*((K99+N99)-(L99+Calc!$J$2:$J$1001))+(((K99+N99)-(L99+Calc!$J$2:$J$1001))&gt;=Calc!$F$2:$F$1001)*Calc!$F$2:$F$1001))))</f>
        <v/>
      </c>
      <c r="S99">
        <f>IF(I99=0,0,(MIN(MAX((K99+O99),0),L99)*W99+SUMPRODUCT((Calc!$A$2:$A$1001=A99)*Calc!$G$2:$G$1001*((((K99+O99)-(L99+Calc!$J$2:$J$1001))&gt;0)*(((K99+O99)-(L99+Calc!$J$2:$J$1001))&lt;Calc!$F$2:$F$1001)*((K99+O99)-(L99+Calc!$J$2:$J$1001))+(((K99+O99)-(L99+Calc!$J$2:$J$1001))&gt;=Calc!$F$2:$F$1001)*Calc!$F$2:$F$1001))))</f>
        <v/>
      </c>
      <c r="T99">
        <f>IF(AND(E99=1,B99="RETURN"),Transactions!E99*Transactions!G99,0)</f>
        <v/>
      </c>
      <c r="U99">
        <f>IF(AND(E99=1,B99="EXPENSE"),Transactions!J99,0)</f>
        <v/>
      </c>
      <c r="V99">
        <f>IF(AND(Transactions!A99&lt;&gt;"",E99=0),ROW(),"")</f>
        <v/>
      </c>
      <c r="W99">
        <f>IFERROR(VLOOKUP(A99,Opening!$A:$D,4,0),0)</f>
        <v/>
      </c>
    </row>
    <row r="100">
      <c r="A100">
        <f>IF(Transactions!D100="","",UPPER(TRIM(Transactions!D100)))</f>
        <v/>
      </c>
      <c r="B100">
        <f>IF(Transactions!C100="","",UPPER(TRIM(Transactions!C100)))</f>
        <v/>
      </c>
      <c r="C100">
        <f>IF(Transactions!B100="",0,YEAR(Transactions!B100)*100+MONTH(Transactions!B100))</f>
        <v/>
      </c>
      <c r="D100">
        <f>IF(Transactions!A100="",1,IF(COUNTIF(Transactions!$A$1:A99,Transactions!A100)&gt;0,1,0))</f>
        <v/>
      </c>
      <c r="E100">
        <f>IF(D100=1,0,IF(B100="RETURN",IF(COUNTIFS($A$1:A99,A100,$B$1:B99,"SALE",$E$1:E99,1)&gt;0,1,0),1))</f>
        <v/>
      </c>
      <c r="F100">
        <f>IF(E100=1,IF(B100="RECEIPT",Transactions!E100,IF(AND(B100="RETURN",LOWER(TRIM(Transactions!H100))="resellable"),Transactions!E100,0)),0)</f>
        <v/>
      </c>
      <c r="G100">
        <f>IF(F100&gt;0,IF(B100="RECEIPT",Transactions!F100,IF(_xlfn.MAXIFS($H$2:H100,$A$2:A100,A100)&gt;0,INDEX(Transactions!$F:$F,_xlfn.MAXIFS($H$2:H100,$A$2:A100,A100)),W100)),0)</f>
        <v/>
      </c>
      <c r="H100">
        <f>IF(AND(E100=1,B100="RECEIPT"),ROW(),0)</f>
        <v/>
      </c>
      <c r="I100">
        <f>IF(E100=1,IF(OR(B100="SALE",B100="WRITEOFF"),Transactions!E100,0),0)</f>
        <v/>
      </c>
      <c r="J100">
        <f>SUMIFS($F$1:F99,$A$1:A99,A100)</f>
        <v/>
      </c>
      <c r="K100">
        <f>SUMIFS($I$1:I99,$A$1:A99,A100)</f>
        <v/>
      </c>
      <c r="L100">
        <f>IFERROR(VLOOKUP(A100,Opening!$A:$C,3,0),0)</f>
        <v/>
      </c>
      <c r="M100">
        <f>IF(I100=0,0,MAX(0,MIN(INDEX(Month!H$2:H$13,MATCH($A100,Month!$A$2:$A$13,0))-K100,I100)))</f>
        <v/>
      </c>
      <c r="N100">
        <f>IF(I100=0,0,MAX(0,MIN(INDEX(Month!I$2:I$13,MATCH($A100,Month!$A$2:$A$13,0))-K100,I100)))</f>
        <v/>
      </c>
      <c r="O100">
        <f>IF(I100=0,0,MAX(0,MIN(INDEX(Month!J$2:J$13,MATCH($A100,Month!$A$2:$A$13,0))-K100,I100)))</f>
        <v/>
      </c>
      <c r="P100">
        <f>IF(I100=0,0,(MIN(MAX(K100,0),L100)*W100+SUMPRODUCT((Calc!$A$2:$A$1001=A100)*Calc!$G$2:$G$1001*(((K100-(L100+Calc!$J$2:$J$1001))&gt;0)*((K100-(L100+Calc!$J$2:$J$1001))&lt;Calc!$F$2:$F$1001)*(K100-(L100+Calc!$J$2:$J$1001))+((K100-(L100+Calc!$J$2:$J$1001))&gt;=Calc!$F$2:$F$1001)*Calc!$F$2:$F$1001))))</f>
        <v/>
      </c>
      <c r="Q100">
        <f>IF(I100=0,0,(MIN(MAX((K100+M100),0),L100)*W100+SUMPRODUCT((Calc!$A$2:$A$1001=A100)*Calc!$G$2:$G$1001*((((K100+M100)-(L100+Calc!$J$2:$J$1001))&gt;0)*(((K100+M100)-(L100+Calc!$J$2:$J$1001))&lt;Calc!$F$2:$F$1001)*((K100+M100)-(L100+Calc!$J$2:$J$1001))+(((K100+M100)-(L100+Calc!$J$2:$J$1001))&gt;=Calc!$F$2:$F$1001)*Calc!$F$2:$F$1001))))</f>
        <v/>
      </c>
      <c r="R100">
        <f>IF(I100=0,0,(MIN(MAX((K100+N100),0),L100)*W100+SUMPRODUCT((Calc!$A$2:$A$1001=A100)*Calc!$G$2:$G$1001*((((K100+N100)-(L100+Calc!$J$2:$J$1001))&gt;0)*(((K100+N100)-(L100+Calc!$J$2:$J$1001))&lt;Calc!$F$2:$F$1001)*((K100+N100)-(L100+Calc!$J$2:$J$1001))+(((K100+N100)-(L100+Calc!$J$2:$J$1001))&gt;=Calc!$F$2:$F$1001)*Calc!$F$2:$F$1001))))</f>
        <v/>
      </c>
      <c r="S100">
        <f>IF(I100=0,0,(MIN(MAX((K100+O100),0),L100)*W100+SUMPRODUCT((Calc!$A$2:$A$1001=A100)*Calc!$G$2:$G$1001*((((K100+O100)-(L100+Calc!$J$2:$J$1001))&gt;0)*(((K100+O100)-(L100+Calc!$J$2:$J$1001))&lt;Calc!$F$2:$F$1001)*((K100+O100)-(L100+Calc!$J$2:$J$1001))+(((K100+O100)-(L100+Calc!$J$2:$J$1001))&gt;=Calc!$F$2:$F$1001)*Calc!$F$2:$F$1001))))</f>
        <v/>
      </c>
      <c r="T100">
        <f>IF(AND(E100=1,B100="RETURN"),Transactions!E100*Transactions!G100,0)</f>
        <v/>
      </c>
      <c r="U100">
        <f>IF(AND(E100=1,B100="EXPENSE"),Transactions!J100,0)</f>
        <v/>
      </c>
      <c r="V100">
        <f>IF(AND(Transactions!A100&lt;&gt;"",E100=0),ROW(),"")</f>
        <v/>
      </c>
      <c r="W100">
        <f>IFERROR(VLOOKUP(A100,Opening!$A:$D,4,0),0)</f>
        <v/>
      </c>
    </row>
    <row r="101">
      <c r="A101">
        <f>IF(Transactions!D101="","",UPPER(TRIM(Transactions!D101)))</f>
        <v/>
      </c>
      <c r="B101">
        <f>IF(Transactions!C101="","",UPPER(TRIM(Transactions!C101)))</f>
        <v/>
      </c>
      <c r="C101">
        <f>IF(Transactions!B101="",0,YEAR(Transactions!B101)*100+MONTH(Transactions!B101))</f>
        <v/>
      </c>
      <c r="D101">
        <f>IF(Transactions!A101="",1,IF(COUNTIF(Transactions!$A$1:A100,Transactions!A101)&gt;0,1,0))</f>
        <v/>
      </c>
      <c r="E101">
        <f>IF(D101=1,0,IF(B101="RETURN",IF(COUNTIFS($A$1:A100,A101,$B$1:B100,"SALE",$E$1:E100,1)&gt;0,1,0),1))</f>
        <v/>
      </c>
      <c r="F101">
        <f>IF(E101=1,IF(B101="RECEIPT",Transactions!E101,IF(AND(B101="RETURN",LOWER(TRIM(Transactions!H101))="resellable"),Transactions!E101,0)),0)</f>
        <v/>
      </c>
      <c r="G101">
        <f>IF(F101&gt;0,IF(B101="RECEIPT",Transactions!F101,IF(_xlfn.MAXIFS($H$2:H101,$A$2:A101,A101)&gt;0,INDEX(Transactions!$F:$F,_xlfn.MAXIFS($H$2:H101,$A$2:A101,A101)),W101)),0)</f>
        <v/>
      </c>
      <c r="H101">
        <f>IF(AND(E101=1,B101="RECEIPT"),ROW(),0)</f>
        <v/>
      </c>
      <c r="I101">
        <f>IF(E101=1,IF(OR(B101="SALE",B101="WRITEOFF"),Transactions!E101,0),0)</f>
        <v/>
      </c>
      <c r="J101">
        <f>SUMIFS($F$1:F100,$A$1:A100,A101)</f>
        <v/>
      </c>
      <c r="K101">
        <f>SUMIFS($I$1:I100,$A$1:A100,A101)</f>
        <v/>
      </c>
      <c r="L101">
        <f>IFERROR(VLOOKUP(A101,Opening!$A:$C,3,0),0)</f>
        <v/>
      </c>
      <c r="M101">
        <f>IF(I101=0,0,MAX(0,MIN(INDEX(Month!H$2:H$13,MATCH($A101,Month!$A$2:$A$13,0))-K101,I101)))</f>
        <v/>
      </c>
      <c r="N101">
        <f>IF(I101=0,0,MAX(0,MIN(INDEX(Month!I$2:I$13,MATCH($A101,Month!$A$2:$A$13,0))-K101,I101)))</f>
        <v/>
      </c>
      <c r="O101">
        <f>IF(I101=0,0,MAX(0,MIN(INDEX(Month!J$2:J$13,MATCH($A101,Month!$A$2:$A$13,0))-K101,I101)))</f>
        <v/>
      </c>
      <c r="P101">
        <f>IF(I101=0,0,(MIN(MAX(K101,0),L101)*W101+SUMPRODUCT((Calc!$A$2:$A$1001=A101)*Calc!$G$2:$G$1001*(((K101-(L101+Calc!$J$2:$J$1001))&gt;0)*((K101-(L101+Calc!$J$2:$J$1001))&lt;Calc!$F$2:$F$1001)*(K101-(L101+Calc!$J$2:$J$1001))+((K101-(L101+Calc!$J$2:$J$1001))&gt;=Calc!$F$2:$F$1001)*Calc!$F$2:$F$1001))))</f>
        <v/>
      </c>
      <c r="Q101">
        <f>IF(I101=0,0,(MIN(MAX((K101+M101),0),L101)*W101+SUMPRODUCT((Calc!$A$2:$A$1001=A101)*Calc!$G$2:$G$1001*((((K101+M101)-(L101+Calc!$J$2:$J$1001))&gt;0)*(((K101+M101)-(L101+Calc!$J$2:$J$1001))&lt;Calc!$F$2:$F$1001)*((K101+M101)-(L101+Calc!$J$2:$J$1001))+(((K101+M101)-(L101+Calc!$J$2:$J$1001))&gt;=Calc!$F$2:$F$1001)*Calc!$F$2:$F$1001))))</f>
        <v/>
      </c>
      <c r="R101">
        <f>IF(I101=0,0,(MIN(MAX((K101+N101),0),L101)*W101+SUMPRODUCT((Calc!$A$2:$A$1001=A101)*Calc!$G$2:$G$1001*((((K101+N101)-(L101+Calc!$J$2:$J$1001))&gt;0)*(((K101+N101)-(L101+Calc!$J$2:$J$1001))&lt;Calc!$F$2:$F$1001)*((K101+N101)-(L101+Calc!$J$2:$J$1001))+(((K101+N101)-(L101+Calc!$J$2:$J$1001))&gt;=Calc!$F$2:$F$1001)*Calc!$F$2:$F$1001))))</f>
        <v/>
      </c>
      <c r="S101">
        <f>IF(I101=0,0,(MIN(MAX((K101+O101),0),L101)*W101+SUMPRODUCT((Calc!$A$2:$A$1001=A101)*Calc!$G$2:$G$1001*((((K101+O101)-(L101+Calc!$J$2:$J$1001))&gt;0)*(((K101+O101)-(L101+Calc!$J$2:$J$1001))&lt;Calc!$F$2:$F$1001)*((K101+O101)-(L101+Calc!$J$2:$J$1001))+(((K101+O101)-(L101+Calc!$J$2:$J$1001))&gt;=Calc!$F$2:$F$1001)*Calc!$F$2:$F$1001))))</f>
        <v/>
      </c>
      <c r="T101">
        <f>IF(AND(E101=1,B101="RETURN"),Transactions!E101*Transactions!G101,0)</f>
        <v/>
      </c>
      <c r="U101">
        <f>IF(AND(E101=1,B101="EXPENSE"),Transactions!J101,0)</f>
        <v/>
      </c>
      <c r="V101">
        <f>IF(AND(Transactions!A101&lt;&gt;"",E101=0),ROW(),"")</f>
        <v/>
      </c>
      <c r="W101">
        <f>IFERROR(VLOOKUP(A101,Opening!$A:$D,4,0),0)</f>
        <v/>
      </c>
    </row>
    <row r="102">
      <c r="A102">
        <f>IF(Transactions!D102="","",UPPER(TRIM(Transactions!D102)))</f>
        <v/>
      </c>
      <c r="B102">
        <f>IF(Transactions!C102="","",UPPER(TRIM(Transactions!C102)))</f>
        <v/>
      </c>
      <c r="C102">
        <f>IF(Transactions!B102="",0,YEAR(Transactions!B102)*100+MONTH(Transactions!B102))</f>
        <v/>
      </c>
      <c r="D102">
        <f>IF(Transactions!A102="",1,IF(COUNTIF(Transactions!$A$1:A101,Transactions!A102)&gt;0,1,0))</f>
        <v/>
      </c>
      <c r="E102">
        <f>IF(D102=1,0,IF(B102="RETURN",IF(COUNTIFS($A$1:A101,A102,$B$1:B101,"SALE",$E$1:E101,1)&gt;0,1,0),1))</f>
        <v/>
      </c>
      <c r="F102">
        <f>IF(E102=1,IF(B102="RECEIPT",Transactions!E102,IF(AND(B102="RETURN",LOWER(TRIM(Transactions!H102))="resellable"),Transactions!E102,0)),0)</f>
        <v/>
      </c>
      <c r="G102">
        <f>IF(F102&gt;0,IF(B102="RECEIPT",Transactions!F102,IF(_xlfn.MAXIFS($H$2:H102,$A$2:A102,A102)&gt;0,INDEX(Transactions!$F:$F,_xlfn.MAXIFS($H$2:H102,$A$2:A102,A102)),W102)),0)</f>
        <v/>
      </c>
      <c r="H102">
        <f>IF(AND(E102=1,B102="RECEIPT"),ROW(),0)</f>
        <v/>
      </c>
      <c r="I102">
        <f>IF(E102=1,IF(OR(B102="SALE",B102="WRITEOFF"),Transactions!E102,0),0)</f>
        <v/>
      </c>
      <c r="J102">
        <f>SUMIFS($F$1:F101,$A$1:A101,A102)</f>
        <v/>
      </c>
      <c r="K102">
        <f>SUMIFS($I$1:I101,$A$1:A101,A102)</f>
        <v/>
      </c>
      <c r="L102">
        <f>IFERROR(VLOOKUP(A102,Opening!$A:$C,3,0),0)</f>
        <v/>
      </c>
      <c r="M102">
        <f>IF(I102=0,0,MAX(0,MIN(INDEX(Month!H$2:H$13,MATCH($A102,Month!$A$2:$A$13,0))-K102,I102)))</f>
        <v/>
      </c>
      <c r="N102">
        <f>IF(I102=0,0,MAX(0,MIN(INDEX(Month!I$2:I$13,MATCH($A102,Month!$A$2:$A$13,0))-K102,I102)))</f>
        <v/>
      </c>
      <c r="O102">
        <f>IF(I102=0,0,MAX(0,MIN(INDEX(Month!J$2:J$13,MATCH($A102,Month!$A$2:$A$13,0))-K102,I102)))</f>
        <v/>
      </c>
      <c r="P102">
        <f>IF(I102=0,0,(MIN(MAX(K102,0),L102)*W102+SUMPRODUCT((Calc!$A$2:$A$1001=A102)*Calc!$G$2:$G$1001*(((K102-(L102+Calc!$J$2:$J$1001))&gt;0)*((K102-(L102+Calc!$J$2:$J$1001))&lt;Calc!$F$2:$F$1001)*(K102-(L102+Calc!$J$2:$J$1001))+((K102-(L102+Calc!$J$2:$J$1001))&gt;=Calc!$F$2:$F$1001)*Calc!$F$2:$F$1001))))</f>
        <v/>
      </c>
      <c r="Q102">
        <f>IF(I102=0,0,(MIN(MAX((K102+M102),0),L102)*W102+SUMPRODUCT((Calc!$A$2:$A$1001=A102)*Calc!$G$2:$G$1001*((((K102+M102)-(L102+Calc!$J$2:$J$1001))&gt;0)*(((K102+M102)-(L102+Calc!$J$2:$J$1001))&lt;Calc!$F$2:$F$1001)*((K102+M102)-(L102+Calc!$J$2:$J$1001))+(((K102+M102)-(L102+Calc!$J$2:$J$1001))&gt;=Calc!$F$2:$F$1001)*Calc!$F$2:$F$1001))))</f>
        <v/>
      </c>
      <c r="R102">
        <f>IF(I102=0,0,(MIN(MAX((K102+N102),0),L102)*W102+SUMPRODUCT((Calc!$A$2:$A$1001=A102)*Calc!$G$2:$G$1001*((((K102+N102)-(L102+Calc!$J$2:$J$1001))&gt;0)*(((K102+N102)-(L102+Calc!$J$2:$J$1001))&lt;Calc!$F$2:$F$1001)*((K102+N102)-(L102+Calc!$J$2:$J$1001))+(((K102+N102)-(L102+Calc!$J$2:$J$1001))&gt;=Calc!$F$2:$F$1001)*Calc!$F$2:$F$1001))))</f>
        <v/>
      </c>
      <c r="S102">
        <f>IF(I102=0,0,(MIN(MAX((K102+O102),0),L102)*W102+SUMPRODUCT((Calc!$A$2:$A$1001=A102)*Calc!$G$2:$G$1001*((((K102+O102)-(L102+Calc!$J$2:$J$1001))&gt;0)*(((K102+O102)-(L102+Calc!$J$2:$J$1001))&lt;Calc!$F$2:$F$1001)*((K102+O102)-(L102+Calc!$J$2:$J$1001))+(((K102+O102)-(L102+Calc!$J$2:$J$1001))&gt;=Calc!$F$2:$F$1001)*Calc!$F$2:$F$1001))))</f>
        <v/>
      </c>
      <c r="T102">
        <f>IF(AND(E102=1,B102="RETURN"),Transactions!E102*Transactions!G102,0)</f>
        <v/>
      </c>
      <c r="U102">
        <f>IF(AND(E102=1,B102="EXPENSE"),Transactions!J102,0)</f>
        <v/>
      </c>
      <c r="V102">
        <f>IF(AND(Transactions!A102&lt;&gt;"",E102=0),ROW(),"")</f>
        <v/>
      </c>
      <c r="W102">
        <f>IFERROR(VLOOKUP(A102,Opening!$A:$D,4,0),0)</f>
        <v/>
      </c>
    </row>
    <row r="103">
      <c r="A103">
        <f>IF(Transactions!D103="","",UPPER(TRIM(Transactions!D103)))</f>
        <v/>
      </c>
      <c r="B103">
        <f>IF(Transactions!C103="","",UPPER(TRIM(Transactions!C103)))</f>
        <v/>
      </c>
      <c r="C103">
        <f>IF(Transactions!B103="",0,YEAR(Transactions!B103)*100+MONTH(Transactions!B103))</f>
        <v/>
      </c>
      <c r="D103">
        <f>IF(Transactions!A103="",1,IF(COUNTIF(Transactions!$A$1:A102,Transactions!A103)&gt;0,1,0))</f>
        <v/>
      </c>
      <c r="E103">
        <f>IF(D103=1,0,IF(B103="RETURN",IF(COUNTIFS($A$1:A102,A103,$B$1:B102,"SALE",$E$1:E102,1)&gt;0,1,0),1))</f>
        <v/>
      </c>
      <c r="F103">
        <f>IF(E103=1,IF(B103="RECEIPT",Transactions!E103,IF(AND(B103="RETURN",LOWER(TRIM(Transactions!H103))="resellable"),Transactions!E103,0)),0)</f>
        <v/>
      </c>
      <c r="G103">
        <f>IF(F103&gt;0,IF(B103="RECEIPT",Transactions!F103,IF(_xlfn.MAXIFS($H$2:H103,$A$2:A103,A103)&gt;0,INDEX(Transactions!$F:$F,_xlfn.MAXIFS($H$2:H103,$A$2:A103,A103)),W103)),0)</f>
        <v/>
      </c>
      <c r="H103">
        <f>IF(AND(E103=1,B103="RECEIPT"),ROW(),0)</f>
        <v/>
      </c>
      <c r="I103">
        <f>IF(E103=1,IF(OR(B103="SALE",B103="WRITEOFF"),Transactions!E103,0),0)</f>
        <v/>
      </c>
      <c r="J103">
        <f>SUMIFS($F$1:F102,$A$1:A102,A103)</f>
        <v/>
      </c>
      <c r="K103">
        <f>SUMIFS($I$1:I102,$A$1:A102,A103)</f>
        <v/>
      </c>
      <c r="L103">
        <f>IFERROR(VLOOKUP(A103,Opening!$A:$C,3,0),0)</f>
        <v/>
      </c>
      <c r="M103">
        <f>IF(I103=0,0,MAX(0,MIN(INDEX(Month!H$2:H$13,MATCH($A103,Month!$A$2:$A$13,0))-K103,I103)))</f>
        <v/>
      </c>
      <c r="N103">
        <f>IF(I103=0,0,MAX(0,MIN(INDEX(Month!I$2:I$13,MATCH($A103,Month!$A$2:$A$13,0))-K103,I103)))</f>
        <v/>
      </c>
      <c r="O103">
        <f>IF(I103=0,0,MAX(0,MIN(INDEX(Month!J$2:J$13,MATCH($A103,Month!$A$2:$A$13,0))-K103,I103)))</f>
        <v/>
      </c>
      <c r="P103">
        <f>IF(I103=0,0,(MIN(MAX(K103,0),L103)*W103+SUMPRODUCT((Calc!$A$2:$A$1001=A103)*Calc!$G$2:$G$1001*(((K103-(L103+Calc!$J$2:$J$1001))&gt;0)*((K103-(L103+Calc!$J$2:$J$1001))&lt;Calc!$F$2:$F$1001)*(K103-(L103+Calc!$J$2:$J$1001))+((K103-(L103+Calc!$J$2:$J$1001))&gt;=Calc!$F$2:$F$1001)*Calc!$F$2:$F$1001))))</f>
        <v/>
      </c>
      <c r="Q103">
        <f>IF(I103=0,0,(MIN(MAX((K103+M103),0),L103)*W103+SUMPRODUCT((Calc!$A$2:$A$1001=A103)*Calc!$G$2:$G$1001*((((K103+M103)-(L103+Calc!$J$2:$J$1001))&gt;0)*(((K103+M103)-(L103+Calc!$J$2:$J$1001))&lt;Calc!$F$2:$F$1001)*((K103+M103)-(L103+Calc!$J$2:$J$1001))+(((K103+M103)-(L103+Calc!$J$2:$J$1001))&gt;=Calc!$F$2:$F$1001)*Calc!$F$2:$F$1001))))</f>
        <v/>
      </c>
      <c r="R103">
        <f>IF(I103=0,0,(MIN(MAX((K103+N103),0),L103)*W103+SUMPRODUCT((Calc!$A$2:$A$1001=A103)*Calc!$G$2:$G$1001*((((K103+N103)-(L103+Calc!$J$2:$J$1001))&gt;0)*(((K103+N103)-(L103+Calc!$J$2:$J$1001))&lt;Calc!$F$2:$F$1001)*((K103+N103)-(L103+Calc!$J$2:$J$1001))+(((K103+N103)-(L103+Calc!$J$2:$J$1001))&gt;=Calc!$F$2:$F$1001)*Calc!$F$2:$F$1001))))</f>
        <v/>
      </c>
      <c r="S103">
        <f>IF(I103=0,0,(MIN(MAX((K103+O103),0),L103)*W103+SUMPRODUCT((Calc!$A$2:$A$1001=A103)*Calc!$G$2:$G$1001*((((K103+O103)-(L103+Calc!$J$2:$J$1001))&gt;0)*(((K103+O103)-(L103+Calc!$J$2:$J$1001))&lt;Calc!$F$2:$F$1001)*((K103+O103)-(L103+Calc!$J$2:$J$1001))+(((K103+O103)-(L103+Calc!$J$2:$J$1001))&gt;=Calc!$F$2:$F$1001)*Calc!$F$2:$F$1001))))</f>
        <v/>
      </c>
      <c r="T103">
        <f>IF(AND(E103=1,B103="RETURN"),Transactions!E103*Transactions!G103,0)</f>
        <v/>
      </c>
      <c r="U103">
        <f>IF(AND(E103=1,B103="EXPENSE"),Transactions!J103,0)</f>
        <v/>
      </c>
      <c r="V103">
        <f>IF(AND(Transactions!A103&lt;&gt;"",E103=0),ROW(),"")</f>
        <v/>
      </c>
      <c r="W103">
        <f>IFERROR(VLOOKUP(A103,Opening!$A:$D,4,0),0)</f>
        <v/>
      </c>
    </row>
    <row r="104">
      <c r="A104">
        <f>IF(Transactions!D104="","",UPPER(TRIM(Transactions!D104)))</f>
        <v/>
      </c>
      <c r="B104">
        <f>IF(Transactions!C104="","",UPPER(TRIM(Transactions!C104)))</f>
        <v/>
      </c>
      <c r="C104">
        <f>IF(Transactions!B104="",0,YEAR(Transactions!B104)*100+MONTH(Transactions!B104))</f>
        <v/>
      </c>
      <c r="D104">
        <f>IF(Transactions!A104="",1,IF(COUNTIF(Transactions!$A$1:A103,Transactions!A104)&gt;0,1,0))</f>
        <v/>
      </c>
      <c r="E104">
        <f>IF(D104=1,0,IF(B104="RETURN",IF(COUNTIFS($A$1:A103,A104,$B$1:B103,"SALE",$E$1:E103,1)&gt;0,1,0),1))</f>
        <v/>
      </c>
      <c r="F104">
        <f>IF(E104=1,IF(B104="RECEIPT",Transactions!E104,IF(AND(B104="RETURN",LOWER(TRIM(Transactions!H104))="resellable"),Transactions!E104,0)),0)</f>
        <v/>
      </c>
      <c r="G104">
        <f>IF(F104&gt;0,IF(B104="RECEIPT",Transactions!F104,IF(_xlfn.MAXIFS($H$2:H104,$A$2:A104,A104)&gt;0,INDEX(Transactions!$F:$F,_xlfn.MAXIFS($H$2:H104,$A$2:A104,A104)),W104)),0)</f>
        <v/>
      </c>
      <c r="H104">
        <f>IF(AND(E104=1,B104="RECEIPT"),ROW(),0)</f>
        <v/>
      </c>
      <c r="I104">
        <f>IF(E104=1,IF(OR(B104="SALE",B104="WRITEOFF"),Transactions!E104,0),0)</f>
        <v/>
      </c>
      <c r="J104">
        <f>SUMIFS($F$1:F103,$A$1:A103,A104)</f>
        <v/>
      </c>
      <c r="K104">
        <f>SUMIFS($I$1:I103,$A$1:A103,A104)</f>
        <v/>
      </c>
      <c r="L104">
        <f>IFERROR(VLOOKUP(A104,Opening!$A:$C,3,0),0)</f>
        <v/>
      </c>
      <c r="M104">
        <f>IF(I104=0,0,MAX(0,MIN(INDEX(Month!H$2:H$13,MATCH($A104,Month!$A$2:$A$13,0))-K104,I104)))</f>
        <v/>
      </c>
      <c r="N104">
        <f>IF(I104=0,0,MAX(0,MIN(INDEX(Month!I$2:I$13,MATCH($A104,Month!$A$2:$A$13,0))-K104,I104)))</f>
        <v/>
      </c>
      <c r="O104">
        <f>IF(I104=0,0,MAX(0,MIN(INDEX(Month!J$2:J$13,MATCH($A104,Month!$A$2:$A$13,0))-K104,I104)))</f>
        <v/>
      </c>
      <c r="P104">
        <f>IF(I104=0,0,(MIN(MAX(K104,0),L104)*W104+SUMPRODUCT((Calc!$A$2:$A$1001=A104)*Calc!$G$2:$G$1001*(((K104-(L104+Calc!$J$2:$J$1001))&gt;0)*((K104-(L104+Calc!$J$2:$J$1001))&lt;Calc!$F$2:$F$1001)*(K104-(L104+Calc!$J$2:$J$1001))+((K104-(L104+Calc!$J$2:$J$1001))&gt;=Calc!$F$2:$F$1001)*Calc!$F$2:$F$1001))))</f>
        <v/>
      </c>
      <c r="Q104">
        <f>IF(I104=0,0,(MIN(MAX((K104+M104),0),L104)*W104+SUMPRODUCT((Calc!$A$2:$A$1001=A104)*Calc!$G$2:$G$1001*((((K104+M104)-(L104+Calc!$J$2:$J$1001))&gt;0)*(((K104+M104)-(L104+Calc!$J$2:$J$1001))&lt;Calc!$F$2:$F$1001)*((K104+M104)-(L104+Calc!$J$2:$J$1001))+(((K104+M104)-(L104+Calc!$J$2:$J$1001))&gt;=Calc!$F$2:$F$1001)*Calc!$F$2:$F$1001))))</f>
        <v/>
      </c>
      <c r="R104">
        <f>IF(I104=0,0,(MIN(MAX((K104+N104),0),L104)*W104+SUMPRODUCT((Calc!$A$2:$A$1001=A104)*Calc!$G$2:$G$1001*((((K104+N104)-(L104+Calc!$J$2:$J$1001))&gt;0)*(((K104+N104)-(L104+Calc!$J$2:$J$1001))&lt;Calc!$F$2:$F$1001)*((K104+N104)-(L104+Calc!$J$2:$J$1001))+(((K104+N104)-(L104+Calc!$J$2:$J$1001))&gt;=Calc!$F$2:$F$1001)*Calc!$F$2:$F$1001))))</f>
        <v/>
      </c>
      <c r="S104">
        <f>IF(I104=0,0,(MIN(MAX((K104+O104),0),L104)*W104+SUMPRODUCT((Calc!$A$2:$A$1001=A104)*Calc!$G$2:$G$1001*((((K104+O104)-(L104+Calc!$J$2:$J$1001))&gt;0)*(((K104+O104)-(L104+Calc!$J$2:$J$1001))&lt;Calc!$F$2:$F$1001)*((K104+O104)-(L104+Calc!$J$2:$J$1001))+(((K104+O104)-(L104+Calc!$J$2:$J$1001))&gt;=Calc!$F$2:$F$1001)*Calc!$F$2:$F$1001))))</f>
        <v/>
      </c>
      <c r="T104">
        <f>IF(AND(E104=1,B104="RETURN"),Transactions!E104*Transactions!G104,0)</f>
        <v/>
      </c>
      <c r="U104">
        <f>IF(AND(E104=1,B104="EXPENSE"),Transactions!J104,0)</f>
        <v/>
      </c>
      <c r="V104">
        <f>IF(AND(Transactions!A104&lt;&gt;"",E104=0),ROW(),"")</f>
        <v/>
      </c>
      <c r="W104">
        <f>IFERROR(VLOOKUP(A104,Opening!$A:$D,4,0),0)</f>
        <v/>
      </c>
    </row>
    <row r="105">
      <c r="A105">
        <f>IF(Transactions!D105="","",UPPER(TRIM(Transactions!D105)))</f>
        <v/>
      </c>
      <c r="B105">
        <f>IF(Transactions!C105="","",UPPER(TRIM(Transactions!C105)))</f>
        <v/>
      </c>
      <c r="C105">
        <f>IF(Transactions!B105="",0,YEAR(Transactions!B105)*100+MONTH(Transactions!B105))</f>
        <v/>
      </c>
      <c r="D105">
        <f>IF(Transactions!A105="",1,IF(COUNTIF(Transactions!$A$1:A104,Transactions!A105)&gt;0,1,0))</f>
        <v/>
      </c>
      <c r="E105">
        <f>IF(D105=1,0,IF(B105="RETURN",IF(COUNTIFS($A$1:A104,A105,$B$1:B104,"SALE",$E$1:E104,1)&gt;0,1,0),1))</f>
        <v/>
      </c>
      <c r="F105">
        <f>IF(E105=1,IF(B105="RECEIPT",Transactions!E105,IF(AND(B105="RETURN",LOWER(TRIM(Transactions!H105))="resellable"),Transactions!E105,0)),0)</f>
        <v/>
      </c>
      <c r="G105">
        <f>IF(F105&gt;0,IF(B105="RECEIPT",Transactions!F105,IF(_xlfn.MAXIFS($H$2:H105,$A$2:A105,A105)&gt;0,INDEX(Transactions!$F:$F,_xlfn.MAXIFS($H$2:H105,$A$2:A105,A105)),W105)),0)</f>
        <v/>
      </c>
      <c r="H105">
        <f>IF(AND(E105=1,B105="RECEIPT"),ROW(),0)</f>
        <v/>
      </c>
      <c r="I105">
        <f>IF(E105=1,IF(OR(B105="SALE",B105="WRITEOFF"),Transactions!E105,0),0)</f>
        <v/>
      </c>
      <c r="J105">
        <f>SUMIFS($F$1:F104,$A$1:A104,A105)</f>
        <v/>
      </c>
      <c r="K105">
        <f>SUMIFS($I$1:I104,$A$1:A104,A105)</f>
        <v/>
      </c>
      <c r="L105">
        <f>IFERROR(VLOOKUP(A105,Opening!$A:$C,3,0),0)</f>
        <v/>
      </c>
      <c r="M105">
        <f>IF(I105=0,0,MAX(0,MIN(INDEX(Month!H$2:H$13,MATCH($A105,Month!$A$2:$A$13,0))-K105,I105)))</f>
        <v/>
      </c>
      <c r="N105">
        <f>IF(I105=0,0,MAX(0,MIN(INDEX(Month!I$2:I$13,MATCH($A105,Month!$A$2:$A$13,0))-K105,I105)))</f>
        <v/>
      </c>
      <c r="O105">
        <f>IF(I105=0,0,MAX(0,MIN(INDEX(Month!J$2:J$13,MATCH($A105,Month!$A$2:$A$13,0))-K105,I105)))</f>
        <v/>
      </c>
      <c r="P105">
        <f>IF(I105=0,0,(MIN(MAX(K105,0),L105)*W105+SUMPRODUCT((Calc!$A$2:$A$1001=A105)*Calc!$G$2:$G$1001*(((K105-(L105+Calc!$J$2:$J$1001))&gt;0)*((K105-(L105+Calc!$J$2:$J$1001))&lt;Calc!$F$2:$F$1001)*(K105-(L105+Calc!$J$2:$J$1001))+((K105-(L105+Calc!$J$2:$J$1001))&gt;=Calc!$F$2:$F$1001)*Calc!$F$2:$F$1001))))</f>
        <v/>
      </c>
      <c r="Q105">
        <f>IF(I105=0,0,(MIN(MAX((K105+M105),0),L105)*W105+SUMPRODUCT((Calc!$A$2:$A$1001=A105)*Calc!$G$2:$G$1001*((((K105+M105)-(L105+Calc!$J$2:$J$1001))&gt;0)*(((K105+M105)-(L105+Calc!$J$2:$J$1001))&lt;Calc!$F$2:$F$1001)*((K105+M105)-(L105+Calc!$J$2:$J$1001))+(((K105+M105)-(L105+Calc!$J$2:$J$1001))&gt;=Calc!$F$2:$F$1001)*Calc!$F$2:$F$1001))))</f>
        <v/>
      </c>
      <c r="R105">
        <f>IF(I105=0,0,(MIN(MAX((K105+N105),0),L105)*W105+SUMPRODUCT((Calc!$A$2:$A$1001=A105)*Calc!$G$2:$G$1001*((((K105+N105)-(L105+Calc!$J$2:$J$1001))&gt;0)*(((K105+N105)-(L105+Calc!$J$2:$J$1001))&lt;Calc!$F$2:$F$1001)*((K105+N105)-(L105+Calc!$J$2:$J$1001))+(((K105+N105)-(L105+Calc!$J$2:$J$1001))&gt;=Calc!$F$2:$F$1001)*Calc!$F$2:$F$1001))))</f>
        <v/>
      </c>
      <c r="S105">
        <f>IF(I105=0,0,(MIN(MAX((K105+O105),0),L105)*W105+SUMPRODUCT((Calc!$A$2:$A$1001=A105)*Calc!$G$2:$G$1001*((((K105+O105)-(L105+Calc!$J$2:$J$1001))&gt;0)*(((K105+O105)-(L105+Calc!$J$2:$J$1001))&lt;Calc!$F$2:$F$1001)*((K105+O105)-(L105+Calc!$J$2:$J$1001))+(((K105+O105)-(L105+Calc!$J$2:$J$1001))&gt;=Calc!$F$2:$F$1001)*Calc!$F$2:$F$1001))))</f>
        <v/>
      </c>
      <c r="T105">
        <f>IF(AND(E105=1,B105="RETURN"),Transactions!E105*Transactions!G105,0)</f>
        <v/>
      </c>
      <c r="U105">
        <f>IF(AND(E105=1,B105="EXPENSE"),Transactions!J105,0)</f>
        <v/>
      </c>
      <c r="V105">
        <f>IF(AND(Transactions!A105&lt;&gt;"",E105=0),ROW(),"")</f>
        <v/>
      </c>
      <c r="W105">
        <f>IFERROR(VLOOKUP(A105,Opening!$A:$D,4,0),0)</f>
        <v/>
      </c>
    </row>
    <row r="106">
      <c r="A106">
        <f>IF(Transactions!D106="","",UPPER(TRIM(Transactions!D106)))</f>
        <v/>
      </c>
      <c r="B106">
        <f>IF(Transactions!C106="","",UPPER(TRIM(Transactions!C106)))</f>
        <v/>
      </c>
      <c r="C106">
        <f>IF(Transactions!B106="",0,YEAR(Transactions!B106)*100+MONTH(Transactions!B106))</f>
        <v/>
      </c>
      <c r="D106">
        <f>IF(Transactions!A106="",1,IF(COUNTIF(Transactions!$A$1:A105,Transactions!A106)&gt;0,1,0))</f>
        <v/>
      </c>
      <c r="E106">
        <f>IF(D106=1,0,IF(B106="RETURN",IF(COUNTIFS($A$1:A105,A106,$B$1:B105,"SALE",$E$1:E105,1)&gt;0,1,0),1))</f>
        <v/>
      </c>
      <c r="F106">
        <f>IF(E106=1,IF(B106="RECEIPT",Transactions!E106,IF(AND(B106="RETURN",LOWER(TRIM(Transactions!H106))="resellable"),Transactions!E106,0)),0)</f>
        <v/>
      </c>
      <c r="G106">
        <f>IF(F106&gt;0,IF(B106="RECEIPT",Transactions!F106,IF(_xlfn.MAXIFS($H$2:H106,$A$2:A106,A106)&gt;0,INDEX(Transactions!$F:$F,_xlfn.MAXIFS($H$2:H106,$A$2:A106,A106)),W106)),0)</f>
        <v/>
      </c>
      <c r="H106">
        <f>IF(AND(E106=1,B106="RECEIPT"),ROW(),0)</f>
        <v/>
      </c>
      <c r="I106">
        <f>IF(E106=1,IF(OR(B106="SALE",B106="WRITEOFF"),Transactions!E106,0),0)</f>
        <v/>
      </c>
      <c r="J106">
        <f>SUMIFS($F$1:F105,$A$1:A105,A106)</f>
        <v/>
      </c>
      <c r="K106">
        <f>SUMIFS($I$1:I105,$A$1:A105,A106)</f>
        <v/>
      </c>
      <c r="L106">
        <f>IFERROR(VLOOKUP(A106,Opening!$A:$C,3,0),0)</f>
        <v/>
      </c>
      <c r="M106">
        <f>IF(I106=0,0,MAX(0,MIN(INDEX(Month!H$2:H$13,MATCH($A106,Month!$A$2:$A$13,0))-K106,I106)))</f>
        <v/>
      </c>
      <c r="N106">
        <f>IF(I106=0,0,MAX(0,MIN(INDEX(Month!I$2:I$13,MATCH($A106,Month!$A$2:$A$13,0))-K106,I106)))</f>
        <v/>
      </c>
      <c r="O106">
        <f>IF(I106=0,0,MAX(0,MIN(INDEX(Month!J$2:J$13,MATCH($A106,Month!$A$2:$A$13,0))-K106,I106)))</f>
        <v/>
      </c>
      <c r="P106">
        <f>IF(I106=0,0,(MIN(MAX(K106,0),L106)*W106+SUMPRODUCT((Calc!$A$2:$A$1001=A106)*Calc!$G$2:$G$1001*(((K106-(L106+Calc!$J$2:$J$1001))&gt;0)*((K106-(L106+Calc!$J$2:$J$1001))&lt;Calc!$F$2:$F$1001)*(K106-(L106+Calc!$J$2:$J$1001))+((K106-(L106+Calc!$J$2:$J$1001))&gt;=Calc!$F$2:$F$1001)*Calc!$F$2:$F$1001))))</f>
        <v/>
      </c>
      <c r="Q106">
        <f>IF(I106=0,0,(MIN(MAX((K106+M106),0),L106)*W106+SUMPRODUCT((Calc!$A$2:$A$1001=A106)*Calc!$G$2:$G$1001*((((K106+M106)-(L106+Calc!$J$2:$J$1001))&gt;0)*(((K106+M106)-(L106+Calc!$J$2:$J$1001))&lt;Calc!$F$2:$F$1001)*((K106+M106)-(L106+Calc!$J$2:$J$1001))+(((K106+M106)-(L106+Calc!$J$2:$J$1001))&gt;=Calc!$F$2:$F$1001)*Calc!$F$2:$F$1001))))</f>
        <v/>
      </c>
      <c r="R106">
        <f>IF(I106=0,0,(MIN(MAX((K106+N106),0),L106)*W106+SUMPRODUCT((Calc!$A$2:$A$1001=A106)*Calc!$G$2:$G$1001*((((K106+N106)-(L106+Calc!$J$2:$J$1001))&gt;0)*(((K106+N106)-(L106+Calc!$J$2:$J$1001))&lt;Calc!$F$2:$F$1001)*((K106+N106)-(L106+Calc!$J$2:$J$1001))+(((K106+N106)-(L106+Calc!$J$2:$J$1001))&gt;=Calc!$F$2:$F$1001)*Calc!$F$2:$F$1001))))</f>
        <v/>
      </c>
      <c r="S106">
        <f>IF(I106=0,0,(MIN(MAX((K106+O106),0),L106)*W106+SUMPRODUCT((Calc!$A$2:$A$1001=A106)*Calc!$G$2:$G$1001*((((K106+O106)-(L106+Calc!$J$2:$J$1001))&gt;0)*(((K106+O106)-(L106+Calc!$J$2:$J$1001))&lt;Calc!$F$2:$F$1001)*((K106+O106)-(L106+Calc!$J$2:$J$1001))+(((K106+O106)-(L106+Calc!$J$2:$J$1001))&gt;=Calc!$F$2:$F$1001)*Calc!$F$2:$F$1001))))</f>
        <v/>
      </c>
      <c r="T106">
        <f>IF(AND(E106=1,B106="RETURN"),Transactions!E106*Transactions!G106,0)</f>
        <v/>
      </c>
      <c r="U106">
        <f>IF(AND(E106=1,B106="EXPENSE"),Transactions!J106,0)</f>
        <v/>
      </c>
      <c r="V106">
        <f>IF(AND(Transactions!A106&lt;&gt;"",E106=0),ROW(),"")</f>
        <v/>
      </c>
      <c r="W106">
        <f>IFERROR(VLOOKUP(A106,Opening!$A:$D,4,0),0)</f>
        <v/>
      </c>
    </row>
    <row r="107">
      <c r="A107">
        <f>IF(Transactions!D107="","",UPPER(TRIM(Transactions!D107)))</f>
        <v/>
      </c>
      <c r="B107">
        <f>IF(Transactions!C107="","",UPPER(TRIM(Transactions!C107)))</f>
        <v/>
      </c>
      <c r="C107">
        <f>IF(Transactions!B107="",0,YEAR(Transactions!B107)*100+MONTH(Transactions!B107))</f>
        <v/>
      </c>
      <c r="D107">
        <f>IF(Transactions!A107="",1,IF(COUNTIF(Transactions!$A$1:A106,Transactions!A107)&gt;0,1,0))</f>
        <v/>
      </c>
      <c r="E107">
        <f>IF(D107=1,0,IF(B107="RETURN",IF(COUNTIFS($A$1:A106,A107,$B$1:B106,"SALE",$E$1:E106,1)&gt;0,1,0),1))</f>
        <v/>
      </c>
      <c r="F107">
        <f>IF(E107=1,IF(B107="RECEIPT",Transactions!E107,IF(AND(B107="RETURN",LOWER(TRIM(Transactions!H107))="resellable"),Transactions!E107,0)),0)</f>
        <v/>
      </c>
      <c r="G107">
        <f>IF(F107&gt;0,IF(B107="RECEIPT",Transactions!F107,IF(_xlfn.MAXIFS($H$2:H107,$A$2:A107,A107)&gt;0,INDEX(Transactions!$F:$F,_xlfn.MAXIFS($H$2:H107,$A$2:A107,A107)),W107)),0)</f>
        <v/>
      </c>
      <c r="H107">
        <f>IF(AND(E107=1,B107="RECEIPT"),ROW(),0)</f>
        <v/>
      </c>
      <c r="I107">
        <f>IF(E107=1,IF(OR(B107="SALE",B107="WRITEOFF"),Transactions!E107,0),0)</f>
        <v/>
      </c>
      <c r="J107">
        <f>SUMIFS($F$1:F106,$A$1:A106,A107)</f>
        <v/>
      </c>
      <c r="K107">
        <f>SUMIFS($I$1:I106,$A$1:A106,A107)</f>
        <v/>
      </c>
      <c r="L107">
        <f>IFERROR(VLOOKUP(A107,Opening!$A:$C,3,0),0)</f>
        <v/>
      </c>
      <c r="M107">
        <f>IF(I107=0,0,MAX(0,MIN(INDEX(Month!H$2:H$13,MATCH($A107,Month!$A$2:$A$13,0))-K107,I107)))</f>
        <v/>
      </c>
      <c r="N107">
        <f>IF(I107=0,0,MAX(0,MIN(INDEX(Month!I$2:I$13,MATCH($A107,Month!$A$2:$A$13,0))-K107,I107)))</f>
        <v/>
      </c>
      <c r="O107">
        <f>IF(I107=0,0,MAX(0,MIN(INDEX(Month!J$2:J$13,MATCH($A107,Month!$A$2:$A$13,0))-K107,I107)))</f>
        <v/>
      </c>
      <c r="P107">
        <f>IF(I107=0,0,(MIN(MAX(K107,0),L107)*W107+SUMPRODUCT((Calc!$A$2:$A$1001=A107)*Calc!$G$2:$G$1001*(((K107-(L107+Calc!$J$2:$J$1001))&gt;0)*((K107-(L107+Calc!$J$2:$J$1001))&lt;Calc!$F$2:$F$1001)*(K107-(L107+Calc!$J$2:$J$1001))+((K107-(L107+Calc!$J$2:$J$1001))&gt;=Calc!$F$2:$F$1001)*Calc!$F$2:$F$1001))))</f>
        <v/>
      </c>
      <c r="Q107">
        <f>IF(I107=0,0,(MIN(MAX((K107+M107),0),L107)*W107+SUMPRODUCT((Calc!$A$2:$A$1001=A107)*Calc!$G$2:$G$1001*((((K107+M107)-(L107+Calc!$J$2:$J$1001))&gt;0)*(((K107+M107)-(L107+Calc!$J$2:$J$1001))&lt;Calc!$F$2:$F$1001)*((K107+M107)-(L107+Calc!$J$2:$J$1001))+(((K107+M107)-(L107+Calc!$J$2:$J$1001))&gt;=Calc!$F$2:$F$1001)*Calc!$F$2:$F$1001))))</f>
        <v/>
      </c>
      <c r="R107">
        <f>IF(I107=0,0,(MIN(MAX((K107+N107),0),L107)*W107+SUMPRODUCT((Calc!$A$2:$A$1001=A107)*Calc!$G$2:$G$1001*((((K107+N107)-(L107+Calc!$J$2:$J$1001))&gt;0)*(((K107+N107)-(L107+Calc!$J$2:$J$1001))&lt;Calc!$F$2:$F$1001)*((K107+N107)-(L107+Calc!$J$2:$J$1001))+(((K107+N107)-(L107+Calc!$J$2:$J$1001))&gt;=Calc!$F$2:$F$1001)*Calc!$F$2:$F$1001))))</f>
        <v/>
      </c>
      <c r="S107">
        <f>IF(I107=0,0,(MIN(MAX((K107+O107),0),L107)*W107+SUMPRODUCT((Calc!$A$2:$A$1001=A107)*Calc!$G$2:$G$1001*((((K107+O107)-(L107+Calc!$J$2:$J$1001))&gt;0)*(((K107+O107)-(L107+Calc!$J$2:$J$1001))&lt;Calc!$F$2:$F$1001)*((K107+O107)-(L107+Calc!$J$2:$J$1001))+(((K107+O107)-(L107+Calc!$J$2:$J$1001))&gt;=Calc!$F$2:$F$1001)*Calc!$F$2:$F$1001))))</f>
        <v/>
      </c>
      <c r="T107">
        <f>IF(AND(E107=1,B107="RETURN"),Transactions!E107*Transactions!G107,0)</f>
        <v/>
      </c>
      <c r="U107">
        <f>IF(AND(E107=1,B107="EXPENSE"),Transactions!J107,0)</f>
        <v/>
      </c>
      <c r="V107">
        <f>IF(AND(Transactions!A107&lt;&gt;"",E107=0),ROW(),"")</f>
        <v/>
      </c>
      <c r="W107">
        <f>IFERROR(VLOOKUP(A107,Opening!$A:$D,4,0),0)</f>
        <v/>
      </c>
    </row>
    <row r="108">
      <c r="A108">
        <f>IF(Transactions!D108="","",UPPER(TRIM(Transactions!D108)))</f>
        <v/>
      </c>
      <c r="B108">
        <f>IF(Transactions!C108="","",UPPER(TRIM(Transactions!C108)))</f>
        <v/>
      </c>
      <c r="C108">
        <f>IF(Transactions!B108="",0,YEAR(Transactions!B108)*100+MONTH(Transactions!B108))</f>
        <v/>
      </c>
      <c r="D108">
        <f>IF(Transactions!A108="",1,IF(COUNTIF(Transactions!$A$1:A107,Transactions!A108)&gt;0,1,0))</f>
        <v/>
      </c>
      <c r="E108">
        <f>IF(D108=1,0,IF(B108="RETURN",IF(COUNTIFS($A$1:A107,A108,$B$1:B107,"SALE",$E$1:E107,1)&gt;0,1,0),1))</f>
        <v/>
      </c>
      <c r="F108">
        <f>IF(E108=1,IF(B108="RECEIPT",Transactions!E108,IF(AND(B108="RETURN",LOWER(TRIM(Transactions!H108))="resellable"),Transactions!E108,0)),0)</f>
        <v/>
      </c>
      <c r="G108">
        <f>IF(F108&gt;0,IF(B108="RECEIPT",Transactions!F108,IF(_xlfn.MAXIFS($H$2:H108,$A$2:A108,A108)&gt;0,INDEX(Transactions!$F:$F,_xlfn.MAXIFS($H$2:H108,$A$2:A108,A108)),W108)),0)</f>
        <v/>
      </c>
      <c r="H108">
        <f>IF(AND(E108=1,B108="RECEIPT"),ROW(),0)</f>
        <v/>
      </c>
      <c r="I108">
        <f>IF(E108=1,IF(OR(B108="SALE",B108="WRITEOFF"),Transactions!E108,0),0)</f>
        <v/>
      </c>
      <c r="J108">
        <f>SUMIFS($F$1:F107,$A$1:A107,A108)</f>
        <v/>
      </c>
      <c r="K108">
        <f>SUMIFS($I$1:I107,$A$1:A107,A108)</f>
        <v/>
      </c>
      <c r="L108">
        <f>IFERROR(VLOOKUP(A108,Opening!$A:$C,3,0),0)</f>
        <v/>
      </c>
      <c r="M108">
        <f>IF(I108=0,0,MAX(0,MIN(INDEX(Month!H$2:H$13,MATCH($A108,Month!$A$2:$A$13,0))-K108,I108)))</f>
        <v/>
      </c>
      <c r="N108">
        <f>IF(I108=0,0,MAX(0,MIN(INDEX(Month!I$2:I$13,MATCH($A108,Month!$A$2:$A$13,0))-K108,I108)))</f>
        <v/>
      </c>
      <c r="O108">
        <f>IF(I108=0,0,MAX(0,MIN(INDEX(Month!J$2:J$13,MATCH($A108,Month!$A$2:$A$13,0))-K108,I108)))</f>
        <v/>
      </c>
      <c r="P108">
        <f>IF(I108=0,0,(MIN(MAX(K108,0),L108)*W108+SUMPRODUCT((Calc!$A$2:$A$1001=A108)*Calc!$G$2:$G$1001*(((K108-(L108+Calc!$J$2:$J$1001))&gt;0)*((K108-(L108+Calc!$J$2:$J$1001))&lt;Calc!$F$2:$F$1001)*(K108-(L108+Calc!$J$2:$J$1001))+((K108-(L108+Calc!$J$2:$J$1001))&gt;=Calc!$F$2:$F$1001)*Calc!$F$2:$F$1001))))</f>
        <v/>
      </c>
      <c r="Q108">
        <f>IF(I108=0,0,(MIN(MAX((K108+M108),0),L108)*W108+SUMPRODUCT((Calc!$A$2:$A$1001=A108)*Calc!$G$2:$G$1001*((((K108+M108)-(L108+Calc!$J$2:$J$1001))&gt;0)*(((K108+M108)-(L108+Calc!$J$2:$J$1001))&lt;Calc!$F$2:$F$1001)*((K108+M108)-(L108+Calc!$J$2:$J$1001))+(((K108+M108)-(L108+Calc!$J$2:$J$1001))&gt;=Calc!$F$2:$F$1001)*Calc!$F$2:$F$1001))))</f>
        <v/>
      </c>
      <c r="R108">
        <f>IF(I108=0,0,(MIN(MAX((K108+N108),0),L108)*W108+SUMPRODUCT((Calc!$A$2:$A$1001=A108)*Calc!$G$2:$G$1001*((((K108+N108)-(L108+Calc!$J$2:$J$1001))&gt;0)*(((K108+N108)-(L108+Calc!$J$2:$J$1001))&lt;Calc!$F$2:$F$1001)*((K108+N108)-(L108+Calc!$J$2:$J$1001))+(((K108+N108)-(L108+Calc!$J$2:$J$1001))&gt;=Calc!$F$2:$F$1001)*Calc!$F$2:$F$1001))))</f>
        <v/>
      </c>
      <c r="S108">
        <f>IF(I108=0,0,(MIN(MAX((K108+O108),0),L108)*W108+SUMPRODUCT((Calc!$A$2:$A$1001=A108)*Calc!$G$2:$G$1001*((((K108+O108)-(L108+Calc!$J$2:$J$1001))&gt;0)*(((K108+O108)-(L108+Calc!$J$2:$J$1001))&lt;Calc!$F$2:$F$1001)*((K108+O108)-(L108+Calc!$J$2:$J$1001))+(((K108+O108)-(L108+Calc!$J$2:$J$1001))&gt;=Calc!$F$2:$F$1001)*Calc!$F$2:$F$1001))))</f>
        <v/>
      </c>
      <c r="T108">
        <f>IF(AND(E108=1,B108="RETURN"),Transactions!E108*Transactions!G108,0)</f>
        <v/>
      </c>
      <c r="U108">
        <f>IF(AND(E108=1,B108="EXPENSE"),Transactions!J108,0)</f>
        <v/>
      </c>
      <c r="V108">
        <f>IF(AND(Transactions!A108&lt;&gt;"",E108=0),ROW(),"")</f>
        <v/>
      </c>
      <c r="W108">
        <f>IFERROR(VLOOKUP(A108,Opening!$A:$D,4,0),0)</f>
        <v/>
      </c>
    </row>
    <row r="109">
      <c r="A109">
        <f>IF(Transactions!D109="","",UPPER(TRIM(Transactions!D109)))</f>
        <v/>
      </c>
      <c r="B109">
        <f>IF(Transactions!C109="","",UPPER(TRIM(Transactions!C109)))</f>
        <v/>
      </c>
      <c r="C109">
        <f>IF(Transactions!B109="",0,YEAR(Transactions!B109)*100+MONTH(Transactions!B109))</f>
        <v/>
      </c>
      <c r="D109">
        <f>IF(Transactions!A109="",1,IF(COUNTIF(Transactions!$A$1:A108,Transactions!A109)&gt;0,1,0))</f>
        <v/>
      </c>
      <c r="E109">
        <f>IF(D109=1,0,IF(B109="RETURN",IF(COUNTIFS($A$1:A108,A109,$B$1:B108,"SALE",$E$1:E108,1)&gt;0,1,0),1))</f>
        <v/>
      </c>
      <c r="F109">
        <f>IF(E109=1,IF(B109="RECEIPT",Transactions!E109,IF(AND(B109="RETURN",LOWER(TRIM(Transactions!H109))="resellable"),Transactions!E109,0)),0)</f>
        <v/>
      </c>
      <c r="G109">
        <f>IF(F109&gt;0,IF(B109="RECEIPT",Transactions!F109,IF(_xlfn.MAXIFS($H$2:H109,$A$2:A109,A109)&gt;0,INDEX(Transactions!$F:$F,_xlfn.MAXIFS($H$2:H109,$A$2:A109,A109)),W109)),0)</f>
        <v/>
      </c>
      <c r="H109">
        <f>IF(AND(E109=1,B109="RECEIPT"),ROW(),0)</f>
        <v/>
      </c>
      <c r="I109">
        <f>IF(E109=1,IF(OR(B109="SALE",B109="WRITEOFF"),Transactions!E109,0),0)</f>
        <v/>
      </c>
      <c r="J109">
        <f>SUMIFS($F$1:F108,$A$1:A108,A109)</f>
        <v/>
      </c>
      <c r="K109">
        <f>SUMIFS($I$1:I108,$A$1:A108,A109)</f>
        <v/>
      </c>
      <c r="L109">
        <f>IFERROR(VLOOKUP(A109,Opening!$A:$C,3,0),0)</f>
        <v/>
      </c>
      <c r="M109">
        <f>IF(I109=0,0,MAX(0,MIN(INDEX(Month!H$2:H$13,MATCH($A109,Month!$A$2:$A$13,0))-K109,I109)))</f>
        <v/>
      </c>
      <c r="N109">
        <f>IF(I109=0,0,MAX(0,MIN(INDEX(Month!I$2:I$13,MATCH($A109,Month!$A$2:$A$13,0))-K109,I109)))</f>
        <v/>
      </c>
      <c r="O109">
        <f>IF(I109=0,0,MAX(0,MIN(INDEX(Month!J$2:J$13,MATCH($A109,Month!$A$2:$A$13,0))-K109,I109)))</f>
        <v/>
      </c>
      <c r="P109">
        <f>IF(I109=0,0,(MIN(MAX(K109,0),L109)*W109+SUMPRODUCT((Calc!$A$2:$A$1001=A109)*Calc!$G$2:$G$1001*(((K109-(L109+Calc!$J$2:$J$1001))&gt;0)*((K109-(L109+Calc!$J$2:$J$1001))&lt;Calc!$F$2:$F$1001)*(K109-(L109+Calc!$J$2:$J$1001))+((K109-(L109+Calc!$J$2:$J$1001))&gt;=Calc!$F$2:$F$1001)*Calc!$F$2:$F$1001))))</f>
        <v/>
      </c>
      <c r="Q109">
        <f>IF(I109=0,0,(MIN(MAX((K109+M109),0),L109)*W109+SUMPRODUCT((Calc!$A$2:$A$1001=A109)*Calc!$G$2:$G$1001*((((K109+M109)-(L109+Calc!$J$2:$J$1001))&gt;0)*(((K109+M109)-(L109+Calc!$J$2:$J$1001))&lt;Calc!$F$2:$F$1001)*((K109+M109)-(L109+Calc!$J$2:$J$1001))+(((K109+M109)-(L109+Calc!$J$2:$J$1001))&gt;=Calc!$F$2:$F$1001)*Calc!$F$2:$F$1001))))</f>
        <v/>
      </c>
      <c r="R109">
        <f>IF(I109=0,0,(MIN(MAX((K109+N109),0),L109)*W109+SUMPRODUCT((Calc!$A$2:$A$1001=A109)*Calc!$G$2:$G$1001*((((K109+N109)-(L109+Calc!$J$2:$J$1001))&gt;0)*(((K109+N109)-(L109+Calc!$J$2:$J$1001))&lt;Calc!$F$2:$F$1001)*((K109+N109)-(L109+Calc!$J$2:$J$1001))+(((K109+N109)-(L109+Calc!$J$2:$J$1001))&gt;=Calc!$F$2:$F$1001)*Calc!$F$2:$F$1001))))</f>
        <v/>
      </c>
      <c r="S109">
        <f>IF(I109=0,0,(MIN(MAX((K109+O109),0),L109)*W109+SUMPRODUCT((Calc!$A$2:$A$1001=A109)*Calc!$G$2:$G$1001*((((K109+O109)-(L109+Calc!$J$2:$J$1001))&gt;0)*(((K109+O109)-(L109+Calc!$J$2:$J$1001))&lt;Calc!$F$2:$F$1001)*((K109+O109)-(L109+Calc!$J$2:$J$1001))+(((K109+O109)-(L109+Calc!$J$2:$J$1001))&gt;=Calc!$F$2:$F$1001)*Calc!$F$2:$F$1001))))</f>
        <v/>
      </c>
      <c r="T109">
        <f>IF(AND(E109=1,B109="RETURN"),Transactions!E109*Transactions!G109,0)</f>
        <v/>
      </c>
      <c r="U109">
        <f>IF(AND(E109=1,B109="EXPENSE"),Transactions!J109,0)</f>
        <v/>
      </c>
      <c r="V109">
        <f>IF(AND(Transactions!A109&lt;&gt;"",E109=0),ROW(),"")</f>
        <v/>
      </c>
      <c r="W109">
        <f>IFERROR(VLOOKUP(A109,Opening!$A:$D,4,0),0)</f>
        <v/>
      </c>
    </row>
    <row r="110">
      <c r="A110">
        <f>IF(Transactions!D110="","",UPPER(TRIM(Transactions!D110)))</f>
        <v/>
      </c>
      <c r="B110">
        <f>IF(Transactions!C110="","",UPPER(TRIM(Transactions!C110)))</f>
        <v/>
      </c>
      <c r="C110">
        <f>IF(Transactions!B110="",0,YEAR(Transactions!B110)*100+MONTH(Transactions!B110))</f>
        <v/>
      </c>
      <c r="D110">
        <f>IF(Transactions!A110="",1,IF(COUNTIF(Transactions!$A$1:A109,Transactions!A110)&gt;0,1,0))</f>
        <v/>
      </c>
      <c r="E110">
        <f>IF(D110=1,0,IF(B110="RETURN",IF(COUNTIFS($A$1:A109,A110,$B$1:B109,"SALE",$E$1:E109,1)&gt;0,1,0),1))</f>
        <v/>
      </c>
      <c r="F110">
        <f>IF(E110=1,IF(B110="RECEIPT",Transactions!E110,IF(AND(B110="RETURN",LOWER(TRIM(Transactions!H110))="resellable"),Transactions!E110,0)),0)</f>
        <v/>
      </c>
      <c r="G110">
        <f>IF(F110&gt;0,IF(B110="RECEIPT",Transactions!F110,IF(_xlfn.MAXIFS($H$2:H110,$A$2:A110,A110)&gt;0,INDEX(Transactions!$F:$F,_xlfn.MAXIFS($H$2:H110,$A$2:A110,A110)),W110)),0)</f>
        <v/>
      </c>
      <c r="H110">
        <f>IF(AND(E110=1,B110="RECEIPT"),ROW(),0)</f>
        <v/>
      </c>
      <c r="I110">
        <f>IF(E110=1,IF(OR(B110="SALE",B110="WRITEOFF"),Transactions!E110,0),0)</f>
        <v/>
      </c>
      <c r="J110">
        <f>SUMIFS($F$1:F109,$A$1:A109,A110)</f>
        <v/>
      </c>
      <c r="K110">
        <f>SUMIFS($I$1:I109,$A$1:A109,A110)</f>
        <v/>
      </c>
      <c r="L110">
        <f>IFERROR(VLOOKUP(A110,Opening!$A:$C,3,0),0)</f>
        <v/>
      </c>
      <c r="M110">
        <f>IF(I110=0,0,MAX(0,MIN(INDEX(Month!H$2:H$13,MATCH($A110,Month!$A$2:$A$13,0))-K110,I110)))</f>
        <v/>
      </c>
      <c r="N110">
        <f>IF(I110=0,0,MAX(0,MIN(INDEX(Month!I$2:I$13,MATCH($A110,Month!$A$2:$A$13,0))-K110,I110)))</f>
        <v/>
      </c>
      <c r="O110">
        <f>IF(I110=0,0,MAX(0,MIN(INDEX(Month!J$2:J$13,MATCH($A110,Month!$A$2:$A$13,0))-K110,I110)))</f>
        <v/>
      </c>
      <c r="P110">
        <f>IF(I110=0,0,(MIN(MAX(K110,0),L110)*W110+SUMPRODUCT((Calc!$A$2:$A$1001=A110)*Calc!$G$2:$G$1001*(((K110-(L110+Calc!$J$2:$J$1001))&gt;0)*((K110-(L110+Calc!$J$2:$J$1001))&lt;Calc!$F$2:$F$1001)*(K110-(L110+Calc!$J$2:$J$1001))+((K110-(L110+Calc!$J$2:$J$1001))&gt;=Calc!$F$2:$F$1001)*Calc!$F$2:$F$1001))))</f>
        <v/>
      </c>
      <c r="Q110">
        <f>IF(I110=0,0,(MIN(MAX((K110+M110),0),L110)*W110+SUMPRODUCT((Calc!$A$2:$A$1001=A110)*Calc!$G$2:$G$1001*((((K110+M110)-(L110+Calc!$J$2:$J$1001))&gt;0)*(((K110+M110)-(L110+Calc!$J$2:$J$1001))&lt;Calc!$F$2:$F$1001)*((K110+M110)-(L110+Calc!$J$2:$J$1001))+(((K110+M110)-(L110+Calc!$J$2:$J$1001))&gt;=Calc!$F$2:$F$1001)*Calc!$F$2:$F$1001))))</f>
        <v/>
      </c>
      <c r="R110">
        <f>IF(I110=0,0,(MIN(MAX((K110+N110),0),L110)*W110+SUMPRODUCT((Calc!$A$2:$A$1001=A110)*Calc!$G$2:$G$1001*((((K110+N110)-(L110+Calc!$J$2:$J$1001))&gt;0)*(((K110+N110)-(L110+Calc!$J$2:$J$1001))&lt;Calc!$F$2:$F$1001)*((K110+N110)-(L110+Calc!$J$2:$J$1001))+(((K110+N110)-(L110+Calc!$J$2:$J$1001))&gt;=Calc!$F$2:$F$1001)*Calc!$F$2:$F$1001))))</f>
        <v/>
      </c>
      <c r="S110">
        <f>IF(I110=0,0,(MIN(MAX((K110+O110),0),L110)*W110+SUMPRODUCT((Calc!$A$2:$A$1001=A110)*Calc!$G$2:$G$1001*((((K110+O110)-(L110+Calc!$J$2:$J$1001))&gt;0)*(((K110+O110)-(L110+Calc!$J$2:$J$1001))&lt;Calc!$F$2:$F$1001)*((K110+O110)-(L110+Calc!$J$2:$J$1001))+(((K110+O110)-(L110+Calc!$J$2:$J$1001))&gt;=Calc!$F$2:$F$1001)*Calc!$F$2:$F$1001))))</f>
        <v/>
      </c>
      <c r="T110">
        <f>IF(AND(E110=1,B110="RETURN"),Transactions!E110*Transactions!G110,0)</f>
        <v/>
      </c>
      <c r="U110">
        <f>IF(AND(E110=1,B110="EXPENSE"),Transactions!J110,0)</f>
        <v/>
      </c>
      <c r="V110">
        <f>IF(AND(Transactions!A110&lt;&gt;"",E110=0),ROW(),"")</f>
        <v/>
      </c>
      <c r="W110">
        <f>IFERROR(VLOOKUP(A110,Opening!$A:$D,4,0),0)</f>
        <v/>
      </c>
    </row>
    <row r="111">
      <c r="A111">
        <f>IF(Transactions!D111="","",UPPER(TRIM(Transactions!D111)))</f>
        <v/>
      </c>
      <c r="B111">
        <f>IF(Transactions!C111="","",UPPER(TRIM(Transactions!C111)))</f>
        <v/>
      </c>
      <c r="C111">
        <f>IF(Transactions!B111="",0,YEAR(Transactions!B111)*100+MONTH(Transactions!B111))</f>
        <v/>
      </c>
      <c r="D111">
        <f>IF(Transactions!A111="",1,IF(COUNTIF(Transactions!$A$1:A110,Transactions!A111)&gt;0,1,0))</f>
        <v/>
      </c>
      <c r="E111">
        <f>IF(D111=1,0,IF(B111="RETURN",IF(COUNTIFS($A$1:A110,A111,$B$1:B110,"SALE",$E$1:E110,1)&gt;0,1,0),1))</f>
        <v/>
      </c>
      <c r="F111">
        <f>IF(E111=1,IF(B111="RECEIPT",Transactions!E111,IF(AND(B111="RETURN",LOWER(TRIM(Transactions!H111))="resellable"),Transactions!E111,0)),0)</f>
        <v/>
      </c>
      <c r="G111">
        <f>IF(F111&gt;0,IF(B111="RECEIPT",Transactions!F111,IF(_xlfn.MAXIFS($H$2:H111,$A$2:A111,A111)&gt;0,INDEX(Transactions!$F:$F,_xlfn.MAXIFS($H$2:H111,$A$2:A111,A111)),W111)),0)</f>
        <v/>
      </c>
      <c r="H111">
        <f>IF(AND(E111=1,B111="RECEIPT"),ROW(),0)</f>
        <v/>
      </c>
      <c r="I111">
        <f>IF(E111=1,IF(OR(B111="SALE",B111="WRITEOFF"),Transactions!E111,0),0)</f>
        <v/>
      </c>
      <c r="J111">
        <f>SUMIFS($F$1:F110,$A$1:A110,A111)</f>
        <v/>
      </c>
      <c r="K111">
        <f>SUMIFS($I$1:I110,$A$1:A110,A111)</f>
        <v/>
      </c>
      <c r="L111">
        <f>IFERROR(VLOOKUP(A111,Opening!$A:$C,3,0),0)</f>
        <v/>
      </c>
      <c r="M111">
        <f>IF(I111=0,0,MAX(0,MIN(INDEX(Month!H$2:H$13,MATCH($A111,Month!$A$2:$A$13,0))-K111,I111)))</f>
        <v/>
      </c>
      <c r="N111">
        <f>IF(I111=0,0,MAX(0,MIN(INDEX(Month!I$2:I$13,MATCH($A111,Month!$A$2:$A$13,0))-K111,I111)))</f>
        <v/>
      </c>
      <c r="O111">
        <f>IF(I111=0,0,MAX(0,MIN(INDEX(Month!J$2:J$13,MATCH($A111,Month!$A$2:$A$13,0))-K111,I111)))</f>
        <v/>
      </c>
      <c r="P111">
        <f>IF(I111=0,0,(MIN(MAX(K111,0),L111)*W111+SUMPRODUCT((Calc!$A$2:$A$1001=A111)*Calc!$G$2:$G$1001*(((K111-(L111+Calc!$J$2:$J$1001))&gt;0)*((K111-(L111+Calc!$J$2:$J$1001))&lt;Calc!$F$2:$F$1001)*(K111-(L111+Calc!$J$2:$J$1001))+((K111-(L111+Calc!$J$2:$J$1001))&gt;=Calc!$F$2:$F$1001)*Calc!$F$2:$F$1001))))</f>
        <v/>
      </c>
      <c r="Q111">
        <f>IF(I111=0,0,(MIN(MAX((K111+M111),0),L111)*W111+SUMPRODUCT((Calc!$A$2:$A$1001=A111)*Calc!$G$2:$G$1001*((((K111+M111)-(L111+Calc!$J$2:$J$1001))&gt;0)*(((K111+M111)-(L111+Calc!$J$2:$J$1001))&lt;Calc!$F$2:$F$1001)*((K111+M111)-(L111+Calc!$J$2:$J$1001))+(((K111+M111)-(L111+Calc!$J$2:$J$1001))&gt;=Calc!$F$2:$F$1001)*Calc!$F$2:$F$1001))))</f>
        <v/>
      </c>
      <c r="R111">
        <f>IF(I111=0,0,(MIN(MAX((K111+N111),0),L111)*W111+SUMPRODUCT((Calc!$A$2:$A$1001=A111)*Calc!$G$2:$G$1001*((((K111+N111)-(L111+Calc!$J$2:$J$1001))&gt;0)*(((K111+N111)-(L111+Calc!$J$2:$J$1001))&lt;Calc!$F$2:$F$1001)*((K111+N111)-(L111+Calc!$J$2:$J$1001))+(((K111+N111)-(L111+Calc!$J$2:$J$1001))&gt;=Calc!$F$2:$F$1001)*Calc!$F$2:$F$1001))))</f>
        <v/>
      </c>
      <c r="S111">
        <f>IF(I111=0,0,(MIN(MAX((K111+O111),0),L111)*W111+SUMPRODUCT((Calc!$A$2:$A$1001=A111)*Calc!$G$2:$G$1001*((((K111+O111)-(L111+Calc!$J$2:$J$1001))&gt;0)*(((K111+O111)-(L111+Calc!$J$2:$J$1001))&lt;Calc!$F$2:$F$1001)*((K111+O111)-(L111+Calc!$J$2:$J$1001))+(((K111+O111)-(L111+Calc!$J$2:$J$1001))&gt;=Calc!$F$2:$F$1001)*Calc!$F$2:$F$1001))))</f>
        <v/>
      </c>
      <c r="T111">
        <f>IF(AND(E111=1,B111="RETURN"),Transactions!E111*Transactions!G111,0)</f>
        <v/>
      </c>
      <c r="U111">
        <f>IF(AND(E111=1,B111="EXPENSE"),Transactions!J111,0)</f>
        <v/>
      </c>
      <c r="V111">
        <f>IF(AND(Transactions!A111&lt;&gt;"",E111=0),ROW(),"")</f>
        <v/>
      </c>
      <c r="W111">
        <f>IFERROR(VLOOKUP(A111,Opening!$A:$D,4,0),0)</f>
        <v/>
      </c>
    </row>
    <row r="112">
      <c r="A112">
        <f>IF(Transactions!D112="","",UPPER(TRIM(Transactions!D112)))</f>
        <v/>
      </c>
      <c r="B112">
        <f>IF(Transactions!C112="","",UPPER(TRIM(Transactions!C112)))</f>
        <v/>
      </c>
      <c r="C112">
        <f>IF(Transactions!B112="",0,YEAR(Transactions!B112)*100+MONTH(Transactions!B112))</f>
        <v/>
      </c>
      <c r="D112">
        <f>IF(Transactions!A112="",1,IF(COUNTIF(Transactions!$A$1:A111,Transactions!A112)&gt;0,1,0))</f>
        <v/>
      </c>
      <c r="E112">
        <f>IF(D112=1,0,IF(B112="RETURN",IF(COUNTIFS($A$1:A111,A112,$B$1:B111,"SALE",$E$1:E111,1)&gt;0,1,0),1))</f>
        <v/>
      </c>
      <c r="F112">
        <f>IF(E112=1,IF(B112="RECEIPT",Transactions!E112,IF(AND(B112="RETURN",LOWER(TRIM(Transactions!H112))="resellable"),Transactions!E112,0)),0)</f>
        <v/>
      </c>
      <c r="G112">
        <f>IF(F112&gt;0,IF(B112="RECEIPT",Transactions!F112,IF(_xlfn.MAXIFS($H$2:H112,$A$2:A112,A112)&gt;0,INDEX(Transactions!$F:$F,_xlfn.MAXIFS($H$2:H112,$A$2:A112,A112)),W112)),0)</f>
        <v/>
      </c>
      <c r="H112">
        <f>IF(AND(E112=1,B112="RECEIPT"),ROW(),0)</f>
        <v/>
      </c>
      <c r="I112">
        <f>IF(E112=1,IF(OR(B112="SALE",B112="WRITEOFF"),Transactions!E112,0),0)</f>
        <v/>
      </c>
      <c r="J112">
        <f>SUMIFS($F$1:F111,$A$1:A111,A112)</f>
        <v/>
      </c>
      <c r="K112">
        <f>SUMIFS($I$1:I111,$A$1:A111,A112)</f>
        <v/>
      </c>
      <c r="L112">
        <f>IFERROR(VLOOKUP(A112,Opening!$A:$C,3,0),0)</f>
        <v/>
      </c>
      <c r="M112">
        <f>IF(I112=0,0,MAX(0,MIN(INDEX(Month!H$2:H$13,MATCH($A112,Month!$A$2:$A$13,0))-K112,I112)))</f>
        <v/>
      </c>
      <c r="N112">
        <f>IF(I112=0,0,MAX(0,MIN(INDEX(Month!I$2:I$13,MATCH($A112,Month!$A$2:$A$13,0))-K112,I112)))</f>
        <v/>
      </c>
      <c r="O112">
        <f>IF(I112=0,0,MAX(0,MIN(INDEX(Month!J$2:J$13,MATCH($A112,Month!$A$2:$A$13,0))-K112,I112)))</f>
        <v/>
      </c>
      <c r="P112">
        <f>IF(I112=0,0,(MIN(MAX(K112,0),L112)*W112+SUMPRODUCT((Calc!$A$2:$A$1001=A112)*Calc!$G$2:$G$1001*(((K112-(L112+Calc!$J$2:$J$1001))&gt;0)*((K112-(L112+Calc!$J$2:$J$1001))&lt;Calc!$F$2:$F$1001)*(K112-(L112+Calc!$J$2:$J$1001))+((K112-(L112+Calc!$J$2:$J$1001))&gt;=Calc!$F$2:$F$1001)*Calc!$F$2:$F$1001))))</f>
        <v/>
      </c>
      <c r="Q112">
        <f>IF(I112=0,0,(MIN(MAX((K112+M112),0),L112)*W112+SUMPRODUCT((Calc!$A$2:$A$1001=A112)*Calc!$G$2:$G$1001*((((K112+M112)-(L112+Calc!$J$2:$J$1001))&gt;0)*(((K112+M112)-(L112+Calc!$J$2:$J$1001))&lt;Calc!$F$2:$F$1001)*((K112+M112)-(L112+Calc!$J$2:$J$1001))+(((K112+M112)-(L112+Calc!$J$2:$J$1001))&gt;=Calc!$F$2:$F$1001)*Calc!$F$2:$F$1001))))</f>
        <v/>
      </c>
      <c r="R112">
        <f>IF(I112=0,0,(MIN(MAX((K112+N112),0),L112)*W112+SUMPRODUCT((Calc!$A$2:$A$1001=A112)*Calc!$G$2:$G$1001*((((K112+N112)-(L112+Calc!$J$2:$J$1001))&gt;0)*(((K112+N112)-(L112+Calc!$J$2:$J$1001))&lt;Calc!$F$2:$F$1001)*((K112+N112)-(L112+Calc!$J$2:$J$1001))+(((K112+N112)-(L112+Calc!$J$2:$J$1001))&gt;=Calc!$F$2:$F$1001)*Calc!$F$2:$F$1001))))</f>
        <v/>
      </c>
      <c r="S112">
        <f>IF(I112=0,0,(MIN(MAX((K112+O112),0),L112)*W112+SUMPRODUCT((Calc!$A$2:$A$1001=A112)*Calc!$G$2:$G$1001*((((K112+O112)-(L112+Calc!$J$2:$J$1001))&gt;0)*(((K112+O112)-(L112+Calc!$J$2:$J$1001))&lt;Calc!$F$2:$F$1001)*((K112+O112)-(L112+Calc!$J$2:$J$1001))+(((K112+O112)-(L112+Calc!$J$2:$J$1001))&gt;=Calc!$F$2:$F$1001)*Calc!$F$2:$F$1001))))</f>
        <v/>
      </c>
      <c r="T112">
        <f>IF(AND(E112=1,B112="RETURN"),Transactions!E112*Transactions!G112,0)</f>
        <v/>
      </c>
      <c r="U112">
        <f>IF(AND(E112=1,B112="EXPENSE"),Transactions!J112,0)</f>
        <v/>
      </c>
      <c r="V112">
        <f>IF(AND(Transactions!A112&lt;&gt;"",E112=0),ROW(),"")</f>
        <v/>
      </c>
      <c r="W112">
        <f>IFERROR(VLOOKUP(A112,Opening!$A:$D,4,0),0)</f>
        <v/>
      </c>
    </row>
    <row r="113">
      <c r="A113">
        <f>IF(Transactions!D113="","",UPPER(TRIM(Transactions!D113)))</f>
        <v/>
      </c>
      <c r="B113">
        <f>IF(Transactions!C113="","",UPPER(TRIM(Transactions!C113)))</f>
        <v/>
      </c>
      <c r="C113">
        <f>IF(Transactions!B113="",0,YEAR(Transactions!B113)*100+MONTH(Transactions!B113))</f>
        <v/>
      </c>
      <c r="D113">
        <f>IF(Transactions!A113="",1,IF(COUNTIF(Transactions!$A$1:A112,Transactions!A113)&gt;0,1,0))</f>
        <v/>
      </c>
      <c r="E113">
        <f>IF(D113=1,0,IF(B113="RETURN",IF(COUNTIFS($A$1:A112,A113,$B$1:B112,"SALE",$E$1:E112,1)&gt;0,1,0),1))</f>
        <v/>
      </c>
      <c r="F113">
        <f>IF(E113=1,IF(B113="RECEIPT",Transactions!E113,IF(AND(B113="RETURN",LOWER(TRIM(Transactions!H113))="resellable"),Transactions!E113,0)),0)</f>
        <v/>
      </c>
      <c r="G113">
        <f>IF(F113&gt;0,IF(B113="RECEIPT",Transactions!F113,IF(_xlfn.MAXIFS($H$2:H113,$A$2:A113,A113)&gt;0,INDEX(Transactions!$F:$F,_xlfn.MAXIFS($H$2:H113,$A$2:A113,A113)),W113)),0)</f>
        <v/>
      </c>
      <c r="H113">
        <f>IF(AND(E113=1,B113="RECEIPT"),ROW(),0)</f>
        <v/>
      </c>
      <c r="I113">
        <f>IF(E113=1,IF(OR(B113="SALE",B113="WRITEOFF"),Transactions!E113,0),0)</f>
        <v/>
      </c>
      <c r="J113">
        <f>SUMIFS($F$1:F112,$A$1:A112,A113)</f>
        <v/>
      </c>
      <c r="K113">
        <f>SUMIFS($I$1:I112,$A$1:A112,A113)</f>
        <v/>
      </c>
      <c r="L113">
        <f>IFERROR(VLOOKUP(A113,Opening!$A:$C,3,0),0)</f>
        <v/>
      </c>
      <c r="M113">
        <f>IF(I113=0,0,MAX(0,MIN(INDEX(Month!H$2:H$13,MATCH($A113,Month!$A$2:$A$13,0))-K113,I113)))</f>
        <v/>
      </c>
      <c r="N113">
        <f>IF(I113=0,0,MAX(0,MIN(INDEX(Month!I$2:I$13,MATCH($A113,Month!$A$2:$A$13,0))-K113,I113)))</f>
        <v/>
      </c>
      <c r="O113">
        <f>IF(I113=0,0,MAX(0,MIN(INDEX(Month!J$2:J$13,MATCH($A113,Month!$A$2:$A$13,0))-K113,I113)))</f>
        <v/>
      </c>
      <c r="P113">
        <f>IF(I113=0,0,(MIN(MAX(K113,0),L113)*W113+SUMPRODUCT((Calc!$A$2:$A$1001=A113)*Calc!$G$2:$G$1001*(((K113-(L113+Calc!$J$2:$J$1001))&gt;0)*((K113-(L113+Calc!$J$2:$J$1001))&lt;Calc!$F$2:$F$1001)*(K113-(L113+Calc!$J$2:$J$1001))+((K113-(L113+Calc!$J$2:$J$1001))&gt;=Calc!$F$2:$F$1001)*Calc!$F$2:$F$1001))))</f>
        <v/>
      </c>
      <c r="Q113">
        <f>IF(I113=0,0,(MIN(MAX((K113+M113),0),L113)*W113+SUMPRODUCT((Calc!$A$2:$A$1001=A113)*Calc!$G$2:$G$1001*((((K113+M113)-(L113+Calc!$J$2:$J$1001))&gt;0)*(((K113+M113)-(L113+Calc!$J$2:$J$1001))&lt;Calc!$F$2:$F$1001)*((K113+M113)-(L113+Calc!$J$2:$J$1001))+(((K113+M113)-(L113+Calc!$J$2:$J$1001))&gt;=Calc!$F$2:$F$1001)*Calc!$F$2:$F$1001))))</f>
        <v/>
      </c>
      <c r="R113">
        <f>IF(I113=0,0,(MIN(MAX((K113+N113),0),L113)*W113+SUMPRODUCT((Calc!$A$2:$A$1001=A113)*Calc!$G$2:$G$1001*((((K113+N113)-(L113+Calc!$J$2:$J$1001))&gt;0)*(((K113+N113)-(L113+Calc!$J$2:$J$1001))&lt;Calc!$F$2:$F$1001)*((K113+N113)-(L113+Calc!$J$2:$J$1001))+(((K113+N113)-(L113+Calc!$J$2:$J$1001))&gt;=Calc!$F$2:$F$1001)*Calc!$F$2:$F$1001))))</f>
        <v/>
      </c>
      <c r="S113">
        <f>IF(I113=0,0,(MIN(MAX((K113+O113),0),L113)*W113+SUMPRODUCT((Calc!$A$2:$A$1001=A113)*Calc!$G$2:$G$1001*((((K113+O113)-(L113+Calc!$J$2:$J$1001))&gt;0)*(((K113+O113)-(L113+Calc!$J$2:$J$1001))&lt;Calc!$F$2:$F$1001)*((K113+O113)-(L113+Calc!$J$2:$J$1001))+(((K113+O113)-(L113+Calc!$J$2:$J$1001))&gt;=Calc!$F$2:$F$1001)*Calc!$F$2:$F$1001))))</f>
        <v/>
      </c>
      <c r="T113">
        <f>IF(AND(E113=1,B113="RETURN"),Transactions!E113*Transactions!G113,0)</f>
        <v/>
      </c>
      <c r="U113">
        <f>IF(AND(E113=1,B113="EXPENSE"),Transactions!J113,0)</f>
        <v/>
      </c>
      <c r="V113">
        <f>IF(AND(Transactions!A113&lt;&gt;"",E113=0),ROW(),"")</f>
        <v/>
      </c>
      <c r="W113">
        <f>IFERROR(VLOOKUP(A113,Opening!$A:$D,4,0),0)</f>
        <v/>
      </c>
    </row>
    <row r="114">
      <c r="A114">
        <f>IF(Transactions!D114="","",UPPER(TRIM(Transactions!D114)))</f>
        <v/>
      </c>
      <c r="B114">
        <f>IF(Transactions!C114="","",UPPER(TRIM(Transactions!C114)))</f>
        <v/>
      </c>
      <c r="C114">
        <f>IF(Transactions!B114="",0,YEAR(Transactions!B114)*100+MONTH(Transactions!B114))</f>
        <v/>
      </c>
      <c r="D114">
        <f>IF(Transactions!A114="",1,IF(COUNTIF(Transactions!$A$1:A113,Transactions!A114)&gt;0,1,0))</f>
        <v/>
      </c>
      <c r="E114">
        <f>IF(D114=1,0,IF(B114="RETURN",IF(COUNTIFS($A$1:A113,A114,$B$1:B113,"SALE",$E$1:E113,1)&gt;0,1,0),1))</f>
        <v/>
      </c>
      <c r="F114">
        <f>IF(E114=1,IF(B114="RECEIPT",Transactions!E114,IF(AND(B114="RETURN",LOWER(TRIM(Transactions!H114))="resellable"),Transactions!E114,0)),0)</f>
        <v/>
      </c>
      <c r="G114">
        <f>IF(F114&gt;0,IF(B114="RECEIPT",Transactions!F114,IF(_xlfn.MAXIFS($H$2:H114,$A$2:A114,A114)&gt;0,INDEX(Transactions!$F:$F,_xlfn.MAXIFS($H$2:H114,$A$2:A114,A114)),W114)),0)</f>
        <v/>
      </c>
      <c r="H114">
        <f>IF(AND(E114=1,B114="RECEIPT"),ROW(),0)</f>
        <v/>
      </c>
      <c r="I114">
        <f>IF(E114=1,IF(OR(B114="SALE",B114="WRITEOFF"),Transactions!E114,0),0)</f>
        <v/>
      </c>
      <c r="J114">
        <f>SUMIFS($F$1:F113,$A$1:A113,A114)</f>
        <v/>
      </c>
      <c r="K114">
        <f>SUMIFS($I$1:I113,$A$1:A113,A114)</f>
        <v/>
      </c>
      <c r="L114">
        <f>IFERROR(VLOOKUP(A114,Opening!$A:$C,3,0),0)</f>
        <v/>
      </c>
      <c r="M114">
        <f>IF(I114=0,0,MAX(0,MIN(INDEX(Month!H$2:H$13,MATCH($A114,Month!$A$2:$A$13,0))-K114,I114)))</f>
        <v/>
      </c>
      <c r="N114">
        <f>IF(I114=0,0,MAX(0,MIN(INDEX(Month!I$2:I$13,MATCH($A114,Month!$A$2:$A$13,0))-K114,I114)))</f>
        <v/>
      </c>
      <c r="O114">
        <f>IF(I114=0,0,MAX(0,MIN(INDEX(Month!J$2:J$13,MATCH($A114,Month!$A$2:$A$13,0))-K114,I114)))</f>
        <v/>
      </c>
      <c r="P114">
        <f>IF(I114=0,0,(MIN(MAX(K114,0),L114)*W114+SUMPRODUCT((Calc!$A$2:$A$1001=A114)*Calc!$G$2:$G$1001*(((K114-(L114+Calc!$J$2:$J$1001))&gt;0)*((K114-(L114+Calc!$J$2:$J$1001))&lt;Calc!$F$2:$F$1001)*(K114-(L114+Calc!$J$2:$J$1001))+((K114-(L114+Calc!$J$2:$J$1001))&gt;=Calc!$F$2:$F$1001)*Calc!$F$2:$F$1001))))</f>
        <v/>
      </c>
      <c r="Q114">
        <f>IF(I114=0,0,(MIN(MAX((K114+M114),0),L114)*W114+SUMPRODUCT((Calc!$A$2:$A$1001=A114)*Calc!$G$2:$G$1001*((((K114+M114)-(L114+Calc!$J$2:$J$1001))&gt;0)*(((K114+M114)-(L114+Calc!$J$2:$J$1001))&lt;Calc!$F$2:$F$1001)*((K114+M114)-(L114+Calc!$J$2:$J$1001))+(((K114+M114)-(L114+Calc!$J$2:$J$1001))&gt;=Calc!$F$2:$F$1001)*Calc!$F$2:$F$1001))))</f>
        <v/>
      </c>
      <c r="R114">
        <f>IF(I114=0,0,(MIN(MAX((K114+N114),0),L114)*W114+SUMPRODUCT((Calc!$A$2:$A$1001=A114)*Calc!$G$2:$G$1001*((((K114+N114)-(L114+Calc!$J$2:$J$1001))&gt;0)*(((K114+N114)-(L114+Calc!$J$2:$J$1001))&lt;Calc!$F$2:$F$1001)*((K114+N114)-(L114+Calc!$J$2:$J$1001))+(((K114+N114)-(L114+Calc!$J$2:$J$1001))&gt;=Calc!$F$2:$F$1001)*Calc!$F$2:$F$1001))))</f>
        <v/>
      </c>
      <c r="S114">
        <f>IF(I114=0,0,(MIN(MAX((K114+O114),0),L114)*W114+SUMPRODUCT((Calc!$A$2:$A$1001=A114)*Calc!$G$2:$G$1001*((((K114+O114)-(L114+Calc!$J$2:$J$1001))&gt;0)*(((K114+O114)-(L114+Calc!$J$2:$J$1001))&lt;Calc!$F$2:$F$1001)*((K114+O114)-(L114+Calc!$J$2:$J$1001))+(((K114+O114)-(L114+Calc!$J$2:$J$1001))&gt;=Calc!$F$2:$F$1001)*Calc!$F$2:$F$1001))))</f>
        <v/>
      </c>
      <c r="T114">
        <f>IF(AND(E114=1,B114="RETURN"),Transactions!E114*Transactions!G114,0)</f>
        <v/>
      </c>
      <c r="U114">
        <f>IF(AND(E114=1,B114="EXPENSE"),Transactions!J114,0)</f>
        <v/>
      </c>
      <c r="V114">
        <f>IF(AND(Transactions!A114&lt;&gt;"",E114=0),ROW(),"")</f>
        <v/>
      </c>
      <c r="W114">
        <f>IFERROR(VLOOKUP(A114,Opening!$A:$D,4,0),0)</f>
        <v/>
      </c>
    </row>
    <row r="115">
      <c r="A115">
        <f>IF(Transactions!D115="","",UPPER(TRIM(Transactions!D115)))</f>
        <v/>
      </c>
      <c r="B115">
        <f>IF(Transactions!C115="","",UPPER(TRIM(Transactions!C115)))</f>
        <v/>
      </c>
      <c r="C115">
        <f>IF(Transactions!B115="",0,YEAR(Transactions!B115)*100+MONTH(Transactions!B115))</f>
        <v/>
      </c>
      <c r="D115">
        <f>IF(Transactions!A115="",1,IF(COUNTIF(Transactions!$A$1:A114,Transactions!A115)&gt;0,1,0))</f>
        <v/>
      </c>
      <c r="E115">
        <f>IF(D115=1,0,IF(B115="RETURN",IF(COUNTIFS($A$1:A114,A115,$B$1:B114,"SALE",$E$1:E114,1)&gt;0,1,0),1))</f>
        <v/>
      </c>
      <c r="F115">
        <f>IF(E115=1,IF(B115="RECEIPT",Transactions!E115,IF(AND(B115="RETURN",LOWER(TRIM(Transactions!H115))="resellable"),Transactions!E115,0)),0)</f>
        <v/>
      </c>
      <c r="G115">
        <f>IF(F115&gt;0,IF(B115="RECEIPT",Transactions!F115,IF(_xlfn.MAXIFS($H$2:H115,$A$2:A115,A115)&gt;0,INDEX(Transactions!$F:$F,_xlfn.MAXIFS($H$2:H115,$A$2:A115,A115)),W115)),0)</f>
        <v/>
      </c>
      <c r="H115">
        <f>IF(AND(E115=1,B115="RECEIPT"),ROW(),0)</f>
        <v/>
      </c>
      <c r="I115">
        <f>IF(E115=1,IF(OR(B115="SALE",B115="WRITEOFF"),Transactions!E115,0),0)</f>
        <v/>
      </c>
      <c r="J115">
        <f>SUMIFS($F$1:F114,$A$1:A114,A115)</f>
        <v/>
      </c>
      <c r="K115">
        <f>SUMIFS($I$1:I114,$A$1:A114,A115)</f>
        <v/>
      </c>
      <c r="L115">
        <f>IFERROR(VLOOKUP(A115,Opening!$A:$C,3,0),0)</f>
        <v/>
      </c>
      <c r="M115">
        <f>IF(I115=0,0,MAX(0,MIN(INDEX(Month!H$2:H$13,MATCH($A115,Month!$A$2:$A$13,0))-K115,I115)))</f>
        <v/>
      </c>
      <c r="N115">
        <f>IF(I115=0,0,MAX(0,MIN(INDEX(Month!I$2:I$13,MATCH($A115,Month!$A$2:$A$13,0))-K115,I115)))</f>
        <v/>
      </c>
      <c r="O115">
        <f>IF(I115=0,0,MAX(0,MIN(INDEX(Month!J$2:J$13,MATCH($A115,Month!$A$2:$A$13,0))-K115,I115)))</f>
        <v/>
      </c>
      <c r="P115">
        <f>IF(I115=0,0,(MIN(MAX(K115,0),L115)*W115+SUMPRODUCT((Calc!$A$2:$A$1001=A115)*Calc!$G$2:$G$1001*(((K115-(L115+Calc!$J$2:$J$1001))&gt;0)*((K115-(L115+Calc!$J$2:$J$1001))&lt;Calc!$F$2:$F$1001)*(K115-(L115+Calc!$J$2:$J$1001))+((K115-(L115+Calc!$J$2:$J$1001))&gt;=Calc!$F$2:$F$1001)*Calc!$F$2:$F$1001))))</f>
        <v/>
      </c>
      <c r="Q115">
        <f>IF(I115=0,0,(MIN(MAX((K115+M115),0),L115)*W115+SUMPRODUCT((Calc!$A$2:$A$1001=A115)*Calc!$G$2:$G$1001*((((K115+M115)-(L115+Calc!$J$2:$J$1001))&gt;0)*(((K115+M115)-(L115+Calc!$J$2:$J$1001))&lt;Calc!$F$2:$F$1001)*((K115+M115)-(L115+Calc!$J$2:$J$1001))+(((K115+M115)-(L115+Calc!$J$2:$J$1001))&gt;=Calc!$F$2:$F$1001)*Calc!$F$2:$F$1001))))</f>
        <v/>
      </c>
      <c r="R115">
        <f>IF(I115=0,0,(MIN(MAX((K115+N115),0),L115)*W115+SUMPRODUCT((Calc!$A$2:$A$1001=A115)*Calc!$G$2:$G$1001*((((K115+N115)-(L115+Calc!$J$2:$J$1001))&gt;0)*(((K115+N115)-(L115+Calc!$J$2:$J$1001))&lt;Calc!$F$2:$F$1001)*((K115+N115)-(L115+Calc!$J$2:$J$1001))+(((K115+N115)-(L115+Calc!$J$2:$J$1001))&gt;=Calc!$F$2:$F$1001)*Calc!$F$2:$F$1001))))</f>
        <v/>
      </c>
      <c r="S115">
        <f>IF(I115=0,0,(MIN(MAX((K115+O115),0),L115)*W115+SUMPRODUCT((Calc!$A$2:$A$1001=A115)*Calc!$G$2:$G$1001*((((K115+O115)-(L115+Calc!$J$2:$J$1001))&gt;0)*(((K115+O115)-(L115+Calc!$J$2:$J$1001))&lt;Calc!$F$2:$F$1001)*((K115+O115)-(L115+Calc!$J$2:$J$1001))+(((K115+O115)-(L115+Calc!$J$2:$J$1001))&gt;=Calc!$F$2:$F$1001)*Calc!$F$2:$F$1001))))</f>
        <v/>
      </c>
      <c r="T115">
        <f>IF(AND(E115=1,B115="RETURN"),Transactions!E115*Transactions!G115,0)</f>
        <v/>
      </c>
      <c r="U115">
        <f>IF(AND(E115=1,B115="EXPENSE"),Transactions!J115,0)</f>
        <v/>
      </c>
      <c r="V115">
        <f>IF(AND(Transactions!A115&lt;&gt;"",E115=0),ROW(),"")</f>
        <v/>
      </c>
      <c r="W115">
        <f>IFERROR(VLOOKUP(A115,Opening!$A:$D,4,0),0)</f>
        <v/>
      </c>
    </row>
    <row r="116">
      <c r="A116">
        <f>IF(Transactions!D116="","",UPPER(TRIM(Transactions!D116)))</f>
        <v/>
      </c>
      <c r="B116">
        <f>IF(Transactions!C116="","",UPPER(TRIM(Transactions!C116)))</f>
        <v/>
      </c>
      <c r="C116">
        <f>IF(Transactions!B116="",0,YEAR(Transactions!B116)*100+MONTH(Transactions!B116))</f>
        <v/>
      </c>
      <c r="D116">
        <f>IF(Transactions!A116="",1,IF(COUNTIF(Transactions!$A$1:A115,Transactions!A116)&gt;0,1,0))</f>
        <v/>
      </c>
      <c r="E116">
        <f>IF(D116=1,0,IF(B116="RETURN",IF(COUNTIFS($A$1:A115,A116,$B$1:B115,"SALE",$E$1:E115,1)&gt;0,1,0),1))</f>
        <v/>
      </c>
      <c r="F116">
        <f>IF(E116=1,IF(B116="RECEIPT",Transactions!E116,IF(AND(B116="RETURN",LOWER(TRIM(Transactions!H116))="resellable"),Transactions!E116,0)),0)</f>
        <v/>
      </c>
      <c r="G116">
        <f>IF(F116&gt;0,IF(B116="RECEIPT",Transactions!F116,IF(_xlfn.MAXIFS($H$2:H116,$A$2:A116,A116)&gt;0,INDEX(Transactions!$F:$F,_xlfn.MAXIFS($H$2:H116,$A$2:A116,A116)),W116)),0)</f>
        <v/>
      </c>
      <c r="H116">
        <f>IF(AND(E116=1,B116="RECEIPT"),ROW(),0)</f>
        <v/>
      </c>
      <c r="I116">
        <f>IF(E116=1,IF(OR(B116="SALE",B116="WRITEOFF"),Transactions!E116,0),0)</f>
        <v/>
      </c>
      <c r="J116">
        <f>SUMIFS($F$1:F115,$A$1:A115,A116)</f>
        <v/>
      </c>
      <c r="K116">
        <f>SUMIFS($I$1:I115,$A$1:A115,A116)</f>
        <v/>
      </c>
      <c r="L116">
        <f>IFERROR(VLOOKUP(A116,Opening!$A:$C,3,0),0)</f>
        <v/>
      </c>
      <c r="M116">
        <f>IF(I116=0,0,MAX(0,MIN(INDEX(Month!H$2:H$13,MATCH($A116,Month!$A$2:$A$13,0))-K116,I116)))</f>
        <v/>
      </c>
      <c r="N116">
        <f>IF(I116=0,0,MAX(0,MIN(INDEX(Month!I$2:I$13,MATCH($A116,Month!$A$2:$A$13,0))-K116,I116)))</f>
        <v/>
      </c>
      <c r="O116">
        <f>IF(I116=0,0,MAX(0,MIN(INDEX(Month!J$2:J$13,MATCH($A116,Month!$A$2:$A$13,0))-K116,I116)))</f>
        <v/>
      </c>
      <c r="P116">
        <f>IF(I116=0,0,(MIN(MAX(K116,0),L116)*W116+SUMPRODUCT((Calc!$A$2:$A$1001=A116)*Calc!$G$2:$G$1001*(((K116-(L116+Calc!$J$2:$J$1001))&gt;0)*((K116-(L116+Calc!$J$2:$J$1001))&lt;Calc!$F$2:$F$1001)*(K116-(L116+Calc!$J$2:$J$1001))+((K116-(L116+Calc!$J$2:$J$1001))&gt;=Calc!$F$2:$F$1001)*Calc!$F$2:$F$1001))))</f>
        <v/>
      </c>
      <c r="Q116">
        <f>IF(I116=0,0,(MIN(MAX((K116+M116),0),L116)*W116+SUMPRODUCT((Calc!$A$2:$A$1001=A116)*Calc!$G$2:$G$1001*((((K116+M116)-(L116+Calc!$J$2:$J$1001))&gt;0)*(((K116+M116)-(L116+Calc!$J$2:$J$1001))&lt;Calc!$F$2:$F$1001)*((K116+M116)-(L116+Calc!$J$2:$J$1001))+(((K116+M116)-(L116+Calc!$J$2:$J$1001))&gt;=Calc!$F$2:$F$1001)*Calc!$F$2:$F$1001))))</f>
        <v/>
      </c>
      <c r="R116">
        <f>IF(I116=0,0,(MIN(MAX((K116+N116),0),L116)*W116+SUMPRODUCT((Calc!$A$2:$A$1001=A116)*Calc!$G$2:$G$1001*((((K116+N116)-(L116+Calc!$J$2:$J$1001))&gt;0)*(((K116+N116)-(L116+Calc!$J$2:$J$1001))&lt;Calc!$F$2:$F$1001)*((K116+N116)-(L116+Calc!$J$2:$J$1001))+(((K116+N116)-(L116+Calc!$J$2:$J$1001))&gt;=Calc!$F$2:$F$1001)*Calc!$F$2:$F$1001))))</f>
        <v/>
      </c>
      <c r="S116">
        <f>IF(I116=0,0,(MIN(MAX((K116+O116),0),L116)*W116+SUMPRODUCT((Calc!$A$2:$A$1001=A116)*Calc!$G$2:$G$1001*((((K116+O116)-(L116+Calc!$J$2:$J$1001))&gt;0)*(((K116+O116)-(L116+Calc!$J$2:$J$1001))&lt;Calc!$F$2:$F$1001)*((K116+O116)-(L116+Calc!$J$2:$J$1001))+(((K116+O116)-(L116+Calc!$J$2:$J$1001))&gt;=Calc!$F$2:$F$1001)*Calc!$F$2:$F$1001))))</f>
        <v/>
      </c>
      <c r="T116">
        <f>IF(AND(E116=1,B116="RETURN"),Transactions!E116*Transactions!G116,0)</f>
        <v/>
      </c>
      <c r="U116">
        <f>IF(AND(E116=1,B116="EXPENSE"),Transactions!J116,0)</f>
        <v/>
      </c>
      <c r="V116">
        <f>IF(AND(Transactions!A116&lt;&gt;"",E116=0),ROW(),"")</f>
        <v/>
      </c>
      <c r="W116">
        <f>IFERROR(VLOOKUP(A116,Opening!$A:$D,4,0),0)</f>
        <v/>
      </c>
    </row>
    <row r="117">
      <c r="A117">
        <f>IF(Transactions!D117="","",UPPER(TRIM(Transactions!D117)))</f>
        <v/>
      </c>
      <c r="B117">
        <f>IF(Transactions!C117="","",UPPER(TRIM(Transactions!C117)))</f>
        <v/>
      </c>
      <c r="C117">
        <f>IF(Transactions!B117="",0,YEAR(Transactions!B117)*100+MONTH(Transactions!B117))</f>
        <v/>
      </c>
      <c r="D117">
        <f>IF(Transactions!A117="",1,IF(COUNTIF(Transactions!$A$1:A116,Transactions!A117)&gt;0,1,0))</f>
        <v/>
      </c>
      <c r="E117">
        <f>IF(D117=1,0,IF(B117="RETURN",IF(COUNTIFS($A$1:A116,A117,$B$1:B116,"SALE",$E$1:E116,1)&gt;0,1,0),1))</f>
        <v/>
      </c>
      <c r="F117">
        <f>IF(E117=1,IF(B117="RECEIPT",Transactions!E117,IF(AND(B117="RETURN",LOWER(TRIM(Transactions!H117))="resellable"),Transactions!E117,0)),0)</f>
        <v/>
      </c>
      <c r="G117">
        <f>IF(F117&gt;0,IF(B117="RECEIPT",Transactions!F117,IF(_xlfn.MAXIFS($H$2:H117,$A$2:A117,A117)&gt;0,INDEX(Transactions!$F:$F,_xlfn.MAXIFS($H$2:H117,$A$2:A117,A117)),W117)),0)</f>
        <v/>
      </c>
      <c r="H117">
        <f>IF(AND(E117=1,B117="RECEIPT"),ROW(),0)</f>
        <v/>
      </c>
      <c r="I117">
        <f>IF(E117=1,IF(OR(B117="SALE",B117="WRITEOFF"),Transactions!E117,0),0)</f>
        <v/>
      </c>
      <c r="J117">
        <f>SUMIFS($F$1:F116,$A$1:A116,A117)</f>
        <v/>
      </c>
      <c r="K117">
        <f>SUMIFS($I$1:I116,$A$1:A116,A117)</f>
        <v/>
      </c>
      <c r="L117">
        <f>IFERROR(VLOOKUP(A117,Opening!$A:$C,3,0),0)</f>
        <v/>
      </c>
      <c r="M117">
        <f>IF(I117=0,0,MAX(0,MIN(INDEX(Month!H$2:H$13,MATCH($A117,Month!$A$2:$A$13,0))-K117,I117)))</f>
        <v/>
      </c>
      <c r="N117">
        <f>IF(I117=0,0,MAX(0,MIN(INDEX(Month!I$2:I$13,MATCH($A117,Month!$A$2:$A$13,0))-K117,I117)))</f>
        <v/>
      </c>
      <c r="O117">
        <f>IF(I117=0,0,MAX(0,MIN(INDEX(Month!J$2:J$13,MATCH($A117,Month!$A$2:$A$13,0))-K117,I117)))</f>
        <v/>
      </c>
      <c r="P117">
        <f>IF(I117=0,0,(MIN(MAX(K117,0),L117)*W117+SUMPRODUCT((Calc!$A$2:$A$1001=A117)*Calc!$G$2:$G$1001*(((K117-(L117+Calc!$J$2:$J$1001))&gt;0)*((K117-(L117+Calc!$J$2:$J$1001))&lt;Calc!$F$2:$F$1001)*(K117-(L117+Calc!$J$2:$J$1001))+((K117-(L117+Calc!$J$2:$J$1001))&gt;=Calc!$F$2:$F$1001)*Calc!$F$2:$F$1001))))</f>
        <v/>
      </c>
      <c r="Q117">
        <f>IF(I117=0,0,(MIN(MAX((K117+M117),0),L117)*W117+SUMPRODUCT((Calc!$A$2:$A$1001=A117)*Calc!$G$2:$G$1001*((((K117+M117)-(L117+Calc!$J$2:$J$1001))&gt;0)*(((K117+M117)-(L117+Calc!$J$2:$J$1001))&lt;Calc!$F$2:$F$1001)*((K117+M117)-(L117+Calc!$J$2:$J$1001))+(((K117+M117)-(L117+Calc!$J$2:$J$1001))&gt;=Calc!$F$2:$F$1001)*Calc!$F$2:$F$1001))))</f>
        <v/>
      </c>
      <c r="R117">
        <f>IF(I117=0,0,(MIN(MAX((K117+N117),0),L117)*W117+SUMPRODUCT((Calc!$A$2:$A$1001=A117)*Calc!$G$2:$G$1001*((((K117+N117)-(L117+Calc!$J$2:$J$1001))&gt;0)*(((K117+N117)-(L117+Calc!$J$2:$J$1001))&lt;Calc!$F$2:$F$1001)*((K117+N117)-(L117+Calc!$J$2:$J$1001))+(((K117+N117)-(L117+Calc!$J$2:$J$1001))&gt;=Calc!$F$2:$F$1001)*Calc!$F$2:$F$1001))))</f>
        <v/>
      </c>
      <c r="S117">
        <f>IF(I117=0,0,(MIN(MAX((K117+O117),0),L117)*W117+SUMPRODUCT((Calc!$A$2:$A$1001=A117)*Calc!$G$2:$G$1001*((((K117+O117)-(L117+Calc!$J$2:$J$1001))&gt;0)*(((K117+O117)-(L117+Calc!$J$2:$J$1001))&lt;Calc!$F$2:$F$1001)*((K117+O117)-(L117+Calc!$J$2:$J$1001))+(((K117+O117)-(L117+Calc!$J$2:$J$1001))&gt;=Calc!$F$2:$F$1001)*Calc!$F$2:$F$1001))))</f>
        <v/>
      </c>
      <c r="T117">
        <f>IF(AND(E117=1,B117="RETURN"),Transactions!E117*Transactions!G117,0)</f>
        <v/>
      </c>
      <c r="U117">
        <f>IF(AND(E117=1,B117="EXPENSE"),Transactions!J117,0)</f>
        <v/>
      </c>
      <c r="V117">
        <f>IF(AND(Transactions!A117&lt;&gt;"",E117=0),ROW(),"")</f>
        <v/>
      </c>
      <c r="W117">
        <f>IFERROR(VLOOKUP(A117,Opening!$A:$D,4,0),0)</f>
        <v/>
      </c>
    </row>
    <row r="118">
      <c r="A118">
        <f>IF(Transactions!D118="","",UPPER(TRIM(Transactions!D118)))</f>
        <v/>
      </c>
      <c r="B118">
        <f>IF(Transactions!C118="","",UPPER(TRIM(Transactions!C118)))</f>
        <v/>
      </c>
      <c r="C118">
        <f>IF(Transactions!B118="",0,YEAR(Transactions!B118)*100+MONTH(Transactions!B118))</f>
        <v/>
      </c>
      <c r="D118">
        <f>IF(Transactions!A118="",1,IF(COUNTIF(Transactions!$A$1:A117,Transactions!A118)&gt;0,1,0))</f>
        <v/>
      </c>
      <c r="E118">
        <f>IF(D118=1,0,IF(B118="RETURN",IF(COUNTIFS($A$1:A117,A118,$B$1:B117,"SALE",$E$1:E117,1)&gt;0,1,0),1))</f>
        <v/>
      </c>
      <c r="F118">
        <f>IF(E118=1,IF(B118="RECEIPT",Transactions!E118,IF(AND(B118="RETURN",LOWER(TRIM(Transactions!H118))="resellable"),Transactions!E118,0)),0)</f>
        <v/>
      </c>
      <c r="G118">
        <f>IF(F118&gt;0,IF(B118="RECEIPT",Transactions!F118,IF(_xlfn.MAXIFS($H$2:H118,$A$2:A118,A118)&gt;0,INDEX(Transactions!$F:$F,_xlfn.MAXIFS($H$2:H118,$A$2:A118,A118)),W118)),0)</f>
        <v/>
      </c>
      <c r="H118">
        <f>IF(AND(E118=1,B118="RECEIPT"),ROW(),0)</f>
        <v/>
      </c>
      <c r="I118">
        <f>IF(E118=1,IF(OR(B118="SALE",B118="WRITEOFF"),Transactions!E118,0),0)</f>
        <v/>
      </c>
      <c r="J118">
        <f>SUMIFS($F$1:F117,$A$1:A117,A118)</f>
        <v/>
      </c>
      <c r="K118">
        <f>SUMIFS($I$1:I117,$A$1:A117,A118)</f>
        <v/>
      </c>
      <c r="L118">
        <f>IFERROR(VLOOKUP(A118,Opening!$A:$C,3,0),0)</f>
        <v/>
      </c>
      <c r="M118">
        <f>IF(I118=0,0,MAX(0,MIN(INDEX(Month!H$2:H$13,MATCH($A118,Month!$A$2:$A$13,0))-K118,I118)))</f>
        <v/>
      </c>
      <c r="N118">
        <f>IF(I118=0,0,MAX(0,MIN(INDEX(Month!I$2:I$13,MATCH($A118,Month!$A$2:$A$13,0))-K118,I118)))</f>
        <v/>
      </c>
      <c r="O118">
        <f>IF(I118=0,0,MAX(0,MIN(INDEX(Month!J$2:J$13,MATCH($A118,Month!$A$2:$A$13,0))-K118,I118)))</f>
        <v/>
      </c>
      <c r="P118">
        <f>IF(I118=0,0,(MIN(MAX(K118,0),L118)*W118+SUMPRODUCT((Calc!$A$2:$A$1001=A118)*Calc!$G$2:$G$1001*(((K118-(L118+Calc!$J$2:$J$1001))&gt;0)*((K118-(L118+Calc!$J$2:$J$1001))&lt;Calc!$F$2:$F$1001)*(K118-(L118+Calc!$J$2:$J$1001))+((K118-(L118+Calc!$J$2:$J$1001))&gt;=Calc!$F$2:$F$1001)*Calc!$F$2:$F$1001))))</f>
        <v/>
      </c>
      <c r="Q118">
        <f>IF(I118=0,0,(MIN(MAX((K118+M118),0),L118)*W118+SUMPRODUCT((Calc!$A$2:$A$1001=A118)*Calc!$G$2:$G$1001*((((K118+M118)-(L118+Calc!$J$2:$J$1001))&gt;0)*(((K118+M118)-(L118+Calc!$J$2:$J$1001))&lt;Calc!$F$2:$F$1001)*((K118+M118)-(L118+Calc!$J$2:$J$1001))+(((K118+M118)-(L118+Calc!$J$2:$J$1001))&gt;=Calc!$F$2:$F$1001)*Calc!$F$2:$F$1001))))</f>
        <v/>
      </c>
      <c r="R118">
        <f>IF(I118=0,0,(MIN(MAX((K118+N118),0),L118)*W118+SUMPRODUCT((Calc!$A$2:$A$1001=A118)*Calc!$G$2:$G$1001*((((K118+N118)-(L118+Calc!$J$2:$J$1001))&gt;0)*(((K118+N118)-(L118+Calc!$J$2:$J$1001))&lt;Calc!$F$2:$F$1001)*((K118+N118)-(L118+Calc!$J$2:$J$1001))+(((K118+N118)-(L118+Calc!$J$2:$J$1001))&gt;=Calc!$F$2:$F$1001)*Calc!$F$2:$F$1001))))</f>
        <v/>
      </c>
      <c r="S118">
        <f>IF(I118=0,0,(MIN(MAX((K118+O118),0),L118)*W118+SUMPRODUCT((Calc!$A$2:$A$1001=A118)*Calc!$G$2:$G$1001*((((K118+O118)-(L118+Calc!$J$2:$J$1001))&gt;0)*(((K118+O118)-(L118+Calc!$J$2:$J$1001))&lt;Calc!$F$2:$F$1001)*((K118+O118)-(L118+Calc!$J$2:$J$1001))+(((K118+O118)-(L118+Calc!$J$2:$J$1001))&gt;=Calc!$F$2:$F$1001)*Calc!$F$2:$F$1001))))</f>
        <v/>
      </c>
      <c r="T118">
        <f>IF(AND(E118=1,B118="RETURN"),Transactions!E118*Transactions!G118,0)</f>
        <v/>
      </c>
      <c r="U118">
        <f>IF(AND(E118=1,B118="EXPENSE"),Transactions!J118,0)</f>
        <v/>
      </c>
      <c r="V118">
        <f>IF(AND(Transactions!A118&lt;&gt;"",E118=0),ROW(),"")</f>
        <v/>
      </c>
      <c r="W118">
        <f>IFERROR(VLOOKUP(A118,Opening!$A:$D,4,0),0)</f>
        <v/>
      </c>
    </row>
    <row r="119">
      <c r="A119">
        <f>IF(Transactions!D119="","",UPPER(TRIM(Transactions!D119)))</f>
        <v/>
      </c>
      <c r="B119">
        <f>IF(Transactions!C119="","",UPPER(TRIM(Transactions!C119)))</f>
        <v/>
      </c>
      <c r="C119">
        <f>IF(Transactions!B119="",0,YEAR(Transactions!B119)*100+MONTH(Transactions!B119))</f>
        <v/>
      </c>
      <c r="D119">
        <f>IF(Transactions!A119="",1,IF(COUNTIF(Transactions!$A$1:A118,Transactions!A119)&gt;0,1,0))</f>
        <v/>
      </c>
      <c r="E119">
        <f>IF(D119=1,0,IF(B119="RETURN",IF(COUNTIFS($A$1:A118,A119,$B$1:B118,"SALE",$E$1:E118,1)&gt;0,1,0),1))</f>
        <v/>
      </c>
      <c r="F119">
        <f>IF(E119=1,IF(B119="RECEIPT",Transactions!E119,IF(AND(B119="RETURN",LOWER(TRIM(Transactions!H119))="resellable"),Transactions!E119,0)),0)</f>
        <v/>
      </c>
      <c r="G119">
        <f>IF(F119&gt;0,IF(B119="RECEIPT",Transactions!F119,IF(_xlfn.MAXIFS($H$2:H119,$A$2:A119,A119)&gt;0,INDEX(Transactions!$F:$F,_xlfn.MAXIFS($H$2:H119,$A$2:A119,A119)),W119)),0)</f>
        <v/>
      </c>
      <c r="H119">
        <f>IF(AND(E119=1,B119="RECEIPT"),ROW(),0)</f>
        <v/>
      </c>
      <c r="I119">
        <f>IF(E119=1,IF(OR(B119="SALE",B119="WRITEOFF"),Transactions!E119,0),0)</f>
        <v/>
      </c>
      <c r="J119">
        <f>SUMIFS($F$1:F118,$A$1:A118,A119)</f>
        <v/>
      </c>
      <c r="K119">
        <f>SUMIFS($I$1:I118,$A$1:A118,A119)</f>
        <v/>
      </c>
      <c r="L119">
        <f>IFERROR(VLOOKUP(A119,Opening!$A:$C,3,0),0)</f>
        <v/>
      </c>
      <c r="M119">
        <f>IF(I119=0,0,MAX(0,MIN(INDEX(Month!H$2:H$13,MATCH($A119,Month!$A$2:$A$13,0))-K119,I119)))</f>
        <v/>
      </c>
      <c r="N119">
        <f>IF(I119=0,0,MAX(0,MIN(INDEX(Month!I$2:I$13,MATCH($A119,Month!$A$2:$A$13,0))-K119,I119)))</f>
        <v/>
      </c>
      <c r="O119">
        <f>IF(I119=0,0,MAX(0,MIN(INDEX(Month!J$2:J$13,MATCH($A119,Month!$A$2:$A$13,0))-K119,I119)))</f>
        <v/>
      </c>
      <c r="P119">
        <f>IF(I119=0,0,(MIN(MAX(K119,0),L119)*W119+SUMPRODUCT((Calc!$A$2:$A$1001=A119)*Calc!$G$2:$G$1001*(((K119-(L119+Calc!$J$2:$J$1001))&gt;0)*((K119-(L119+Calc!$J$2:$J$1001))&lt;Calc!$F$2:$F$1001)*(K119-(L119+Calc!$J$2:$J$1001))+((K119-(L119+Calc!$J$2:$J$1001))&gt;=Calc!$F$2:$F$1001)*Calc!$F$2:$F$1001))))</f>
        <v/>
      </c>
      <c r="Q119">
        <f>IF(I119=0,0,(MIN(MAX((K119+M119),0),L119)*W119+SUMPRODUCT((Calc!$A$2:$A$1001=A119)*Calc!$G$2:$G$1001*((((K119+M119)-(L119+Calc!$J$2:$J$1001))&gt;0)*(((K119+M119)-(L119+Calc!$J$2:$J$1001))&lt;Calc!$F$2:$F$1001)*((K119+M119)-(L119+Calc!$J$2:$J$1001))+(((K119+M119)-(L119+Calc!$J$2:$J$1001))&gt;=Calc!$F$2:$F$1001)*Calc!$F$2:$F$1001))))</f>
        <v/>
      </c>
      <c r="R119">
        <f>IF(I119=0,0,(MIN(MAX((K119+N119),0),L119)*W119+SUMPRODUCT((Calc!$A$2:$A$1001=A119)*Calc!$G$2:$G$1001*((((K119+N119)-(L119+Calc!$J$2:$J$1001))&gt;0)*(((K119+N119)-(L119+Calc!$J$2:$J$1001))&lt;Calc!$F$2:$F$1001)*((K119+N119)-(L119+Calc!$J$2:$J$1001))+(((K119+N119)-(L119+Calc!$J$2:$J$1001))&gt;=Calc!$F$2:$F$1001)*Calc!$F$2:$F$1001))))</f>
        <v/>
      </c>
      <c r="S119">
        <f>IF(I119=0,0,(MIN(MAX((K119+O119),0),L119)*W119+SUMPRODUCT((Calc!$A$2:$A$1001=A119)*Calc!$G$2:$G$1001*((((K119+O119)-(L119+Calc!$J$2:$J$1001))&gt;0)*(((K119+O119)-(L119+Calc!$J$2:$J$1001))&lt;Calc!$F$2:$F$1001)*((K119+O119)-(L119+Calc!$J$2:$J$1001))+(((K119+O119)-(L119+Calc!$J$2:$J$1001))&gt;=Calc!$F$2:$F$1001)*Calc!$F$2:$F$1001))))</f>
        <v/>
      </c>
      <c r="T119">
        <f>IF(AND(E119=1,B119="RETURN"),Transactions!E119*Transactions!G119,0)</f>
        <v/>
      </c>
      <c r="U119">
        <f>IF(AND(E119=1,B119="EXPENSE"),Transactions!J119,0)</f>
        <v/>
      </c>
      <c r="V119">
        <f>IF(AND(Transactions!A119&lt;&gt;"",E119=0),ROW(),"")</f>
        <v/>
      </c>
      <c r="W119">
        <f>IFERROR(VLOOKUP(A119,Opening!$A:$D,4,0),0)</f>
        <v/>
      </c>
    </row>
    <row r="120">
      <c r="A120">
        <f>IF(Transactions!D120="","",UPPER(TRIM(Transactions!D120)))</f>
        <v/>
      </c>
      <c r="B120">
        <f>IF(Transactions!C120="","",UPPER(TRIM(Transactions!C120)))</f>
        <v/>
      </c>
      <c r="C120">
        <f>IF(Transactions!B120="",0,YEAR(Transactions!B120)*100+MONTH(Transactions!B120))</f>
        <v/>
      </c>
      <c r="D120">
        <f>IF(Transactions!A120="",1,IF(COUNTIF(Transactions!$A$1:A119,Transactions!A120)&gt;0,1,0))</f>
        <v/>
      </c>
      <c r="E120">
        <f>IF(D120=1,0,IF(B120="RETURN",IF(COUNTIFS($A$1:A119,A120,$B$1:B119,"SALE",$E$1:E119,1)&gt;0,1,0),1))</f>
        <v/>
      </c>
      <c r="F120">
        <f>IF(E120=1,IF(B120="RECEIPT",Transactions!E120,IF(AND(B120="RETURN",LOWER(TRIM(Transactions!H120))="resellable"),Transactions!E120,0)),0)</f>
        <v/>
      </c>
      <c r="G120">
        <f>IF(F120&gt;0,IF(B120="RECEIPT",Transactions!F120,IF(_xlfn.MAXIFS($H$2:H120,$A$2:A120,A120)&gt;0,INDEX(Transactions!$F:$F,_xlfn.MAXIFS($H$2:H120,$A$2:A120,A120)),W120)),0)</f>
        <v/>
      </c>
      <c r="H120">
        <f>IF(AND(E120=1,B120="RECEIPT"),ROW(),0)</f>
        <v/>
      </c>
      <c r="I120">
        <f>IF(E120=1,IF(OR(B120="SALE",B120="WRITEOFF"),Transactions!E120,0),0)</f>
        <v/>
      </c>
      <c r="J120">
        <f>SUMIFS($F$1:F119,$A$1:A119,A120)</f>
        <v/>
      </c>
      <c r="K120">
        <f>SUMIFS($I$1:I119,$A$1:A119,A120)</f>
        <v/>
      </c>
      <c r="L120">
        <f>IFERROR(VLOOKUP(A120,Opening!$A:$C,3,0),0)</f>
        <v/>
      </c>
      <c r="M120">
        <f>IF(I120=0,0,MAX(0,MIN(INDEX(Month!H$2:H$13,MATCH($A120,Month!$A$2:$A$13,0))-K120,I120)))</f>
        <v/>
      </c>
      <c r="N120">
        <f>IF(I120=0,0,MAX(0,MIN(INDEX(Month!I$2:I$13,MATCH($A120,Month!$A$2:$A$13,0))-K120,I120)))</f>
        <v/>
      </c>
      <c r="O120">
        <f>IF(I120=0,0,MAX(0,MIN(INDEX(Month!J$2:J$13,MATCH($A120,Month!$A$2:$A$13,0))-K120,I120)))</f>
        <v/>
      </c>
      <c r="P120">
        <f>IF(I120=0,0,(MIN(MAX(K120,0),L120)*W120+SUMPRODUCT((Calc!$A$2:$A$1001=A120)*Calc!$G$2:$G$1001*(((K120-(L120+Calc!$J$2:$J$1001))&gt;0)*((K120-(L120+Calc!$J$2:$J$1001))&lt;Calc!$F$2:$F$1001)*(K120-(L120+Calc!$J$2:$J$1001))+((K120-(L120+Calc!$J$2:$J$1001))&gt;=Calc!$F$2:$F$1001)*Calc!$F$2:$F$1001))))</f>
        <v/>
      </c>
      <c r="Q120">
        <f>IF(I120=0,0,(MIN(MAX((K120+M120),0),L120)*W120+SUMPRODUCT((Calc!$A$2:$A$1001=A120)*Calc!$G$2:$G$1001*((((K120+M120)-(L120+Calc!$J$2:$J$1001))&gt;0)*(((K120+M120)-(L120+Calc!$J$2:$J$1001))&lt;Calc!$F$2:$F$1001)*((K120+M120)-(L120+Calc!$J$2:$J$1001))+(((K120+M120)-(L120+Calc!$J$2:$J$1001))&gt;=Calc!$F$2:$F$1001)*Calc!$F$2:$F$1001))))</f>
        <v/>
      </c>
      <c r="R120">
        <f>IF(I120=0,0,(MIN(MAX((K120+N120),0),L120)*W120+SUMPRODUCT((Calc!$A$2:$A$1001=A120)*Calc!$G$2:$G$1001*((((K120+N120)-(L120+Calc!$J$2:$J$1001))&gt;0)*(((K120+N120)-(L120+Calc!$J$2:$J$1001))&lt;Calc!$F$2:$F$1001)*((K120+N120)-(L120+Calc!$J$2:$J$1001))+(((K120+N120)-(L120+Calc!$J$2:$J$1001))&gt;=Calc!$F$2:$F$1001)*Calc!$F$2:$F$1001))))</f>
        <v/>
      </c>
      <c r="S120">
        <f>IF(I120=0,0,(MIN(MAX((K120+O120),0),L120)*W120+SUMPRODUCT((Calc!$A$2:$A$1001=A120)*Calc!$G$2:$G$1001*((((K120+O120)-(L120+Calc!$J$2:$J$1001))&gt;0)*(((K120+O120)-(L120+Calc!$J$2:$J$1001))&lt;Calc!$F$2:$F$1001)*((K120+O120)-(L120+Calc!$J$2:$J$1001))+(((K120+O120)-(L120+Calc!$J$2:$J$1001))&gt;=Calc!$F$2:$F$1001)*Calc!$F$2:$F$1001))))</f>
        <v/>
      </c>
      <c r="T120">
        <f>IF(AND(E120=1,B120="RETURN"),Transactions!E120*Transactions!G120,0)</f>
        <v/>
      </c>
      <c r="U120">
        <f>IF(AND(E120=1,B120="EXPENSE"),Transactions!J120,0)</f>
        <v/>
      </c>
      <c r="V120">
        <f>IF(AND(Transactions!A120&lt;&gt;"",E120=0),ROW(),"")</f>
        <v/>
      </c>
      <c r="W120">
        <f>IFERROR(VLOOKUP(A120,Opening!$A:$D,4,0),0)</f>
        <v/>
      </c>
    </row>
    <row r="121">
      <c r="A121">
        <f>IF(Transactions!D121="","",UPPER(TRIM(Transactions!D121)))</f>
        <v/>
      </c>
      <c r="B121">
        <f>IF(Transactions!C121="","",UPPER(TRIM(Transactions!C121)))</f>
        <v/>
      </c>
      <c r="C121">
        <f>IF(Transactions!B121="",0,YEAR(Transactions!B121)*100+MONTH(Transactions!B121))</f>
        <v/>
      </c>
      <c r="D121">
        <f>IF(Transactions!A121="",1,IF(COUNTIF(Transactions!$A$1:A120,Transactions!A121)&gt;0,1,0))</f>
        <v/>
      </c>
      <c r="E121">
        <f>IF(D121=1,0,IF(B121="RETURN",IF(COUNTIFS($A$1:A120,A121,$B$1:B120,"SALE",$E$1:E120,1)&gt;0,1,0),1))</f>
        <v/>
      </c>
      <c r="F121">
        <f>IF(E121=1,IF(B121="RECEIPT",Transactions!E121,IF(AND(B121="RETURN",LOWER(TRIM(Transactions!H121))="resellable"),Transactions!E121,0)),0)</f>
        <v/>
      </c>
      <c r="G121">
        <f>IF(F121&gt;0,IF(B121="RECEIPT",Transactions!F121,IF(_xlfn.MAXIFS($H$2:H121,$A$2:A121,A121)&gt;0,INDEX(Transactions!$F:$F,_xlfn.MAXIFS($H$2:H121,$A$2:A121,A121)),W121)),0)</f>
        <v/>
      </c>
      <c r="H121">
        <f>IF(AND(E121=1,B121="RECEIPT"),ROW(),0)</f>
        <v/>
      </c>
      <c r="I121">
        <f>IF(E121=1,IF(OR(B121="SALE",B121="WRITEOFF"),Transactions!E121,0),0)</f>
        <v/>
      </c>
      <c r="J121">
        <f>SUMIFS($F$1:F120,$A$1:A120,A121)</f>
        <v/>
      </c>
      <c r="K121">
        <f>SUMIFS($I$1:I120,$A$1:A120,A121)</f>
        <v/>
      </c>
      <c r="L121">
        <f>IFERROR(VLOOKUP(A121,Opening!$A:$C,3,0),0)</f>
        <v/>
      </c>
      <c r="M121">
        <f>IF(I121=0,0,MAX(0,MIN(INDEX(Month!H$2:H$13,MATCH($A121,Month!$A$2:$A$13,0))-K121,I121)))</f>
        <v/>
      </c>
      <c r="N121">
        <f>IF(I121=0,0,MAX(0,MIN(INDEX(Month!I$2:I$13,MATCH($A121,Month!$A$2:$A$13,0))-K121,I121)))</f>
        <v/>
      </c>
      <c r="O121">
        <f>IF(I121=0,0,MAX(0,MIN(INDEX(Month!J$2:J$13,MATCH($A121,Month!$A$2:$A$13,0))-K121,I121)))</f>
        <v/>
      </c>
      <c r="P121">
        <f>IF(I121=0,0,(MIN(MAX(K121,0),L121)*W121+SUMPRODUCT((Calc!$A$2:$A$1001=A121)*Calc!$G$2:$G$1001*(((K121-(L121+Calc!$J$2:$J$1001))&gt;0)*((K121-(L121+Calc!$J$2:$J$1001))&lt;Calc!$F$2:$F$1001)*(K121-(L121+Calc!$J$2:$J$1001))+((K121-(L121+Calc!$J$2:$J$1001))&gt;=Calc!$F$2:$F$1001)*Calc!$F$2:$F$1001))))</f>
        <v/>
      </c>
      <c r="Q121">
        <f>IF(I121=0,0,(MIN(MAX((K121+M121),0),L121)*W121+SUMPRODUCT((Calc!$A$2:$A$1001=A121)*Calc!$G$2:$G$1001*((((K121+M121)-(L121+Calc!$J$2:$J$1001))&gt;0)*(((K121+M121)-(L121+Calc!$J$2:$J$1001))&lt;Calc!$F$2:$F$1001)*((K121+M121)-(L121+Calc!$J$2:$J$1001))+(((K121+M121)-(L121+Calc!$J$2:$J$1001))&gt;=Calc!$F$2:$F$1001)*Calc!$F$2:$F$1001))))</f>
        <v/>
      </c>
      <c r="R121">
        <f>IF(I121=0,0,(MIN(MAX((K121+N121),0),L121)*W121+SUMPRODUCT((Calc!$A$2:$A$1001=A121)*Calc!$G$2:$G$1001*((((K121+N121)-(L121+Calc!$J$2:$J$1001))&gt;0)*(((K121+N121)-(L121+Calc!$J$2:$J$1001))&lt;Calc!$F$2:$F$1001)*((K121+N121)-(L121+Calc!$J$2:$J$1001))+(((K121+N121)-(L121+Calc!$J$2:$J$1001))&gt;=Calc!$F$2:$F$1001)*Calc!$F$2:$F$1001))))</f>
        <v/>
      </c>
      <c r="S121">
        <f>IF(I121=0,0,(MIN(MAX((K121+O121),0),L121)*W121+SUMPRODUCT((Calc!$A$2:$A$1001=A121)*Calc!$G$2:$G$1001*((((K121+O121)-(L121+Calc!$J$2:$J$1001))&gt;0)*(((K121+O121)-(L121+Calc!$J$2:$J$1001))&lt;Calc!$F$2:$F$1001)*((K121+O121)-(L121+Calc!$J$2:$J$1001))+(((K121+O121)-(L121+Calc!$J$2:$J$1001))&gt;=Calc!$F$2:$F$1001)*Calc!$F$2:$F$1001))))</f>
        <v/>
      </c>
      <c r="T121">
        <f>IF(AND(E121=1,B121="RETURN"),Transactions!E121*Transactions!G121,0)</f>
        <v/>
      </c>
      <c r="U121">
        <f>IF(AND(E121=1,B121="EXPENSE"),Transactions!J121,0)</f>
        <v/>
      </c>
      <c r="V121">
        <f>IF(AND(Transactions!A121&lt;&gt;"",E121=0),ROW(),"")</f>
        <v/>
      </c>
      <c r="W121">
        <f>IFERROR(VLOOKUP(A121,Opening!$A:$D,4,0),0)</f>
        <v/>
      </c>
    </row>
    <row r="122">
      <c r="A122">
        <f>IF(Transactions!D122="","",UPPER(TRIM(Transactions!D122)))</f>
        <v/>
      </c>
      <c r="B122">
        <f>IF(Transactions!C122="","",UPPER(TRIM(Transactions!C122)))</f>
        <v/>
      </c>
      <c r="C122">
        <f>IF(Transactions!B122="",0,YEAR(Transactions!B122)*100+MONTH(Transactions!B122))</f>
        <v/>
      </c>
      <c r="D122">
        <f>IF(Transactions!A122="",1,IF(COUNTIF(Transactions!$A$1:A121,Transactions!A122)&gt;0,1,0))</f>
        <v/>
      </c>
      <c r="E122">
        <f>IF(D122=1,0,IF(B122="RETURN",IF(COUNTIFS($A$1:A121,A122,$B$1:B121,"SALE",$E$1:E121,1)&gt;0,1,0),1))</f>
        <v/>
      </c>
      <c r="F122">
        <f>IF(E122=1,IF(B122="RECEIPT",Transactions!E122,IF(AND(B122="RETURN",LOWER(TRIM(Transactions!H122))="resellable"),Transactions!E122,0)),0)</f>
        <v/>
      </c>
      <c r="G122">
        <f>IF(F122&gt;0,IF(B122="RECEIPT",Transactions!F122,IF(_xlfn.MAXIFS($H$2:H122,$A$2:A122,A122)&gt;0,INDEX(Transactions!$F:$F,_xlfn.MAXIFS($H$2:H122,$A$2:A122,A122)),W122)),0)</f>
        <v/>
      </c>
      <c r="H122">
        <f>IF(AND(E122=1,B122="RECEIPT"),ROW(),0)</f>
        <v/>
      </c>
      <c r="I122">
        <f>IF(E122=1,IF(OR(B122="SALE",B122="WRITEOFF"),Transactions!E122,0),0)</f>
        <v/>
      </c>
      <c r="J122">
        <f>SUMIFS($F$1:F121,$A$1:A121,A122)</f>
        <v/>
      </c>
      <c r="K122">
        <f>SUMIFS($I$1:I121,$A$1:A121,A122)</f>
        <v/>
      </c>
      <c r="L122">
        <f>IFERROR(VLOOKUP(A122,Opening!$A:$C,3,0),0)</f>
        <v/>
      </c>
      <c r="M122">
        <f>IF(I122=0,0,MAX(0,MIN(INDEX(Month!H$2:H$13,MATCH($A122,Month!$A$2:$A$13,0))-K122,I122)))</f>
        <v/>
      </c>
      <c r="N122">
        <f>IF(I122=0,0,MAX(0,MIN(INDEX(Month!I$2:I$13,MATCH($A122,Month!$A$2:$A$13,0))-K122,I122)))</f>
        <v/>
      </c>
      <c r="O122">
        <f>IF(I122=0,0,MAX(0,MIN(INDEX(Month!J$2:J$13,MATCH($A122,Month!$A$2:$A$13,0))-K122,I122)))</f>
        <v/>
      </c>
      <c r="P122">
        <f>IF(I122=0,0,(MIN(MAX(K122,0),L122)*W122+SUMPRODUCT((Calc!$A$2:$A$1001=A122)*Calc!$G$2:$G$1001*(((K122-(L122+Calc!$J$2:$J$1001))&gt;0)*((K122-(L122+Calc!$J$2:$J$1001))&lt;Calc!$F$2:$F$1001)*(K122-(L122+Calc!$J$2:$J$1001))+((K122-(L122+Calc!$J$2:$J$1001))&gt;=Calc!$F$2:$F$1001)*Calc!$F$2:$F$1001))))</f>
        <v/>
      </c>
      <c r="Q122">
        <f>IF(I122=0,0,(MIN(MAX((K122+M122),0),L122)*W122+SUMPRODUCT((Calc!$A$2:$A$1001=A122)*Calc!$G$2:$G$1001*((((K122+M122)-(L122+Calc!$J$2:$J$1001))&gt;0)*(((K122+M122)-(L122+Calc!$J$2:$J$1001))&lt;Calc!$F$2:$F$1001)*((K122+M122)-(L122+Calc!$J$2:$J$1001))+(((K122+M122)-(L122+Calc!$J$2:$J$1001))&gt;=Calc!$F$2:$F$1001)*Calc!$F$2:$F$1001))))</f>
        <v/>
      </c>
      <c r="R122">
        <f>IF(I122=0,0,(MIN(MAX((K122+N122),0),L122)*W122+SUMPRODUCT((Calc!$A$2:$A$1001=A122)*Calc!$G$2:$G$1001*((((K122+N122)-(L122+Calc!$J$2:$J$1001))&gt;0)*(((K122+N122)-(L122+Calc!$J$2:$J$1001))&lt;Calc!$F$2:$F$1001)*((K122+N122)-(L122+Calc!$J$2:$J$1001))+(((K122+N122)-(L122+Calc!$J$2:$J$1001))&gt;=Calc!$F$2:$F$1001)*Calc!$F$2:$F$1001))))</f>
        <v/>
      </c>
      <c r="S122">
        <f>IF(I122=0,0,(MIN(MAX((K122+O122),0),L122)*W122+SUMPRODUCT((Calc!$A$2:$A$1001=A122)*Calc!$G$2:$G$1001*((((K122+O122)-(L122+Calc!$J$2:$J$1001))&gt;0)*(((K122+O122)-(L122+Calc!$J$2:$J$1001))&lt;Calc!$F$2:$F$1001)*((K122+O122)-(L122+Calc!$J$2:$J$1001))+(((K122+O122)-(L122+Calc!$J$2:$J$1001))&gt;=Calc!$F$2:$F$1001)*Calc!$F$2:$F$1001))))</f>
        <v/>
      </c>
      <c r="T122">
        <f>IF(AND(E122=1,B122="RETURN"),Transactions!E122*Transactions!G122,0)</f>
        <v/>
      </c>
      <c r="U122">
        <f>IF(AND(E122=1,B122="EXPENSE"),Transactions!J122,0)</f>
        <v/>
      </c>
      <c r="V122">
        <f>IF(AND(Transactions!A122&lt;&gt;"",E122=0),ROW(),"")</f>
        <v/>
      </c>
      <c r="W122">
        <f>IFERROR(VLOOKUP(A122,Opening!$A:$D,4,0),0)</f>
        <v/>
      </c>
    </row>
    <row r="123">
      <c r="A123">
        <f>IF(Transactions!D123="","",UPPER(TRIM(Transactions!D123)))</f>
        <v/>
      </c>
      <c r="B123">
        <f>IF(Transactions!C123="","",UPPER(TRIM(Transactions!C123)))</f>
        <v/>
      </c>
      <c r="C123">
        <f>IF(Transactions!B123="",0,YEAR(Transactions!B123)*100+MONTH(Transactions!B123))</f>
        <v/>
      </c>
      <c r="D123">
        <f>IF(Transactions!A123="",1,IF(COUNTIF(Transactions!$A$1:A122,Transactions!A123)&gt;0,1,0))</f>
        <v/>
      </c>
      <c r="E123">
        <f>IF(D123=1,0,IF(B123="RETURN",IF(COUNTIFS($A$1:A122,A123,$B$1:B122,"SALE",$E$1:E122,1)&gt;0,1,0),1))</f>
        <v/>
      </c>
      <c r="F123">
        <f>IF(E123=1,IF(B123="RECEIPT",Transactions!E123,IF(AND(B123="RETURN",LOWER(TRIM(Transactions!H123))="resellable"),Transactions!E123,0)),0)</f>
        <v/>
      </c>
      <c r="G123">
        <f>IF(F123&gt;0,IF(B123="RECEIPT",Transactions!F123,IF(_xlfn.MAXIFS($H$2:H123,$A$2:A123,A123)&gt;0,INDEX(Transactions!$F:$F,_xlfn.MAXIFS($H$2:H123,$A$2:A123,A123)),W123)),0)</f>
        <v/>
      </c>
      <c r="H123">
        <f>IF(AND(E123=1,B123="RECEIPT"),ROW(),0)</f>
        <v/>
      </c>
      <c r="I123">
        <f>IF(E123=1,IF(OR(B123="SALE",B123="WRITEOFF"),Transactions!E123,0),0)</f>
        <v/>
      </c>
      <c r="J123">
        <f>SUMIFS($F$1:F122,$A$1:A122,A123)</f>
        <v/>
      </c>
      <c r="K123">
        <f>SUMIFS($I$1:I122,$A$1:A122,A123)</f>
        <v/>
      </c>
      <c r="L123">
        <f>IFERROR(VLOOKUP(A123,Opening!$A:$C,3,0),0)</f>
        <v/>
      </c>
      <c r="M123">
        <f>IF(I123=0,0,MAX(0,MIN(INDEX(Month!H$2:H$13,MATCH($A123,Month!$A$2:$A$13,0))-K123,I123)))</f>
        <v/>
      </c>
      <c r="N123">
        <f>IF(I123=0,0,MAX(0,MIN(INDEX(Month!I$2:I$13,MATCH($A123,Month!$A$2:$A$13,0))-K123,I123)))</f>
        <v/>
      </c>
      <c r="O123">
        <f>IF(I123=0,0,MAX(0,MIN(INDEX(Month!J$2:J$13,MATCH($A123,Month!$A$2:$A$13,0))-K123,I123)))</f>
        <v/>
      </c>
      <c r="P123">
        <f>IF(I123=0,0,(MIN(MAX(K123,0),L123)*W123+SUMPRODUCT((Calc!$A$2:$A$1001=A123)*Calc!$G$2:$G$1001*(((K123-(L123+Calc!$J$2:$J$1001))&gt;0)*((K123-(L123+Calc!$J$2:$J$1001))&lt;Calc!$F$2:$F$1001)*(K123-(L123+Calc!$J$2:$J$1001))+((K123-(L123+Calc!$J$2:$J$1001))&gt;=Calc!$F$2:$F$1001)*Calc!$F$2:$F$1001))))</f>
        <v/>
      </c>
      <c r="Q123">
        <f>IF(I123=0,0,(MIN(MAX((K123+M123),0),L123)*W123+SUMPRODUCT((Calc!$A$2:$A$1001=A123)*Calc!$G$2:$G$1001*((((K123+M123)-(L123+Calc!$J$2:$J$1001))&gt;0)*(((K123+M123)-(L123+Calc!$J$2:$J$1001))&lt;Calc!$F$2:$F$1001)*((K123+M123)-(L123+Calc!$J$2:$J$1001))+(((K123+M123)-(L123+Calc!$J$2:$J$1001))&gt;=Calc!$F$2:$F$1001)*Calc!$F$2:$F$1001))))</f>
        <v/>
      </c>
      <c r="R123">
        <f>IF(I123=0,0,(MIN(MAX((K123+N123),0),L123)*W123+SUMPRODUCT((Calc!$A$2:$A$1001=A123)*Calc!$G$2:$G$1001*((((K123+N123)-(L123+Calc!$J$2:$J$1001))&gt;0)*(((K123+N123)-(L123+Calc!$J$2:$J$1001))&lt;Calc!$F$2:$F$1001)*((K123+N123)-(L123+Calc!$J$2:$J$1001))+(((K123+N123)-(L123+Calc!$J$2:$J$1001))&gt;=Calc!$F$2:$F$1001)*Calc!$F$2:$F$1001))))</f>
        <v/>
      </c>
      <c r="S123">
        <f>IF(I123=0,0,(MIN(MAX((K123+O123),0),L123)*W123+SUMPRODUCT((Calc!$A$2:$A$1001=A123)*Calc!$G$2:$G$1001*((((K123+O123)-(L123+Calc!$J$2:$J$1001))&gt;0)*(((K123+O123)-(L123+Calc!$J$2:$J$1001))&lt;Calc!$F$2:$F$1001)*((K123+O123)-(L123+Calc!$J$2:$J$1001))+(((K123+O123)-(L123+Calc!$J$2:$J$1001))&gt;=Calc!$F$2:$F$1001)*Calc!$F$2:$F$1001))))</f>
        <v/>
      </c>
      <c r="T123">
        <f>IF(AND(E123=1,B123="RETURN"),Transactions!E123*Transactions!G123,0)</f>
        <v/>
      </c>
      <c r="U123">
        <f>IF(AND(E123=1,B123="EXPENSE"),Transactions!J123,0)</f>
        <v/>
      </c>
      <c r="V123">
        <f>IF(AND(Transactions!A123&lt;&gt;"",E123=0),ROW(),"")</f>
        <v/>
      </c>
      <c r="W123">
        <f>IFERROR(VLOOKUP(A123,Opening!$A:$D,4,0),0)</f>
        <v/>
      </c>
    </row>
    <row r="124">
      <c r="A124">
        <f>IF(Transactions!D124="","",UPPER(TRIM(Transactions!D124)))</f>
        <v/>
      </c>
      <c r="B124">
        <f>IF(Transactions!C124="","",UPPER(TRIM(Transactions!C124)))</f>
        <v/>
      </c>
      <c r="C124">
        <f>IF(Transactions!B124="",0,YEAR(Transactions!B124)*100+MONTH(Transactions!B124))</f>
        <v/>
      </c>
      <c r="D124">
        <f>IF(Transactions!A124="",1,IF(COUNTIF(Transactions!$A$1:A123,Transactions!A124)&gt;0,1,0))</f>
        <v/>
      </c>
      <c r="E124">
        <f>IF(D124=1,0,IF(B124="RETURN",IF(COUNTIFS($A$1:A123,A124,$B$1:B123,"SALE",$E$1:E123,1)&gt;0,1,0),1))</f>
        <v/>
      </c>
      <c r="F124">
        <f>IF(E124=1,IF(B124="RECEIPT",Transactions!E124,IF(AND(B124="RETURN",LOWER(TRIM(Transactions!H124))="resellable"),Transactions!E124,0)),0)</f>
        <v/>
      </c>
      <c r="G124">
        <f>IF(F124&gt;0,IF(B124="RECEIPT",Transactions!F124,IF(_xlfn.MAXIFS($H$2:H124,$A$2:A124,A124)&gt;0,INDEX(Transactions!$F:$F,_xlfn.MAXIFS($H$2:H124,$A$2:A124,A124)),W124)),0)</f>
        <v/>
      </c>
      <c r="H124">
        <f>IF(AND(E124=1,B124="RECEIPT"),ROW(),0)</f>
        <v/>
      </c>
      <c r="I124">
        <f>IF(E124=1,IF(OR(B124="SALE",B124="WRITEOFF"),Transactions!E124,0),0)</f>
        <v/>
      </c>
      <c r="J124">
        <f>SUMIFS($F$1:F123,$A$1:A123,A124)</f>
        <v/>
      </c>
      <c r="K124">
        <f>SUMIFS($I$1:I123,$A$1:A123,A124)</f>
        <v/>
      </c>
      <c r="L124">
        <f>IFERROR(VLOOKUP(A124,Opening!$A:$C,3,0),0)</f>
        <v/>
      </c>
      <c r="M124">
        <f>IF(I124=0,0,MAX(0,MIN(INDEX(Month!H$2:H$13,MATCH($A124,Month!$A$2:$A$13,0))-K124,I124)))</f>
        <v/>
      </c>
      <c r="N124">
        <f>IF(I124=0,0,MAX(0,MIN(INDEX(Month!I$2:I$13,MATCH($A124,Month!$A$2:$A$13,0))-K124,I124)))</f>
        <v/>
      </c>
      <c r="O124">
        <f>IF(I124=0,0,MAX(0,MIN(INDEX(Month!J$2:J$13,MATCH($A124,Month!$A$2:$A$13,0))-K124,I124)))</f>
        <v/>
      </c>
      <c r="P124">
        <f>IF(I124=0,0,(MIN(MAX(K124,0),L124)*W124+SUMPRODUCT((Calc!$A$2:$A$1001=A124)*Calc!$G$2:$G$1001*(((K124-(L124+Calc!$J$2:$J$1001))&gt;0)*((K124-(L124+Calc!$J$2:$J$1001))&lt;Calc!$F$2:$F$1001)*(K124-(L124+Calc!$J$2:$J$1001))+((K124-(L124+Calc!$J$2:$J$1001))&gt;=Calc!$F$2:$F$1001)*Calc!$F$2:$F$1001))))</f>
        <v/>
      </c>
      <c r="Q124">
        <f>IF(I124=0,0,(MIN(MAX((K124+M124),0),L124)*W124+SUMPRODUCT((Calc!$A$2:$A$1001=A124)*Calc!$G$2:$G$1001*((((K124+M124)-(L124+Calc!$J$2:$J$1001))&gt;0)*(((K124+M124)-(L124+Calc!$J$2:$J$1001))&lt;Calc!$F$2:$F$1001)*((K124+M124)-(L124+Calc!$J$2:$J$1001))+(((K124+M124)-(L124+Calc!$J$2:$J$1001))&gt;=Calc!$F$2:$F$1001)*Calc!$F$2:$F$1001))))</f>
        <v/>
      </c>
      <c r="R124">
        <f>IF(I124=0,0,(MIN(MAX((K124+N124),0),L124)*W124+SUMPRODUCT((Calc!$A$2:$A$1001=A124)*Calc!$G$2:$G$1001*((((K124+N124)-(L124+Calc!$J$2:$J$1001))&gt;0)*(((K124+N124)-(L124+Calc!$J$2:$J$1001))&lt;Calc!$F$2:$F$1001)*((K124+N124)-(L124+Calc!$J$2:$J$1001))+(((K124+N124)-(L124+Calc!$J$2:$J$1001))&gt;=Calc!$F$2:$F$1001)*Calc!$F$2:$F$1001))))</f>
        <v/>
      </c>
      <c r="S124">
        <f>IF(I124=0,0,(MIN(MAX((K124+O124),0),L124)*W124+SUMPRODUCT((Calc!$A$2:$A$1001=A124)*Calc!$G$2:$G$1001*((((K124+O124)-(L124+Calc!$J$2:$J$1001))&gt;0)*(((K124+O124)-(L124+Calc!$J$2:$J$1001))&lt;Calc!$F$2:$F$1001)*((K124+O124)-(L124+Calc!$J$2:$J$1001))+(((K124+O124)-(L124+Calc!$J$2:$J$1001))&gt;=Calc!$F$2:$F$1001)*Calc!$F$2:$F$1001))))</f>
        <v/>
      </c>
      <c r="T124">
        <f>IF(AND(E124=1,B124="RETURN"),Transactions!E124*Transactions!G124,0)</f>
        <v/>
      </c>
      <c r="U124">
        <f>IF(AND(E124=1,B124="EXPENSE"),Transactions!J124,0)</f>
        <v/>
      </c>
      <c r="V124">
        <f>IF(AND(Transactions!A124&lt;&gt;"",E124=0),ROW(),"")</f>
        <v/>
      </c>
      <c r="W124">
        <f>IFERROR(VLOOKUP(A124,Opening!$A:$D,4,0),0)</f>
        <v/>
      </c>
    </row>
    <row r="125">
      <c r="A125">
        <f>IF(Transactions!D125="","",UPPER(TRIM(Transactions!D125)))</f>
        <v/>
      </c>
      <c r="B125">
        <f>IF(Transactions!C125="","",UPPER(TRIM(Transactions!C125)))</f>
        <v/>
      </c>
      <c r="C125">
        <f>IF(Transactions!B125="",0,YEAR(Transactions!B125)*100+MONTH(Transactions!B125))</f>
        <v/>
      </c>
      <c r="D125">
        <f>IF(Transactions!A125="",1,IF(COUNTIF(Transactions!$A$1:A124,Transactions!A125)&gt;0,1,0))</f>
        <v/>
      </c>
      <c r="E125">
        <f>IF(D125=1,0,IF(B125="RETURN",IF(COUNTIFS($A$1:A124,A125,$B$1:B124,"SALE",$E$1:E124,1)&gt;0,1,0),1))</f>
        <v/>
      </c>
      <c r="F125">
        <f>IF(E125=1,IF(B125="RECEIPT",Transactions!E125,IF(AND(B125="RETURN",LOWER(TRIM(Transactions!H125))="resellable"),Transactions!E125,0)),0)</f>
        <v/>
      </c>
      <c r="G125">
        <f>IF(F125&gt;0,IF(B125="RECEIPT",Transactions!F125,IF(_xlfn.MAXIFS($H$2:H125,$A$2:A125,A125)&gt;0,INDEX(Transactions!$F:$F,_xlfn.MAXIFS($H$2:H125,$A$2:A125,A125)),W125)),0)</f>
        <v/>
      </c>
      <c r="H125">
        <f>IF(AND(E125=1,B125="RECEIPT"),ROW(),0)</f>
        <v/>
      </c>
      <c r="I125">
        <f>IF(E125=1,IF(OR(B125="SALE",B125="WRITEOFF"),Transactions!E125,0),0)</f>
        <v/>
      </c>
      <c r="J125">
        <f>SUMIFS($F$1:F124,$A$1:A124,A125)</f>
        <v/>
      </c>
      <c r="K125">
        <f>SUMIFS($I$1:I124,$A$1:A124,A125)</f>
        <v/>
      </c>
      <c r="L125">
        <f>IFERROR(VLOOKUP(A125,Opening!$A:$C,3,0),0)</f>
        <v/>
      </c>
      <c r="M125">
        <f>IF(I125=0,0,MAX(0,MIN(INDEX(Month!H$2:H$13,MATCH($A125,Month!$A$2:$A$13,0))-K125,I125)))</f>
        <v/>
      </c>
      <c r="N125">
        <f>IF(I125=0,0,MAX(0,MIN(INDEX(Month!I$2:I$13,MATCH($A125,Month!$A$2:$A$13,0))-K125,I125)))</f>
        <v/>
      </c>
      <c r="O125">
        <f>IF(I125=0,0,MAX(0,MIN(INDEX(Month!J$2:J$13,MATCH($A125,Month!$A$2:$A$13,0))-K125,I125)))</f>
        <v/>
      </c>
      <c r="P125">
        <f>IF(I125=0,0,(MIN(MAX(K125,0),L125)*W125+SUMPRODUCT((Calc!$A$2:$A$1001=A125)*Calc!$G$2:$G$1001*(((K125-(L125+Calc!$J$2:$J$1001))&gt;0)*((K125-(L125+Calc!$J$2:$J$1001))&lt;Calc!$F$2:$F$1001)*(K125-(L125+Calc!$J$2:$J$1001))+((K125-(L125+Calc!$J$2:$J$1001))&gt;=Calc!$F$2:$F$1001)*Calc!$F$2:$F$1001))))</f>
        <v/>
      </c>
      <c r="Q125">
        <f>IF(I125=0,0,(MIN(MAX((K125+M125),0),L125)*W125+SUMPRODUCT((Calc!$A$2:$A$1001=A125)*Calc!$G$2:$G$1001*((((K125+M125)-(L125+Calc!$J$2:$J$1001))&gt;0)*(((K125+M125)-(L125+Calc!$J$2:$J$1001))&lt;Calc!$F$2:$F$1001)*((K125+M125)-(L125+Calc!$J$2:$J$1001))+(((K125+M125)-(L125+Calc!$J$2:$J$1001))&gt;=Calc!$F$2:$F$1001)*Calc!$F$2:$F$1001))))</f>
        <v/>
      </c>
      <c r="R125">
        <f>IF(I125=0,0,(MIN(MAX((K125+N125),0),L125)*W125+SUMPRODUCT((Calc!$A$2:$A$1001=A125)*Calc!$G$2:$G$1001*((((K125+N125)-(L125+Calc!$J$2:$J$1001))&gt;0)*(((K125+N125)-(L125+Calc!$J$2:$J$1001))&lt;Calc!$F$2:$F$1001)*((K125+N125)-(L125+Calc!$J$2:$J$1001))+(((K125+N125)-(L125+Calc!$J$2:$J$1001))&gt;=Calc!$F$2:$F$1001)*Calc!$F$2:$F$1001))))</f>
        <v/>
      </c>
      <c r="S125">
        <f>IF(I125=0,0,(MIN(MAX((K125+O125),0),L125)*W125+SUMPRODUCT((Calc!$A$2:$A$1001=A125)*Calc!$G$2:$G$1001*((((K125+O125)-(L125+Calc!$J$2:$J$1001))&gt;0)*(((K125+O125)-(L125+Calc!$J$2:$J$1001))&lt;Calc!$F$2:$F$1001)*((K125+O125)-(L125+Calc!$J$2:$J$1001))+(((K125+O125)-(L125+Calc!$J$2:$J$1001))&gt;=Calc!$F$2:$F$1001)*Calc!$F$2:$F$1001))))</f>
        <v/>
      </c>
      <c r="T125">
        <f>IF(AND(E125=1,B125="RETURN"),Transactions!E125*Transactions!G125,0)</f>
        <v/>
      </c>
      <c r="U125">
        <f>IF(AND(E125=1,B125="EXPENSE"),Transactions!J125,0)</f>
        <v/>
      </c>
      <c r="V125">
        <f>IF(AND(Transactions!A125&lt;&gt;"",E125=0),ROW(),"")</f>
        <v/>
      </c>
      <c r="W125">
        <f>IFERROR(VLOOKUP(A125,Opening!$A:$D,4,0),0)</f>
        <v/>
      </c>
    </row>
    <row r="126">
      <c r="A126">
        <f>IF(Transactions!D126="","",UPPER(TRIM(Transactions!D126)))</f>
        <v/>
      </c>
      <c r="B126">
        <f>IF(Transactions!C126="","",UPPER(TRIM(Transactions!C126)))</f>
        <v/>
      </c>
      <c r="C126">
        <f>IF(Transactions!B126="",0,YEAR(Transactions!B126)*100+MONTH(Transactions!B126))</f>
        <v/>
      </c>
      <c r="D126">
        <f>IF(Transactions!A126="",1,IF(COUNTIF(Transactions!$A$1:A125,Transactions!A126)&gt;0,1,0))</f>
        <v/>
      </c>
      <c r="E126">
        <f>IF(D126=1,0,IF(B126="RETURN",IF(COUNTIFS($A$1:A125,A126,$B$1:B125,"SALE",$E$1:E125,1)&gt;0,1,0),1))</f>
        <v/>
      </c>
      <c r="F126">
        <f>IF(E126=1,IF(B126="RECEIPT",Transactions!E126,IF(AND(B126="RETURN",LOWER(TRIM(Transactions!H126))="resellable"),Transactions!E126,0)),0)</f>
        <v/>
      </c>
      <c r="G126">
        <f>IF(F126&gt;0,IF(B126="RECEIPT",Transactions!F126,IF(_xlfn.MAXIFS($H$2:H126,$A$2:A126,A126)&gt;0,INDEX(Transactions!$F:$F,_xlfn.MAXIFS($H$2:H126,$A$2:A126,A126)),W126)),0)</f>
        <v/>
      </c>
      <c r="H126">
        <f>IF(AND(E126=1,B126="RECEIPT"),ROW(),0)</f>
        <v/>
      </c>
      <c r="I126">
        <f>IF(E126=1,IF(OR(B126="SALE",B126="WRITEOFF"),Transactions!E126,0),0)</f>
        <v/>
      </c>
      <c r="J126">
        <f>SUMIFS($F$1:F125,$A$1:A125,A126)</f>
        <v/>
      </c>
      <c r="K126">
        <f>SUMIFS($I$1:I125,$A$1:A125,A126)</f>
        <v/>
      </c>
      <c r="L126">
        <f>IFERROR(VLOOKUP(A126,Opening!$A:$C,3,0),0)</f>
        <v/>
      </c>
      <c r="M126">
        <f>IF(I126=0,0,MAX(0,MIN(INDEX(Month!H$2:H$13,MATCH($A126,Month!$A$2:$A$13,0))-K126,I126)))</f>
        <v/>
      </c>
      <c r="N126">
        <f>IF(I126=0,0,MAX(0,MIN(INDEX(Month!I$2:I$13,MATCH($A126,Month!$A$2:$A$13,0))-K126,I126)))</f>
        <v/>
      </c>
      <c r="O126">
        <f>IF(I126=0,0,MAX(0,MIN(INDEX(Month!J$2:J$13,MATCH($A126,Month!$A$2:$A$13,0))-K126,I126)))</f>
        <v/>
      </c>
      <c r="P126">
        <f>IF(I126=0,0,(MIN(MAX(K126,0),L126)*W126+SUMPRODUCT((Calc!$A$2:$A$1001=A126)*Calc!$G$2:$G$1001*(((K126-(L126+Calc!$J$2:$J$1001))&gt;0)*((K126-(L126+Calc!$J$2:$J$1001))&lt;Calc!$F$2:$F$1001)*(K126-(L126+Calc!$J$2:$J$1001))+((K126-(L126+Calc!$J$2:$J$1001))&gt;=Calc!$F$2:$F$1001)*Calc!$F$2:$F$1001))))</f>
        <v/>
      </c>
      <c r="Q126">
        <f>IF(I126=0,0,(MIN(MAX((K126+M126),0),L126)*W126+SUMPRODUCT((Calc!$A$2:$A$1001=A126)*Calc!$G$2:$G$1001*((((K126+M126)-(L126+Calc!$J$2:$J$1001))&gt;0)*(((K126+M126)-(L126+Calc!$J$2:$J$1001))&lt;Calc!$F$2:$F$1001)*((K126+M126)-(L126+Calc!$J$2:$J$1001))+(((K126+M126)-(L126+Calc!$J$2:$J$1001))&gt;=Calc!$F$2:$F$1001)*Calc!$F$2:$F$1001))))</f>
        <v/>
      </c>
      <c r="R126">
        <f>IF(I126=0,0,(MIN(MAX((K126+N126),0),L126)*W126+SUMPRODUCT((Calc!$A$2:$A$1001=A126)*Calc!$G$2:$G$1001*((((K126+N126)-(L126+Calc!$J$2:$J$1001))&gt;0)*(((K126+N126)-(L126+Calc!$J$2:$J$1001))&lt;Calc!$F$2:$F$1001)*((K126+N126)-(L126+Calc!$J$2:$J$1001))+(((K126+N126)-(L126+Calc!$J$2:$J$1001))&gt;=Calc!$F$2:$F$1001)*Calc!$F$2:$F$1001))))</f>
        <v/>
      </c>
      <c r="S126">
        <f>IF(I126=0,0,(MIN(MAX((K126+O126),0),L126)*W126+SUMPRODUCT((Calc!$A$2:$A$1001=A126)*Calc!$G$2:$G$1001*((((K126+O126)-(L126+Calc!$J$2:$J$1001))&gt;0)*(((K126+O126)-(L126+Calc!$J$2:$J$1001))&lt;Calc!$F$2:$F$1001)*((K126+O126)-(L126+Calc!$J$2:$J$1001))+(((K126+O126)-(L126+Calc!$J$2:$J$1001))&gt;=Calc!$F$2:$F$1001)*Calc!$F$2:$F$1001))))</f>
        <v/>
      </c>
      <c r="T126">
        <f>IF(AND(E126=1,B126="RETURN"),Transactions!E126*Transactions!G126,0)</f>
        <v/>
      </c>
      <c r="U126">
        <f>IF(AND(E126=1,B126="EXPENSE"),Transactions!J126,0)</f>
        <v/>
      </c>
      <c r="V126">
        <f>IF(AND(Transactions!A126&lt;&gt;"",E126=0),ROW(),"")</f>
        <v/>
      </c>
      <c r="W126">
        <f>IFERROR(VLOOKUP(A126,Opening!$A:$D,4,0),0)</f>
        <v/>
      </c>
    </row>
    <row r="127">
      <c r="A127">
        <f>IF(Transactions!D127="","",UPPER(TRIM(Transactions!D127)))</f>
        <v/>
      </c>
      <c r="B127">
        <f>IF(Transactions!C127="","",UPPER(TRIM(Transactions!C127)))</f>
        <v/>
      </c>
      <c r="C127">
        <f>IF(Transactions!B127="",0,YEAR(Transactions!B127)*100+MONTH(Transactions!B127))</f>
        <v/>
      </c>
      <c r="D127">
        <f>IF(Transactions!A127="",1,IF(COUNTIF(Transactions!$A$1:A126,Transactions!A127)&gt;0,1,0))</f>
        <v/>
      </c>
      <c r="E127">
        <f>IF(D127=1,0,IF(B127="RETURN",IF(COUNTIFS($A$1:A126,A127,$B$1:B126,"SALE",$E$1:E126,1)&gt;0,1,0),1))</f>
        <v/>
      </c>
      <c r="F127">
        <f>IF(E127=1,IF(B127="RECEIPT",Transactions!E127,IF(AND(B127="RETURN",LOWER(TRIM(Transactions!H127))="resellable"),Transactions!E127,0)),0)</f>
        <v/>
      </c>
      <c r="G127">
        <f>IF(F127&gt;0,IF(B127="RECEIPT",Transactions!F127,IF(_xlfn.MAXIFS($H$2:H127,$A$2:A127,A127)&gt;0,INDEX(Transactions!$F:$F,_xlfn.MAXIFS($H$2:H127,$A$2:A127,A127)),W127)),0)</f>
        <v/>
      </c>
      <c r="H127">
        <f>IF(AND(E127=1,B127="RECEIPT"),ROW(),0)</f>
        <v/>
      </c>
      <c r="I127">
        <f>IF(E127=1,IF(OR(B127="SALE",B127="WRITEOFF"),Transactions!E127,0),0)</f>
        <v/>
      </c>
      <c r="J127">
        <f>SUMIFS($F$1:F126,$A$1:A126,A127)</f>
        <v/>
      </c>
      <c r="K127">
        <f>SUMIFS($I$1:I126,$A$1:A126,A127)</f>
        <v/>
      </c>
      <c r="L127">
        <f>IFERROR(VLOOKUP(A127,Opening!$A:$C,3,0),0)</f>
        <v/>
      </c>
      <c r="M127">
        <f>IF(I127=0,0,MAX(0,MIN(INDEX(Month!H$2:H$13,MATCH($A127,Month!$A$2:$A$13,0))-K127,I127)))</f>
        <v/>
      </c>
      <c r="N127">
        <f>IF(I127=0,0,MAX(0,MIN(INDEX(Month!I$2:I$13,MATCH($A127,Month!$A$2:$A$13,0))-K127,I127)))</f>
        <v/>
      </c>
      <c r="O127">
        <f>IF(I127=0,0,MAX(0,MIN(INDEX(Month!J$2:J$13,MATCH($A127,Month!$A$2:$A$13,0))-K127,I127)))</f>
        <v/>
      </c>
      <c r="P127">
        <f>IF(I127=0,0,(MIN(MAX(K127,0),L127)*W127+SUMPRODUCT((Calc!$A$2:$A$1001=A127)*Calc!$G$2:$G$1001*(((K127-(L127+Calc!$J$2:$J$1001))&gt;0)*((K127-(L127+Calc!$J$2:$J$1001))&lt;Calc!$F$2:$F$1001)*(K127-(L127+Calc!$J$2:$J$1001))+((K127-(L127+Calc!$J$2:$J$1001))&gt;=Calc!$F$2:$F$1001)*Calc!$F$2:$F$1001))))</f>
        <v/>
      </c>
      <c r="Q127">
        <f>IF(I127=0,0,(MIN(MAX((K127+M127),0),L127)*W127+SUMPRODUCT((Calc!$A$2:$A$1001=A127)*Calc!$G$2:$G$1001*((((K127+M127)-(L127+Calc!$J$2:$J$1001))&gt;0)*(((K127+M127)-(L127+Calc!$J$2:$J$1001))&lt;Calc!$F$2:$F$1001)*((K127+M127)-(L127+Calc!$J$2:$J$1001))+(((K127+M127)-(L127+Calc!$J$2:$J$1001))&gt;=Calc!$F$2:$F$1001)*Calc!$F$2:$F$1001))))</f>
        <v/>
      </c>
      <c r="R127">
        <f>IF(I127=0,0,(MIN(MAX((K127+N127),0),L127)*W127+SUMPRODUCT((Calc!$A$2:$A$1001=A127)*Calc!$G$2:$G$1001*((((K127+N127)-(L127+Calc!$J$2:$J$1001))&gt;0)*(((K127+N127)-(L127+Calc!$J$2:$J$1001))&lt;Calc!$F$2:$F$1001)*((K127+N127)-(L127+Calc!$J$2:$J$1001))+(((K127+N127)-(L127+Calc!$J$2:$J$1001))&gt;=Calc!$F$2:$F$1001)*Calc!$F$2:$F$1001))))</f>
        <v/>
      </c>
      <c r="S127">
        <f>IF(I127=0,0,(MIN(MAX((K127+O127),0),L127)*W127+SUMPRODUCT((Calc!$A$2:$A$1001=A127)*Calc!$G$2:$G$1001*((((K127+O127)-(L127+Calc!$J$2:$J$1001))&gt;0)*(((K127+O127)-(L127+Calc!$J$2:$J$1001))&lt;Calc!$F$2:$F$1001)*((K127+O127)-(L127+Calc!$J$2:$J$1001))+(((K127+O127)-(L127+Calc!$J$2:$J$1001))&gt;=Calc!$F$2:$F$1001)*Calc!$F$2:$F$1001))))</f>
        <v/>
      </c>
      <c r="T127">
        <f>IF(AND(E127=1,B127="RETURN"),Transactions!E127*Transactions!G127,0)</f>
        <v/>
      </c>
      <c r="U127">
        <f>IF(AND(E127=1,B127="EXPENSE"),Transactions!J127,0)</f>
        <v/>
      </c>
      <c r="V127">
        <f>IF(AND(Transactions!A127&lt;&gt;"",E127=0),ROW(),"")</f>
        <v/>
      </c>
      <c r="W127">
        <f>IFERROR(VLOOKUP(A127,Opening!$A:$D,4,0),0)</f>
        <v/>
      </c>
    </row>
    <row r="128">
      <c r="A128">
        <f>IF(Transactions!D128="","",UPPER(TRIM(Transactions!D128)))</f>
        <v/>
      </c>
      <c r="B128">
        <f>IF(Transactions!C128="","",UPPER(TRIM(Transactions!C128)))</f>
        <v/>
      </c>
      <c r="C128">
        <f>IF(Transactions!B128="",0,YEAR(Transactions!B128)*100+MONTH(Transactions!B128))</f>
        <v/>
      </c>
      <c r="D128">
        <f>IF(Transactions!A128="",1,IF(COUNTIF(Transactions!$A$1:A127,Transactions!A128)&gt;0,1,0))</f>
        <v/>
      </c>
      <c r="E128">
        <f>IF(D128=1,0,IF(B128="RETURN",IF(COUNTIFS($A$1:A127,A128,$B$1:B127,"SALE",$E$1:E127,1)&gt;0,1,0),1))</f>
        <v/>
      </c>
      <c r="F128">
        <f>IF(E128=1,IF(B128="RECEIPT",Transactions!E128,IF(AND(B128="RETURN",LOWER(TRIM(Transactions!H128))="resellable"),Transactions!E128,0)),0)</f>
        <v/>
      </c>
      <c r="G128">
        <f>IF(F128&gt;0,IF(B128="RECEIPT",Transactions!F128,IF(_xlfn.MAXIFS($H$2:H128,$A$2:A128,A128)&gt;0,INDEX(Transactions!$F:$F,_xlfn.MAXIFS($H$2:H128,$A$2:A128,A128)),W128)),0)</f>
        <v/>
      </c>
      <c r="H128">
        <f>IF(AND(E128=1,B128="RECEIPT"),ROW(),0)</f>
        <v/>
      </c>
      <c r="I128">
        <f>IF(E128=1,IF(OR(B128="SALE",B128="WRITEOFF"),Transactions!E128,0),0)</f>
        <v/>
      </c>
      <c r="J128">
        <f>SUMIFS($F$1:F127,$A$1:A127,A128)</f>
        <v/>
      </c>
      <c r="K128">
        <f>SUMIFS($I$1:I127,$A$1:A127,A128)</f>
        <v/>
      </c>
      <c r="L128">
        <f>IFERROR(VLOOKUP(A128,Opening!$A:$C,3,0),0)</f>
        <v/>
      </c>
      <c r="M128">
        <f>IF(I128=0,0,MAX(0,MIN(INDEX(Month!H$2:H$13,MATCH($A128,Month!$A$2:$A$13,0))-K128,I128)))</f>
        <v/>
      </c>
      <c r="N128">
        <f>IF(I128=0,0,MAX(0,MIN(INDEX(Month!I$2:I$13,MATCH($A128,Month!$A$2:$A$13,0))-K128,I128)))</f>
        <v/>
      </c>
      <c r="O128">
        <f>IF(I128=0,0,MAX(0,MIN(INDEX(Month!J$2:J$13,MATCH($A128,Month!$A$2:$A$13,0))-K128,I128)))</f>
        <v/>
      </c>
      <c r="P128">
        <f>IF(I128=0,0,(MIN(MAX(K128,0),L128)*W128+SUMPRODUCT((Calc!$A$2:$A$1001=A128)*Calc!$G$2:$G$1001*(((K128-(L128+Calc!$J$2:$J$1001))&gt;0)*((K128-(L128+Calc!$J$2:$J$1001))&lt;Calc!$F$2:$F$1001)*(K128-(L128+Calc!$J$2:$J$1001))+((K128-(L128+Calc!$J$2:$J$1001))&gt;=Calc!$F$2:$F$1001)*Calc!$F$2:$F$1001))))</f>
        <v/>
      </c>
      <c r="Q128">
        <f>IF(I128=0,0,(MIN(MAX((K128+M128),0),L128)*W128+SUMPRODUCT((Calc!$A$2:$A$1001=A128)*Calc!$G$2:$G$1001*((((K128+M128)-(L128+Calc!$J$2:$J$1001))&gt;0)*(((K128+M128)-(L128+Calc!$J$2:$J$1001))&lt;Calc!$F$2:$F$1001)*((K128+M128)-(L128+Calc!$J$2:$J$1001))+(((K128+M128)-(L128+Calc!$J$2:$J$1001))&gt;=Calc!$F$2:$F$1001)*Calc!$F$2:$F$1001))))</f>
        <v/>
      </c>
      <c r="R128">
        <f>IF(I128=0,0,(MIN(MAX((K128+N128),0),L128)*W128+SUMPRODUCT((Calc!$A$2:$A$1001=A128)*Calc!$G$2:$G$1001*((((K128+N128)-(L128+Calc!$J$2:$J$1001))&gt;0)*(((K128+N128)-(L128+Calc!$J$2:$J$1001))&lt;Calc!$F$2:$F$1001)*((K128+N128)-(L128+Calc!$J$2:$J$1001))+(((K128+N128)-(L128+Calc!$J$2:$J$1001))&gt;=Calc!$F$2:$F$1001)*Calc!$F$2:$F$1001))))</f>
        <v/>
      </c>
      <c r="S128">
        <f>IF(I128=0,0,(MIN(MAX((K128+O128),0),L128)*W128+SUMPRODUCT((Calc!$A$2:$A$1001=A128)*Calc!$G$2:$G$1001*((((K128+O128)-(L128+Calc!$J$2:$J$1001))&gt;0)*(((K128+O128)-(L128+Calc!$J$2:$J$1001))&lt;Calc!$F$2:$F$1001)*((K128+O128)-(L128+Calc!$J$2:$J$1001))+(((K128+O128)-(L128+Calc!$J$2:$J$1001))&gt;=Calc!$F$2:$F$1001)*Calc!$F$2:$F$1001))))</f>
        <v/>
      </c>
      <c r="T128">
        <f>IF(AND(E128=1,B128="RETURN"),Transactions!E128*Transactions!G128,0)</f>
        <v/>
      </c>
      <c r="U128">
        <f>IF(AND(E128=1,B128="EXPENSE"),Transactions!J128,0)</f>
        <v/>
      </c>
      <c r="V128">
        <f>IF(AND(Transactions!A128&lt;&gt;"",E128=0),ROW(),"")</f>
        <v/>
      </c>
      <c r="W128">
        <f>IFERROR(VLOOKUP(A128,Opening!$A:$D,4,0),0)</f>
        <v/>
      </c>
    </row>
    <row r="129">
      <c r="A129">
        <f>IF(Transactions!D129="","",UPPER(TRIM(Transactions!D129)))</f>
        <v/>
      </c>
      <c r="B129">
        <f>IF(Transactions!C129="","",UPPER(TRIM(Transactions!C129)))</f>
        <v/>
      </c>
      <c r="C129">
        <f>IF(Transactions!B129="",0,YEAR(Transactions!B129)*100+MONTH(Transactions!B129))</f>
        <v/>
      </c>
      <c r="D129">
        <f>IF(Transactions!A129="",1,IF(COUNTIF(Transactions!$A$1:A128,Transactions!A129)&gt;0,1,0))</f>
        <v/>
      </c>
      <c r="E129">
        <f>IF(D129=1,0,IF(B129="RETURN",IF(COUNTIFS($A$1:A128,A129,$B$1:B128,"SALE",$E$1:E128,1)&gt;0,1,0),1))</f>
        <v/>
      </c>
      <c r="F129">
        <f>IF(E129=1,IF(B129="RECEIPT",Transactions!E129,IF(AND(B129="RETURN",LOWER(TRIM(Transactions!H129))="resellable"),Transactions!E129,0)),0)</f>
        <v/>
      </c>
      <c r="G129">
        <f>IF(F129&gt;0,IF(B129="RECEIPT",Transactions!F129,IF(_xlfn.MAXIFS($H$2:H129,$A$2:A129,A129)&gt;0,INDEX(Transactions!$F:$F,_xlfn.MAXIFS($H$2:H129,$A$2:A129,A129)),W129)),0)</f>
        <v/>
      </c>
      <c r="H129">
        <f>IF(AND(E129=1,B129="RECEIPT"),ROW(),0)</f>
        <v/>
      </c>
      <c r="I129">
        <f>IF(E129=1,IF(OR(B129="SALE",B129="WRITEOFF"),Transactions!E129,0),0)</f>
        <v/>
      </c>
      <c r="J129">
        <f>SUMIFS($F$1:F128,$A$1:A128,A129)</f>
        <v/>
      </c>
      <c r="K129">
        <f>SUMIFS($I$1:I128,$A$1:A128,A129)</f>
        <v/>
      </c>
      <c r="L129">
        <f>IFERROR(VLOOKUP(A129,Opening!$A:$C,3,0),0)</f>
        <v/>
      </c>
      <c r="M129">
        <f>IF(I129=0,0,MAX(0,MIN(INDEX(Month!H$2:H$13,MATCH($A129,Month!$A$2:$A$13,0))-K129,I129)))</f>
        <v/>
      </c>
      <c r="N129">
        <f>IF(I129=0,0,MAX(0,MIN(INDEX(Month!I$2:I$13,MATCH($A129,Month!$A$2:$A$13,0))-K129,I129)))</f>
        <v/>
      </c>
      <c r="O129">
        <f>IF(I129=0,0,MAX(0,MIN(INDEX(Month!J$2:J$13,MATCH($A129,Month!$A$2:$A$13,0))-K129,I129)))</f>
        <v/>
      </c>
      <c r="P129">
        <f>IF(I129=0,0,(MIN(MAX(K129,0),L129)*W129+SUMPRODUCT((Calc!$A$2:$A$1001=A129)*Calc!$G$2:$G$1001*(((K129-(L129+Calc!$J$2:$J$1001))&gt;0)*((K129-(L129+Calc!$J$2:$J$1001))&lt;Calc!$F$2:$F$1001)*(K129-(L129+Calc!$J$2:$J$1001))+((K129-(L129+Calc!$J$2:$J$1001))&gt;=Calc!$F$2:$F$1001)*Calc!$F$2:$F$1001))))</f>
        <v/>
      </c>
      <c r="Q129">
        <f>IF(I129=0,0,(MIN(MAX((K129+M129),0),L129)*W129+SUMPRODUCT((Calc!$A$2:$A$1001=A129)*Calc!$G$2:$G$1001*((((K129+M129)-(L129+Calc!$J$2:$J$1001))&gt;0)*(((K129+M129)-(L129+Calc!$J$2:$J$1001))&lt;Calc!$F$2:$F$1001)*((K129+M129)-(L129+Calc!$J$2:$J$1001))+(((K129+M129)-(L129+Calc!$J$2:$J$1001))&gt;=Calc!$F$2:$F$1001)*Calc!$F$2:$F$1001))))</f>
        <v/>
      </c>
      <c r="R129">
        <f>IF(I129=0,0,(MIN(MAX((K129+N129),0),L129)*W129+SUMPRODUCT((Calc!$A$2:$A$1001=A129)*Calc!$G$2:$G$1001*((((K129+N129)-(L129+Calc!$J$2:$J$1001))&gt;0)*(((K129+N129)-(L129+Calc!$J$2:$J$1001))&lt;Calc!$F$2:$F$1001)*((K129+N129)-(L129+Calc!$J$2:$J$1001))+(((K129+N129)-(L129+Calc!$J$2:$J$1001))&gt;=Calc!$F$2:$F$1001)*Calc!$F$2:$F$1001))))</f>
        <v/>
      </c>
      <c r="S129">
        <f>IF(I129=0,0,(MIN(MAX((K129+O129),0),L129)*W129+SUMPRODUCT((Calc!$A$2:$A$1001=A129)*Calc!$G$2:$G$1001*((((K129+O129)-(L129+Calc!$J$2:$J$1001))&gt;0)*(((K129+O129)-(L129+Calc!$J$2:$J$1001))&lt;Calc!$F$2:$F$1001)*((K129+O129)-(L129+Calc!$J$2:$J$1001))+(((K129+O129)-(L129+Calc!$J$2:$J$1001))&gt;=Calc!$F$2:$F$1001)*Calc!$F$2:$F$1001))))</f>
        <v/>
      </c>
      <c r="T129">
        <f>IF(AND(E129=1,B129="RETURN"),Transactions!E129*Transactions!G129,0)</f>
        <v/>
      </c>
      <c r="U129">
        <f>IF(AND(E129=1,B129="EXPENSE"),Transactions!J129,0)</f>
        <v/>
      </c>
      <c r="V129">
        <f>IF(AND(Transactions!A129&lt;&gt;"",E129=0),ROW(),"")</f>
        <v/>
      </c>
      <c r="W129">
        <f>IFERROR(VLOOKUP(A129,Opening!$A:$D,4,0),0)</f>
        <v/>
      </c>
    </row>
    <row r="130">
      <c r="A130">
        <f>IF(Transactions!D130="","",UPPER(TRIM(Transactions!D130)))</f>
        <v/>
      </c>
      <c r="B130">
        <f>IF(Transactions!C130="","",UPPER(TRIM(Transactions!C130)))</f>
        <v/>
      </c>
      <c r="C130">
        <f>IF(Transactions!B130="",0,YEAR(Transactions!B130)*100+MONTH(Transactions!B130))</f>
        <v/>
      </c>
      <c r="D130">
        <f>IF(Transactions!A130="",1,IF(COUNTIF(Transactions!$A$1:A129,Transactions!A130)&gt;0,1,0))</f>
        <v/>
      </c>
      <c r="E130">
        <f>IF(D130=1,0,IF(B130="RETURN",IF(COUNTIFS($A$1:A129,A130,$B$1:B129,"SALE",$E$1:E129,1)&gt;0,1,0),1))</f>
        <v/>
      </c>
      <c r="F130">
        <f>IF(E130=1,IF(B130="RECEIPT",Transactions!E130,IF(AND(B130="RETURN",LOWER(TRIM(Transactions!H130))="resellable"),Transactions!E130,0)),0)</f>
        <v/>
      </c>
      <c r="G130">
        <f>IF(F130&gt;0,IF(B130="RECEIPT",Transactions!F130,IF(_xlfn.MAXIFS($H$2:H130,$A$2:A130,A130)&gt;0,INDEX(Transactions!$F:$F,_xlfn.MAXIFS($H$2:H130,$A$2:A130,A130)),W130)),0)</f>
        <v/>
      </c>
      <c r="H130">
        <f>IF(AND(E130=1,B130="RECEIPT"),ROW(),0)</f>
        <v/>
      </c>
      <c r="I130">
        <f>IF(E130=1,IF(OR(B130="SALE",B130="WRITEOFF"),Transactions!E130,0),0)</f>
        <v/>
      </c>
      <c r="J130">
        <f>SUMIFS($F$1:F129,$A$1:A129,A130)</f>
        <v/>
      </c>
      <c r="K130">
        <f>SUMIFS($I$1:I129,$A$1:A129,A130)</f>
        <v/>
      </c>
      <c r="L130">
        <f>IFERROR(VLOOKUP(A130,Opening!$A:$C,3,0),0)</f>
        <v/>
      </c>
      <c r="M130">
        <f>IF(I130=0,0,MAX(0,MIN(INDEX(Month!H$2:H$13,MATCH($A130,Month!$A$2:$A$13,0))-K130,I130)))</f>
        <v/>
      </c>
      <c r="N130">
        <f>IF(I130=0,0,MAX(0,MIN(INDEX(Month!I$2:I$13,MATCH($A130,Month!$A$2:$A$13,0))-K130,I130)))</f>
        <v/>
      </c>
      <c r="O130">
        <f>IF(I130=0,0,MAX(0,MIN(INDEX(Month!J$2:J$13,MATCH($A130,Month!$A$2:$A$13,0))-K130,I130)))</f>
        <v/>
      </c>
      <c r="P130">
        <f>IF(I130=0,0,(MIN(MAX(K130,0),L130)*W130+SUMPRODUCT((Calc!$A$2:$A$1001=A130)*Calc!$G$2:$G$1001*(((K130-(L130+Calc!$J$2:$J$1001))&gt;0)*((K130-(L130+Calc!$J$2:$J$1001))&lt;Calc!$F$2:$F$1001)*(K130-(L130+Calc!$J$2:$J$1001))+((K130-(L130+Calc!$J$2:$J$1001))&gt;=Calc!$F$2:$F$1001)*Calc!$F$2:$F$1001))))</f>
        <v/>
      </c>
      <c r="Q130">
        <f>IF(I130=0,0,(MIN(MAX((K130+M130),0),L130)*W130+SUMPRODUCT((Calc!$A$2:$A$1001=A130)*Calc!$G$2:$G$1001*((((K130+M130)-(L130+Calc!$J$2:$J$1001))&gt;0)*(((K130+M130)-(L130+Calc!$J$2:$J$1001))&lt;Calc!$F$2:$F$1001)*((K130+M130)-(L130+Calc!$J$2:$J$1001))+(((K130+M130)-(L130+Calc!$J$2:$J$1001))&gt;=Calc!$F$2:$F$1001)*Calc!$F$2:$F$1001))))</f>
        <v/>
      </c>
      <c r="R130">
        <f>IF(I130=0,0,(MIN(MAX((K130+N130),0),L130)*W130+SUMPRODUCT((Calc!$A$2:$A$1001=A130)*Calc!$G$2:$G$1001*((((K130+N130)-(L130+Calc!$J$2:$J$1001))&gt;0)*(((K130+N130)-(L130+Calc!$J$2:$J$1001))&lt;Calc!$F$2:$F$1001)*((K130+N130)-(L130+Calc!$J$2:$J$1001))+(((K130+N130)-(L130+Calc!$J$2:$J$1001))&gt;=Calc!$F$2:$F$1001)*Calc!$F$2:$F$1001))))</f>
        <v/>
      </c>
      <c r="S130">
        <f>IF(I130=0,0,(MIN(MAX((K130+O130),0),L130)*W130+SUMPRODUCT((Calc!$A$2:$A$1001=A130)*Calc!$G$2:$G$1001*((((K130+O130)-(L130+Calc!$J$2:$J$1001))&gt;0)*(((K130+O130)-(L130+Calc!$J$2:$J$1001))&lt;Calc!$F$2:$F$1001)*((K130+O130)-(L130+Calc!$J$2:$J$1001))+(((K130+O130)-(L130+Calc!$J$2:$J$1001))&gt;=Calc!$F$2:$F$1001)*Calc!$F$2:$F$1001))))</f>
        <v/>
      </c>
      <c r="T130">
        <f>IF(AND(E130=1,B130="RETURN"),Transactions!E130*Transactions!G130,0)</f>
        <v/>
      </c>
      <c r="U130">
        <f>IF(AND(E130=1,B130="EXPENSE"),Transactions!J130,0)</f>
        <v/>
      </c>
      <c r="V130">
        <f>IF(AND(Transactions!A130&lt;&gt;"",E130=0),ROW(),"")</f>
        <v/>
      </c>
      <c r="W130">
        <f>IFERROR(VLOOKUP(A130,Opening!$A:$D,4,0),0)</f>
        <v/>
      </c>
    </row>
    <row r="131">
      <c r="A131">
        <f>IF(Transactions!D131="","",UPPER(TRIM(Transactions!D131)))</f>
        <v/>
      </c>
      <c r="B131">
        <f>IF(Transactions!C131="","",UPPER(TRIM(Transactions!C131)))</f>
        <v/>
      </c>
      <c r="C131">
        <f>IF(Transactions!B131="",0,YEAR(Transactions!B131)*100+MONTH(Transactions!B131))</f>
        <v/>
      </c>
      <c r="D131">
        <f>IF(Transactions!A131="",1,IF(COUNTIF(Transactions!$A$1:A130,Transactions!A131)&gt;0,1,0))</f>
        <v/>
      </c>
      <c r="E131">
        <f>IF(D131=1,0,IF(B131="RETURN",IF(COUNTIFS($A$1:A130,A131,$B$1:B130,"SALE",$E$1:E130,1)&gt;0,1,0),1))</f>
        <v/>
      </c>
      <c r="F131">
        <f>IF(E131=1,IF(B131="RECEIPT",Transactions!E131,IF(AND(B131="RETURN",LOWER(TRIM(Transactions!H131))="resellable"),Transactions!E131,0)),0)</f>
        <v/>
      </c>
      <c r="G131">
        <f>IF(F131&gt;0,IF(B131="RECEIPT",Transactions!F131,IF(_xlfn.MAXIFS($H$2:H131,$A$2:A131,A131)&gt;0,INDEX(Transactions!$F:$F,_xlfn.MAXIFS($H$2:H131,$A$2:A131,A131)),W131)),0)</f>
        <v/>
      </c>
      <c r="H131">
        <f>IF(AND(E131=1,B131="RECEIPT"),ROW(),0)</f>
        <v/>
      </c>
      <c r="I131">
        <f>IF(E131=1,IF(OR(B131="SALE",B131="WRITEOFF"),Transactions!E131,0),0)</f>
        <v/>
      </c>
      <c r="J131">
        <f>SUMIFS($F$1:F130,$A$1:A130,A131)</f>
        <v/>
      </c>
      <c r="K131">
        <f>SUMIFS($I$1:I130,$A$1:A130,A131)</f>
        <v/>
      </c>
      <c r="L131">
        <f>IFERROR(VLOOKUP(A131,Opening!$A:$C,3,0),0)</f>
        <v/>
      </c>
      <c r="M131">
        <f>IF(I131=0,0,MAX(0,MIN(INDEX(Month!H$2:H$13,MATCH($A131,Month!$A$2:$A$13,0))-K131,I131)))</f>
        <v/>
      </c>
      <c r="N131">
        <f>IF(I131=0,0,MAX(0,MIN(INDEX(Month!I$2:I$13,MATCH($A131,Month!$A$2:$A$13,0))-K131,I131)))</f>
        <v/>
      </c>
      <c r="O131">
        <f>IF(I131=0,0,MAX(0,MIN(INDEX(Month!J$2:J$13,MATCH($A131,Month!$A$2:$A$13,0))-K131,I131)))</f>
        <v/>
      </c>
      <c r="P131">
        <f>IF(I131=0,0,(MIN(MAX(K131,0),L131)*W131+SUMPRODUCT((Calc!$A$2:$A$1001=A131)*Calc!$G$2:$G$1001*(((K131-(L131+Calc!$J$2:$J$1001))&gt;0)*((K131-(L131+Calc!$J$2:$J$1001))&lt;Calc!$F$2:$F$1001)*(K131-(L131+Calc!$J$2:$J$1001))+((K131-(L131+Calc!$J$2:$J$1001))&gt;=Calc!$F$2:$F$1001)*Calc!$F$2:$F$1001))))</f>
        <v/>
      </c>
      <c r="Q131">
        <f>IF(I131=0,0,(MIN(MAX((K131+M131),0),L131)*W131+SUMPRODUCT((Calc!$A$2:$A$1001=A131)*Calc!$G$2:$G$1001*((((K131+M131)-(L131+Calc!$J$2:$J$1001))&gt;0)*(((K131+M131)-(L131+Calc!$J$2:$J$1001))&lt;Calc!$F$2:$F$1001)*((K131+M131)-(L131+Calc!$J$2:$J$1001))+(((K131+M131)-(L131+Calc!$J$2:$J$1001))&gt;=Calc!$F$2:$F$1001)*Calc!$F$2:$F$1001))))</f>
        <v/>
      </c>
      <c r="R131">
        <f>IF(I131=0,0,(MIN(MAX((K131+N131),0),L131)*W131+SUMPRODUCT((Calc!$A$2:$A$1001=A131)*Calc!$G$2:$G$1001*((((K131+N131)-(L131+Calc!$J$2:$J$1001))&gt;0)*(((K131+N131)-(L131+Calc!$J$2:$J$1001))&lt;Calc!$F$2:$F$1001)*((K131+N131)-(L131+Calc!$J$2:$J$1001))+(((K131+N131)-(L131+Calc!$J$2:$J$1001))&gt;=Calc!$F$2:$F$1001)*Calc!$F$2:$F$1001))))</f>
        <v/>
      </c>
      <c r="S131">
        <f>IF(I131=0,0,(MIN(MAX((K131+O131),0),L131)*W131+SUMPRODUCT((Calc!$A$2:$A$1001=A131)*Calc!$G$2:$G$1001*((((K131+O131)-(L131+Calc!$J$2:$J$1001))&gt;0)*(((K131+O131)-(L131+Calc!$J$2:$J$1001))&lt;Calc!$F$2:$F$1001)*((K131+O131)-(L131+Calc!$J$2:$J$1001))+(((K131+O131)-(L131+Calc!$J$2:$J$1001))&gt;=Calc!$F$2:$F$1001)*Calc!$F$2:$F$1001))))</f>
        <v/>
      </c>
      <c r="T131">
        <f>IF(AND(E131=1,B131="RETURN"),Transactions!E131*Transactions!G131,0)</f>
        <v/>
      </c>
      <c r="U131">
        <f>IF(AND(E131=1,B131="EXPENSE"),Transactions!J131,0)</f>
        <v/>
      </c>
      <c r="V131">
        <f>IF(AND(Transactions!A131&lt;&gt;"",E131=0),ROW(),"")</f>
        <v/>
      </c>
      <c r="W131">
        <f>IFERROR(VLOOKUP(A131,Opening!$A:$D,4,0),0)</f>
        <v/>
      </c>
    </row>
    <row r="132">
      <c r="A132">
        <f>IF(Transactions!D132="","",UPPER(TRIM(Transactions!D132)))</f>
        <v/>
      </c>
      <c r="B132">
        <f>IF(Transactions!C132="","",UPPER(TRIM(Transactions!C132)))</f>
        <v/>
      </c>
      <c r="C132">
        <f>IF(Transactions!B132="",0,YEAR(Transactions!B132)*100+MONTH(Transactions!B132))</f>
        <v/>
      </c>
      <c r="D132">
        <f>IF(Transactions!A132="",1,IF(COUNTIF(Transactions!$A$1:A131,Transactions!A132)&gt;0,1,0))</f>
        <v/>
      </c>
      <c r="E132">
        <f>IF(D132=1,0,IF(B132="RETURN",IF(COUNTIFS($A$1:A131,A132,$B$1:B131,"SALE",$E$1:E131,1)&gt;0,1,0),1))</f>
        <v/>
      </c>
      <c r="F132">
        <f>IF(E132=1,IF(B132="RECEIPT",Transactions!E132,IF(AND(B132="RETURN",LOWER(TRIM(Transactions!H132))="resellable"),Transactions!E132,0)),0)</f>
        <v/>
      </c>
      <c r="G132">
        <f>IF(F132&gt;0,IF(B132="RECEIPT",Transactions!F132,IF(_xlfn.MAXIFS($H$2:H132,$A$2:A132,A132)&gt;0,INDEX(Transactions!$F:$F,_xlfn.MAXIFS($H$2:H132,$A$2:A132,A132)),W132)),0)</f>
        <v/>
      </c>
      <c r="H132">
        <f>IF(AND(E132=1,B132="RECEIPT"),ROW(),0)</f>
        <v/>
      </c>
      <c r="I132">
        <f>IF(E132=1,IF(OR(B132="SALE",B132="WRITEOFF"),Transactions!E132,0),0)</f>
        <v/>
      </c>
      <c r="J132">
        <f>SUMIFS($F$1:F131,$A$1:A131,A132)</f>
        <v/>
      </c>
      <c r="K132">
        <f>SUMIFS($I$1:I131,$A$1:A131,A132)</f>
        <v/>
      </c>
      <c r="L132">
        <f>IFERROR(VLOOKUP(A132,Opening!$A:$C,3,0),0)</f>
        <v/>
      </c>
      <c r="M132">
        <f>IF(I132=0,0,MAX(0,MIN(INDEX(Month!H$2:H$13,MATCH($A132,Month!$A$2:$A$13,0))-K132,I132)))</f>
        <v/>
      </c>
      <c r="N132">
        <f>IF(I132=0,0,MAX(0,MIN(INDEX(Month!I$2:I$13,MATCH($A132,Month!$A$2:$A$13,0))-K132,I132)))</f>
        <v/>
      </c>
      <c r="O132">
        <f>IF(I132=0,0,MAX(0,MIN(INDEX(Month!J$2:J$13,MATCH($A132,Month!$A$2:$A$13,0))-K132,I132)))</f>
        <v/>
      </c>
      <c r="P132">
        <f>IF(I132=0,0,(MIN(MAX(K132,0),L132)*W132+SUMPRODUCT((Calc!$A$2:$A$1001=A132)*Calc!$G$2:$G$1001*(((K132-(L132+Calc!$J$2:$J$1001))&gt;0)*((K132-(L132+Calc!$J$2:$J$1001))&lt;Calc!$F$2:$F$1001)*(K132-(L132+Calc!$J$2:$J$1001))+((K132-(L132+Calc!$J$2:$J$1001))&gt;=Calc!$F$2:$F$1001)*Calc!$F$2:$F$1001))))</f>
        <v/>
      </c>
      <c r="Q132">
        <f>IF(I132=0,0,(MIN(MAX((K132+M132),0),L132)*W132+SUMPRODUCT((Calc!$A$2:$A$1001=A132)*Calc!$G$2:$G$1001*((((K132+M132)-(L132+Calc!$J$2:$J$1001))&gt;0)*(((K132+M132)-(L132+Calc!$J$2:$J$1001))&lt;Calc!$F$2:$F$1001)*((K132+M132)-(L132+Calc!$J$2:$J$1001))+(((K132+M132)-(L132+Calc!$J$2:$J$1001))&gt;=Calc!$F$2:$F$1001)*Calc!$F$2:$F$1001))))</f>
        <v/>
      </c>
      <c r="R132">
        <f>IF(I132=0,0,(MIN(MAX((K132+N132),0),L132)*W132+SUMPRODUCT((Calc!$A$2:$A$1001=A132)*Calc!$G$2:$G$1001*((((K132+N132)-(L132+Calc!$J$2:$J$1001))&gt;0)*(((K132+N132)-(L132+Calc!$J$2:$J$1001))&lt;Calc!$F$2:$F$1001)*((K132+N132)-(L132+Calc!$J$2:$J$1001))+(((K132+N132)-(L132+Calc!$J$2:$J$1001))&gt;=Calc!$F$2:$F$1001)*Calc!$F$2:$F$1001))))</f>
        <v/>
      </c>
      <c r="S132">
        <f>IF(I132=0,0,(MIN(MAX((K132+O132),0),L132)*W132+SUMPRODUCT((Calc!$A$2:$A$1001=A132)*Calc!$G$2:$G$1001*((((K132+O132)-(L132+Calc!$J$2:$J$1001))&gt;0)*(((K132+O132)-(L132+Calc!$J$2:$J$1001))&lt;Calc!$F$2:$F$1001)*((K132+O132)-(L132+Calc!$J$2:$J$1001))+(((K132+O132)-(L132+Calc!$J$2:$J$1001))&gt;=Calc!$F$2:$F$1001)*Calc!$F$2:$F$1001))))</f>
        <v/>
      </c>
      <c r="T132">
        <f>IF(AND(E132=1,B132="RETURN"),Transactions!E132*Transactions!G132,0)</f>
        <v/>
      </c>
      <c r="U132">
        <f>IF(AND(E132=1,B132="EXPENSE"),Transactions!J132,0)</f>
        <v/>
      </c>
      <c r="V132">
        <f>IF(AND(Transactions!A132&lt;&gt;"",E132=0),ROW(),"")</f>
        <v/>
      </c>
      <c r="W132">
        <f>IFERROR(VLOOKUP(A132,Opening!$A:$D,4,0),0)</f>
        <v/>
      </c>
    </row>
    <row r="133">
      <c r="A133">
        <f>IF(Transactions!D133="","",UPPER(TRIM(Transactions!D133)))</f>
        <v/>
      </c>
      <c r="B133">
        <f>IF(Transactions!C133="","",UPPER(TRIM(Transactions!C133)))</f>
        <v/>
      </c>
      <c r="C133">
        <f>IF(Transactions!B133="",0,YEAR(Transactions!B133)*100+MONTH(Transactions!B133))</f>
        <v/>
      </c>
      <c r="D133">
        <f>IF(Transactions!A133="",1,IF(COUNTIF(Transactions!$A$1:A132,Transactions!A133)&gt;0,1,0))</f>
        <v/>
      </c>
      <c r="E133">
        <f>IF(D133=1,0,IF(B133="RETURN",IF(COUNTIFS($A$1:A132,A133,$B$1:B132,"SALE",$E$1:E132,1)&gt;0,1,0),1))</f>
        <v/>
      </c>
      <c r="F133">
        <f>IF(E133=1,IF(B133="RECEIPT",Transactions!E133,IF(AND(B133="RETURN",LOWER(TRIM(Transactions!H133))="resellable"),Transactions!E133,0)),0)</f>
        <v/>
      </c>
      <c r="G133">
        <f>IF(F133&gt;0,IF(B133="RECEIPT",Transactions!F133,IF(_xlfn.MAXIFS($H$2:H133,$A$2:A133,A133)&gt;0,INDEX(Transactions!$F:$F,_xlfn.MAXIFS($H$2:H133,$A$2:A133,A133)),W133)),0)</f>
        <v/>
      </c>
      <c r="H133">
        <f>IF(AND(E133=1,B133="RECEIPT"),ROW(),0)</f>
        <v/>
      </c>
      <c r="I133">
        <f>IF(E133=1,IF(OR(B133="SALE",B133="WRITEOFF"),Transactions!E133,0),0)</f>
        <v/>
      </c>
      <c r="J133">
        <f>SUMIFS($F$1:F132,$A$1:A132,A133)</f>
        <v/>
      </c>
      <c r="K133">
        <f>SUMIFS($I$1:I132,$A$1:A132,A133)</f>
        <v/>
      </c>
      <c r="L133">
        <f>IFERROR(VLOOKUP(A133,Opening!$A:$C,3,0),0)</f>
        <v/>
      </c>
      <c r="M133">
        <f>IF(I133=0,0,MAX(0,MIN(INDEX(Month!H$2:H$13,MATCH($A133,Month!$A$2:$A$13,0))-K133,I133)))</f>
        <v/>
      </c>
      <c r="N133">
        <f>IF(I133=0,0,MAX(0,MIN(INDEX(Month!I$2:I$13,MATCH($A133,Month!$A$2:$A$13,0))-K133,I133)))</f>
        <v/>
      </c>
      <c r="O133">
        <f>IF(I133=0,0,MAX(0,MIN(INDEX(Month!J$2:J$13,MATCH($A133,Month!$A$2:$A$13,0))-K133,I133)))</f>
        <v/>
      </c>
      <c r="P133">
        <f>IF(I133=0,0,(MIN(MAX(K133,0),L133)*W133+SUMPRODUCT((Calc!$A$2:$A$1001=A133)*Calc!$G$2:$G$1001*(((K133-(L133+Calc!$J$2:$J$1001))&gt;0)*((K133-(L133+Calc!$J$2:$J$1001))&lt;Calc!$F$2:$F$1001)*(K133-(L133+Calc!$J$2:$J$1001))+((K133-(L133+Calc!$J$2:$J$1001))&gt;=Calc!$F$2:$F$1001)*Calc!$F$2:$F$1001))))</f>
        <v/>
      </c>
      <c r="Q133">
        <f>IF(I133=0,0,(MIN(MAX((K133+M133),0),L133)*W133+SUMPRODUCT((Calc!$A$2:$A$1001=A133)*Calc!$G$2:$G$1001*((((K133+M133)-(L133+Calc!$J$2:$J$1001))&gt;0)*(((K133+M133)-(L133+Calc!$J$2:$J$1001))&lt;Calc!$F$2:$F$1001)*((K133+M133)-(L133+Calc!$J$2:$J$1001))+(((K133+M133)-(L133+Calc!$J$2:$J$1001))&gt;=Calc!$F$2:$F$1001)*Calc!$F$2:$F$1001))))</f>
        <v/>
      </c>
      <c r="R133">
        <f>IF(I133=0,0,(MIN(MAX((K133+N133),0),L133)*W133+SUMPRODUCT((Calc!$A$2:$A$1001=A133)*Calc!$G$2:$G$1001*((((K133+N133)-(L133+Calc!$J$2:$J$1001))&gt;0)*(((K133+N133)-(L133+Calc!$J$2:$J$1001))&lt;Calc!$F$2:$F$1001)*((K133+N133)-(L133+Calc!$J$2:$J$1001))+(((K133+N133)-(L133+Calc!$J$2:$J$1001))&gt;=Calc!$F$2:$F$1001)*Calc!$F$2:$F$1001))))</f>
        <v/>
      </c>
      <c r="S133">
        <f>IF(I133=0,0,(MIN(MAX((K133+O133),0),L133)*W133+SUMPRODUCT((Calc!$A$2:$A$1001=A133)*Calc!$G$2:$G$1001*((((K133+O133)-(L133+Calc!$J$2:$J$1001))&gt;0)*(((K133+O133)-(L133+Calc!$J$2:$J$1001))&lt;Calc!$F$2:$F$1001)*((K133+O133)-(L133+Calc!$J$2:$J$1001))+(((K133+O133)-(L133+Calc!$J$2:$J$1001))&gt;=Calc!$F$2:$F$1001)*Calc!$F$2:$F$1001))))</f>
        <v/>
      </c>
      <c r="T133">
        <f>IF(AND(E133=1,B133="RETURN"),Transactions!E133*Transactions!G133,0)</f>
        <v/>
      </c>
      <c r="U133">
        <f>IF(AND(E133=1,B133="EXPENSE"),Transactions!J133,0)</f>
        <v/>
      </c>
      <c r="V133">
        <f>IF(AND(Transactions!A133&lt;&gt;"",E133=0),ROW(),"")</f>
        <v/>
      </c>
      <c r="W133">
        <f>IFERROR(VLOOKUP(A133,Opening!$A:$D,4,0),0)</f>
        <v/>
      </c>
    </row>
    <row r="134">
      <c r="A134">
        <f>IF(Transactions!D134="","",UPPER(TRIM(Transactions!D134)))</f>
        <v/>
      </c>
      <c r="B134">
        <f>IF(Transactions!C134="","",UPPER(TRIM(Transactions!C134)))</f>
        <v/>
      </c>
      <c r="C134">
        <f>IF(Transactions!B134="",0,YEAR(Transactions!B134)*100+MONTH(Transactions!B134))</f>
        <v/>
      </c>
      <c r="D134">
        <f>IF(Transactions!A134="",1,IF(COUNTIF(Transactions!$A$1:A133,Transactions!A134)&gt;0,1,0))</f>
        <v/>
      </c>
      <c r="E134">
        <f>IF(D134=1,0,IF(B134="RETURN",IF(COUNTIFS($A$1:A133,A134,$B$1:B133,"SALE",$E$1:E133,1)&gt;0,1,0),1))</f>
        <v/>
      </c>
      <c r="F134">
        <f>IF(E134=1,IF(B134="RECEIPT",Transactions!E134,IF(AND(B134="RETURN",LOWER(TRIM(Transactions!H134))="resellable"),Transactions!E134,0)),0)</f>
        <v/>
      </c>
      <c r="G134">
        <f>IF(F134&gt;0,IF(B134="RECEIPT",Transactions!F134,IF(_xlfn.MAXIFS($H$2:H134,$A$2:A134,A134)&gt;0,INDEX(Transactions!$F:$F,_xlfn.MAXIFS($H$2:H134,$A$2:A134,A134)),W134)),0)</f>
        <v/>
      </c>
      <c r="H134">
        <f>IF(AND(E134=1,B134="RECEIPT"),ROW(),0)</f>
        <v/>
      </c>
      <c r="I134">
        <f>IF(E134=1,IF(OR(B134="SALE",B134="WRITEOFF"),Transactions!E134,0),0)</f>
        <v/>
      </c>
      <c r="J134">
        <f>SUMIFS($F$1:F133,$A$1:A133,A134)</f>
        <v/>
      </c>
      <c r="K134">
        <f>SUMIFS($I$1:I133,$A$1:A133,A134)</f>
        <v/>
      </c>
      <c r="L134">
        <f>IFERROR(VLOOKUP(A134,Opening!$A:$C,3,0),0)</f>
        <v/>
      </c>
      <c r="M134">
        <f>IF(I134=0,0,MAX(0,MIN(INDEX(Month!H$2:H$13,MATCH($A134,Month!$A$2:$A$13,0))-K134,I134)))</f>
        <v/>
      </c>
      <c r="N134">
        <f>IF(I134=0,0,MAX(0,MIN(INDEX(Month!I$2:I$13,MATCH($A134,Month!$A$2:$A$13,0))-K134,I134)))</f>
        <v/>
      </c>
      <c r="O134">
        <f>IF(I134=0,0,MAX(0,MIN(INDEX(Month!J$2:J$13,MATCH($A134,Month!$A$2:$A$13,0))-K134,I134)))</f>
        <v/>
      </c>
      <c r="P134">
        <f>IF(I134=0,0,(MIN(MAX(K134,0),L134)*W134+SUMPRODUCT((Calc!$A$2:$A$1001=A134)*Calc!$G$2:$G$1001*(((K134-(L134+Calc!$J$2:$J$1001))&gt;0)*((K134-(L134+Calc!$J$2:$J$1001))&lt;Calc!$F$2:$F$1001)*(K134-(L134+Calc!$J$2:$J$1001))+((K134-(L134+Calc!$J$2:$J$1001))&gt;=Calc!$F$2:$F$1001)*Calc!$F$2:$F$1001))))</f>
        <v/>
      </c>
      <c r="Q134">
        <f>IF(I134=0,0,(MIN(MAX((K134+M134),0),L134)*W134+SUMPRODUCT((Calc!$A$2:$A$1001=A134)*Calc!$G$2:$G$1001*((((K134+M134)-(L134+Calc!$J$2:$J$1001))&gt;0)*(((K134+M134)-(L134+Calc!$J$2:$J$1001))&lt;Calc!$F$2:$F$1001)*((K134+M134)-(L134+Calc!$J$2:$J$1001))+(((K134+M134)-(L134+Calc!$J$2:$J$1001))&gt;=Calc!$F$2:$F$1001)*Calc!$F$2:$F$1001))))</f>
        <v/>
      </c>
      <c r="R134">
        <f>IF(I134=0,0,(MIN(MAX((K134+N134),0),L134)*W134+SUMPRODUCT((Calc!$A$2:$A$1001=A134)*Calc!$G$2:$G$1001*((((K134+N134)-(L134+Calc!$J$2:$J$1001))&gt;0)*(((K134+N134)-(L134+Calc!$J$2:$J$1001))&lt;Calc!$F$2:$F$1001)*((K134+N134)-(L134+Calc!$J$2:$J$1001))+(((K134+N134)-(L134+Calc!$J$2:$J$1001))&gt;=Calc!$F$2:$F$1001)*Calc!$F$2:$F$1001))))</f>
        <v/>
      </c>
      <c r="S134">
        <f>IF(I134=0,0,(MIN(MAX((K134+O134),0),L134)*W134+SUMPRODUCT((Calc!$A$2:$A$1001=A134)*Calc!$G$2:$G$1001*((((K134+O134)-(L134+Calc!$J$2:$J$1001))&gt;0)*(((K134+O134)-(L134+Calc!$J$2:$J$1001))&lt;Calc!$F$2:$F$1001)*((K134+O134)-(L134+Calc!$J$2:$J$1001))+(((K134+O134)-(L134+Calc!$J$2:$J$1001))&gt;=Calc!$F$2:$F$1001)*Calc!$F$2:$F$1001))))</f>
        <v/>
      </c>
      <c r="T134">
        <f>IF(AND(E134=1,B134="RETURN"),Transactions!E134*Transactions!G134,0)</f>
        <v/>
      </c>
      <c r="U134">
        <f>IF(AND(E134=1,B134="EXPENSE"),Transactions!J134,0)</f>
        <v/>
      </c>
      <c r="V134">
        <f>IF(AND(Transactions!A134&lt;&gt;"",E134=0),ROW(),"")</f>
        <v/>
      </c>
      <c r="W134">
        <f>IFERROR(VLOOKUP(A134,Opening!$A:$D,4,0),0)</f>
        <v/>
      </c>
    </row>
    <row r="135">
      <c r="A135">
        <f>IF(Transactions!D135="","",UPPER(TRIM(Transactions!D135)))</f>
        <v/>
      </c>
      <c r="B135">
        <f>IF(Transactions!C135="","",UPPER(TRIM(Transactions!C135)))</f>
        <v/>
      </c>
      <c r="C135">
        <f>IF(Transactions!B135="",0,YEAR(Transactions!B135)*100+MONTH(Transactions!B135))</f>
        <v/>
      </c>
      <c r="D135">
        <f>IF(Transactions!A135="",1,IF(COUNTIF(Transactions!$A$1:A134,Transactions!A135)&gt;0,1,0))</f>
        <v/>
      </c>
      <c r="E135">
        <f>IF(D135=1,0,IF(B135="RETURN",IF(COUNTIFS($A$1:A134,A135,$B$1:B134,"SALE",$E$1:E134,1)&gt;0,1,0),1))</f>
        <v/>
      </c>
      <c r="F135">
        <f>IF(E135=1,IF(B135="RECEIPT",Transactions!E135,IF(AND(B135="RETURN",LOWER(TRIM(Transactions!H135))="resellable"),Transactions!E135,0)),0)</f>
        <v/>
      </c>
      <c r="G135">
        <f>IF(F135&gt;0,IF(B135="RECEIPT",Transactions!F135,IF(_xlfn.MAXIFS($H$2:H135,$A$2:A135,A135)&gt;0,INDEX(Transactions!$F:$F,_xlfn.MAXIFS($H$2:H135,$A$2:A135,A135)),W135)),0)</f>
        <v/>
      </c>
      <c r="H135">
        <f>IF(AND(E135=1,B135="RECEIPT"),ROW(),0)</f>
        <v/>
      </c>
      <c r="I135">
        <f>IF(E135=1,IF(OR(B135="SALE",B135="WRITEOFF"),Transactions!E135,0),0)</f>
        <v/>
      </c>
      <c r="J135">
        <f>SUMIFS($F$1:F134,$A$1:A134,A135)</f>
        <v/>
      </c>
      <c r="K135">
        <f>SUMIFS($I$1:I134,$A$1:A134,A135)</f>
        <v/>
      </c>
      <c r="L135">
        <f>IFERROR(VLOOKUP(A135,Opening!$A:$C,3,0),0)</f>
        <v/>
      </c>
      <c r="M135">
        <f>IF(I135=0,0,MAX(0,MIN(INDEX(Month!H$2:H$13,MATCH($A135,Month!$A$2:$A$13,0))-K135,I135)))</f>
        <v/>
      </c>
      <c r="N135">
        <f>IF(I135=0,0,MAX(0,MIN(INDEX(Month!I$2:I$13,MATCH($A135,Month!$A$2:$A$13,0))-K135,I135)))</f>
        <v/>
      </c>
      <c r="O135">
        <f>IF(I135=0,0,MAX(0,MIN(INDEX(Month!J$2:J$13,MATCH($A135,Month!$A$2:$A$13,0))-K135,I135)))</f>
        <v/>
      </c>
      <c r="P135">
        <f>IF(I135=0,0,(MIN(MAX(K135,0),L135)*W135+SUMPRODUCT((Calc!$A$2:$A$1001=A135)*Calc!$G$2:$G$1001*(((K135-(L135+Calc!$J$2:$J$1001))&gt;0)*((K135-(L135+Calc!$J$2:$J$1001))&lt;Calc!$F$2:$F$1001)*(K135-(L135+Calc!$J$2:$J$1001))+((K135-(L135+Calc!$J$2:$J$1001))&gt;=Calc!$F$2:$F$1001)*Calc!$F$2:$F$1001))))</f>
        <v/>
      </c>
      <c r="Q135">
        <f>IF(I135=0,0,(MIN(MAX((K135+M135),0),L135)*W135+SUMPRODUCT((Calc!$A$2:$A$1001=A135)*Calc!$G$2:$G$1001*((((K135+M135)-(L135+Calc!$J$2:$J$1001))&gt;0)*(((K135+M135)-(L135+Calc!$J$2:$J$1001))&lt;Calc!$F$2:$F$1001)*((K135+M135)-(L135+Calc!$J$2:$J$1001))+(((K135+M135)-(L135+Calc!$J$2:$J$1001))&gt;=Calc!$F$2:$F$1001)*Calc!$F$2:$F$1001))))</f>
        <v/>
      </c>
      <c r="R135">
        <f>IF(I135=0,0,(MIN(MAX((K135+N135),0),L135)*W135+SUMPRODUCT((Calc!$A$2:$A$1001=A135)*Calc!$G$2:$G$1001*((((K135+N135)-(L135+Calc!$J$2:$J$1001))&gt;0)*(((K135+N135)-(L135+Calc!$J$2:$J$1001))&lt;Calc!$F$2:$F$1001)*((K135+N135)-(L135+Calc!$J$2:$J$1001))+(((K135+N135)-(L135+Calc!$J$2:$J$1001))&gt;=Calc!$F$2:$F$1001)*Calc!$F$2:$F$1001))))</f>
        <v/>
      </c>
      <c r="S135">
        <f>IF(I135=0,0,(MIN(MAX((K135+O135),0),L135)*W135+SUMPRODUCT((Calc!$A$2:$A$1001=A135)*Calc!$G$2:$G$1001*((((K135+O135)-(L135+Calc!$J$2:$J$1001))&gt;0)*(((K135+O135)-(L135+Calc!$J$2:$J$1001))&lt;Calc!$F$2:$F$1001)*((K135+O135)-(L135+Calc!$J$2:$J$1001))+(((K135+O135)-(L135+Calc!$J$2:$J$1001))&gt;=Calc!$F$2:$F$1001)*Calc!$F$2:$F$1001))))</f>
        <v/>
      </c>
      <c r="T135">
        <f>IF(AND(E135=1,B135="RETURN"),Transactions!E135*Transactions!G135,0)</f>
        <v/>
      </c>
      <c r="U135">
        <f>IF(AND(E135=1,B135="EXPENSE"),Transactions!J135,0)</f>
        <v/>
      </c>
      <c r="V135">
        <f>IF(AND(Transactions!A135&lt;&gt;"",E135=0),ROW(),"")</f>
        <v/>
      </c>
      <c r="W135">
        <f>IFERROR(VLOOKUP(A135,Opening!$A:$D,4,0),0)</f>
        <v/>
      </c>
    </row>
    <row r="136">
      <c r="A136">
        <f>IF(Transactions!D136="","",UPPER(TRIM(Transactions!D136)))</f>
        <v/>
      </c>
      <c r="B136">
        <f>IF(Transactions!C136="","",UPPER(TRIM(Transactions!C136)))</f>
        <v/>
      </c>
      <c r="C136">
        <f>IF(Transactions!B136="",0,YEAR(Transactions!B136)*100+MONTH(Transactions!B136))</f>
        <v/>
      </c>
      <c r="D136">
        <f>IF(Transactions!A136="",1,IF(COUNTIF(Transactions!$A$1:A135,Transactions!A136)&gt;0,1,0))</f>
        <v/>
      </c>
      <c r="E136">
        <f>IF(D136=1,0,IF(B136="RETURN",IF(COUNTIFS($A$1:A135,A136,$B$1:B135,"SALE",$E$1:E135,1)&gt;0,1,0),1))</f>
        <v/>
      </c>
      <c r="F136">
        <f>IF(E136=1,IF(B136="RECEIPT",Transactions!E136,IF(AND(B136="RETURN",LOWER(TRIM(Transactions!H136))="resellable"),Transactions!E136,0)),0)</f>
        <v/>
      </c>
      <c r="G136">
        <f>IF(F136&gt;0,IF(B136="RECEIPT",Transactions!F136,IF(_xlfn.MAXIFS($H$2:H136,$A$2:A136,A136)&gt;0,INDEX(Transactions!$F:$F,_xlfn.MAXIFS($H$2:H136,$A$2:A136,A136)),W136)),0)</f>
        <v/>
      </c>
      <c r="H136">
        <f>IF(AND(E136=1,B136="RECEIPT"),ROW(),0)</f>
        <v/>
      </c>
      <c r="I136">
        <f>IF(E136=1,IF(OR(B136="SALE",B136="WRITEOFF"),Transactions!E136,0),0)</f>
        <v/>
      </c>
      <c r="J136">
        <f>SUMIFS($F$1:F135,$A$1:A135,A136)</f>
        <v/>
      </c>
      <c r="K136">
        <f>SUMIFS($I$1:I135,$A$1:A135,A136)</f>
        <v/>
      </c>
      <c r="L136">
        <f>IFERROR(VLOOKUP(A136,Opening!$A:$C,3,0),0)</f>
        <v/>
      </c>
      <c r="M136">
        <f>IF(I136=0,0,MAX(0,MIN(INDEX(Month!H$2:H$13,MATCH($A136,Month!$A$2:$A$13,0))-K136,I136)))</f>
        <v/>
      </c>
      <c r="N136">
        <f>IF(I136=0,0,MAX(0,MIN(INDEX(Month!I$2:I$13,MATCH($A136,Month!$A$2:$A$13,0))-K136,I136)))</f>
        <v/>
      </c>
      <c r="O136">
        <f>IF(I136=0,0,MAX(0,MIN(INDEX(Month!J$2:J$13,MATCH($A136,Month!$A$2:$A$13,0))-K136,I136)))</f>
        <v/>
      </c>
      <c r="P136">
        <f>IF(I136=0,0,(MIN(MAX(K136,0),L136)*W136+SUMPRODUCT((Calc!$A$2:$A$1001=A136)*Calc!$G$2:$G$1001*(((K136-(L136+Calc!$J$2:$J$1001))&gt;0)*((K136-(L136+Calc!$J$2:$J$1001))&lt;Calc!$F$2:$F$1001)*(K136-(L136+Calc!$J$2:$J$1001))+((K136-(L136+Calc!$J$2:$J$1001))&gt;=Calc!$F$2:$F$1001)*Calc!$F$2:$F$1001))))</f>
        <v/>
      </c>
      <c r="Q136">
        <f>IF(I136=0,0,(MIN(MAX((K136+M136),0),L136)*W136+SUMPRODUCT((Calc!$A$2:$A$1001=A136)*Calc!$G$2:$G$1001*((((K136+M136)-(L136+Calc!$J$2:$J$1001))&gt;0)*(((K136+M136)-(L136+Calc!$J$2:$J$1001))&lt;Calc!$F$2:$F$1001)*((K136+M136)-(L136+Calc!$J$2:$J$1001))+(((K136+M136)-(L136+Calc!$J$2:$J$1001))&gt;=Calc!$F$2:$F$1001)*Calc!$F$2:$F$1001))))</f>
        <v/>
      </c>
      <c r="R136">
        <f>IF(I136=0,0,(MIN(MAX((K136+N136),0),L136)*W136+SUMPRODUCT((Calc!$A$2:$A$1001=A136)*Calc!$G$2:$G$1001*((((K136+N136)-(L136+Calc!$J$2:$J$1001))&gt;0)*(((K136+N136)-(L136+Calc!$J$2:$J$1001))&lt;Calc!$F$2:$F$1001)*((K136+N136)-(L136+Calc!$J$2:$J$1001))+(((K136+N136)-(L136+Calc!$J$2:$J$1001))&gt;=Calc!$F$2:$F$1001)*Calc!$F$2:$F$1001))))</f>
        <v/>
      </c>
      <c r="S136">
        <f>IF(I136=0,0,(MIN(MAX((K136+O136),0),L136)*W136+SUMPRODUCT((Calc!$A$2:$A$1001=A136)*Calc!$G$2:$G$1001*((((K136+O136)-(L136+Calc!$J$2:$J$1001))&gt;0)*(((K136+O136)-(L136+Calc!$J$2:$J$1001))&lt;Calc!$F$2:$F$1001)*((K136+O136)-(L136+Calc!$J$2:$J$1001))+(((K136+O136)-(L136+Calc!$J$2:$J$1001))&gt;=Calc!$F$2:$F$1001)*Calc!$F$2:$F$1001))))</f>
        <v/>
      </c>
      <c r="T136">
        <f>IF(AND(E136=1,B136="RETURN"),Transactions!E136*Transactions!G136,0)</f>
        <v/>
      </c>
      <c r="U136">
        <f>IF(AND(E136=1,B136="EXPENSE"),Transactions!J136,0)</f>
        <v/>
      </c>
      <c r="V136">
        <f>IF(AND(Transactions!A136&lt;&gt;"",E136=0),ROW(),"")</f>
        <v/>
      </c>
      <c r="W136">
        <f>IFERROR(VLOOKUP(A136,Opening!$A:$D,4,0),0)</f>
        <v/>
      </c>
    </row>
    <row r="137">
      <c r="A137">
        <f>IF(Transactions!D137="","",UPPER(TRIM(Transactions!D137)))</f>
        <v/>
      </c>
      <c r="B137">
        <f>IF(Transactions!C137="","",UPPER(TRIM(Transactions!C137)))</f>
        <v/>
      </c>
      <c r="C137">
        <f>IF(Transactions!B137="",0,YEAR(Transactions!B137)*100+MONTH(Transactions!B137))</f>
        <v/>
      </c>
      <c r="D137">
        <f>IF(Transactions!A137="",1,IF(COUNTIF(Transactions!$A$1:A136,Transactions!A137)&gt;0,1,0))</f>
        <v/>
      </c>
      <c r="E137">
        <f>IF(D137=1,0,IF(B137="RETURN",IF(COUNTIFS($A$1:A136,A137,$B$1:B136,"SALE",$E$1:E136,1)&gt;0,1,0),1))</f>
        <v/>
      </c>
      <c r="F137">
        <f>IF(E137=1,IF(B137="RECEIPT",Transactions!E137,IF(AND(B137="RETURN",LOWER(TRIM(Transactions!H137))="resellable"),Transactions!E137,0)),0)</f>
        <v/>
      </c>
      <c r="G137">
        <f>IF(F137&gt;0,IF(B137="RECEIPT",Transactions!F137,IF(_xlfn.MAXIFS($H$2:H137,$A$2:A137,A137)&gt;0,INDEX(Transactions!$F:$F,_xlfn.MAXIFS($H$2:H137,$A$2:A137,A137)),W137)),0)</f>
        <v/>
      </c>
      <c r="H137">
        <f>IF(AND(E137=1,B137="RECEIPT"),ROW(),0)</f>
        <v/>
      </c>
      <c r="I137">
        <f>IF(E137=1,IF(OR(B137="SALE",B137="WRITEOFF"),Transactions!E137,0),0)</f>
        <v/>
      </c>
      <c r="J137">
        <f>SUMIFS($F$1:F136,$A$1:A136,A137)</f>
        <v/>
      </c>
      <c r="K137">
        <f>SUMIFS($I$1:I136,$A$1:A136,A137)</f>
        <v/>
      </c>
      <c r="L137">
        <f>IFERROR(VLOOKUP(A137,Opening!$A:$C,3,0),0)</f>
        <v/>
      </c>
      <c r="M137">
        <f>IF(I137=0,0,MAX(0,MIN(INDEX(Month!H$2:H$13,MATCH($A137,Month!$A$2:$A$13,0))-K137,I137)))</f>
        <v/>
      </c>
      <c r="N137">
        <f>IF(I137=0,0,MAX(0,MIN(INDEX(Month!I$2:I$13,MATCH($A137,Month!$A$2:$A$13,0))-K137,I137)))</f>
        <v/>
      </c>
      <c r="O137">
        <f>IF(I137=0,0,MAX(0,MIN(INDEX(Month!J$2:J$13,MATCH($A137,Month!$A$2:$A$13,0))-K137,I137)))</f>
        <v/>
      </c>
      <c r="P137">
        <f>IF(I137=0,0,(MIN(MAX(K137,0),L137)*W137+SUMPRODUCT((Calc!$A$2:$A$1001=A137)*Calc!$G$2:$G$1001*(((K137-(L137+Calc!$J$2:$J$1001))&gt;0)*((K137-(L137+Calc!$J$2:$J$1001))&lt;Calc!$F$2:$F$1001)*(K137-(L137+Calc!$J$2:$J$1001))+((K137-(L137+Calc!$J$2:$J$1001))&gt;=Calc!$F$2:$F$1001)*Calc!$F$2:$F$1001))))</f>
        <v/>
      </c>
      <c r="Q137">
        <f>IF(I137=0,0,(MIN(MAX((K137+M137),0),L137)*W137+SUMPRODUCT((Calc!$A$2:$A$1001=A137)*Calc!$G$2:$G$1001*((((K137+M137)-(L137+Calc!$J$2:$J$1001))&gt;0)*(((K137+M137)-(L137+Calc!$J$2:$J$1001))&lt;Calc!$F$2:$F$1001)*((K137+M137)-(L137+Calc!$J$2:$J$1001))+(((K137+M137)-(L137+Calc!$J$2:$J$1001))&gt;=Calc!$F$2:$F$1001)*Calc!$F$2:$F$1001))))</f>
        <v/>
      </c>
      <c r="R137">
        <f>IF(I137=0,0,(MIN(MAX((K137+N137),0),L137)*W137+SUMPRODUCT((Calc!$A$2:$A$1001=A137)*Calc!$G$2:$G$1001*((((K137+N137)-(L137+Calc!$J$2:$J$1001))&gt;0)*(((K137+N137)-(L137+Calc!$J$2:$J$1001))&lt;Calc!$F$2:$F$1001)*((K137+N137)-(L137+Calc!$J$2:$J$1001))+(((K137+N137)-(L137+Calc!$J$2:$J$1001))&gt;=Calc!$F$2:$F$1001)*Calc!$F$2:$F$1001))))</f>
        <v/>
      </c>
      <c r="S137">
        <f>IF(I137=0,0,(MIN(MAX((K137+O137),0),L137)*W137+SUMPRODUCT((Calc!$A$2:$A$1001=A137)*Calc!$G$2:$G$1001*((((K137+O137)-(L137+Calc!$J$2:$J$1001))&gt;0)*(((K137+O137)-(L137+Calc!$J$2:$J$1001))&lt;Calc!$F$2:$F$1001)*((K137+O137)-(L137+Calc!$J$2:$J$1001))+(((K137+O137)-(L137+Calc!$J$2:$J$1001))&gt;=Calc!$F$2:$F$1001)*Calc!$F$2:$F$1001))))</f>
        <v/>
      </c>
      <c r="T137">
        <f>IF(AND(E137=1,B137="RETURN"),Transactions!E137*Transactions!G137,0)</f>
        <v/>
      </c>
      <c r="U137">
        <f>IF(AND(E137=1,B137="EXPENSE"),Transactions!J137,0)</f>
        <v/>
      </c>
      <c r="V137">
        <f>IF(AND(Transactions!A137&lt;&gt;"",E137=0),ROW(),"")</f>
        <v/>
      </c>
      <c r="W137">
        <f>IFERROR(VLOOKUP(A137,Opening!$A:$D,4,0),0)</f>
        <v/>
      </c>
    </row>
    <row r="138">
      <c r="A138">
        <f>IF(Transactions!D138="","",UPPER(TRIM(Transactions!D138)))</f>
        <v/>
      </c>
      <c r="B138">
        <f>IF(Transactions!C138="","",UPPER(TRIM(Transactions!C138)))</f>
        <v/>
      </c>
      <c r="C138">
        <f>IF(Transactions!B138="",0,YEAR(Transactions!B138)*100+MONTH(Transactions!B138))</f>
        <v/>
      </c>
      <c r="D138">
        <f>IF(Transactions!A138="",1,IF(COUNTIF(Transactions!$A$1:A137,Transactions!A138)&gt;0,1,0))</f>
        <v/>
      </c>
      <c r="E138">
        <f>IF(D138=1,0,IF(B138="RETURN",IF(COUNTIFS($A$1:A137,A138,$B$1:B137,"SALE",$E$1:E137,1)&gt;0,1,0),1))</f>
        <v/>
      </c>
      <c r="F138">
        <f>IF(E138=1,IF(B138="RECEIPT",Transactions!E138,IF(AND(B138="RETURN",LOWER(TRIM(Transactions!H138))="resellable"),Transactions!E138,0)),0)</f>
        <v/>
      </c>
      <c r="G138">
        <f>IF(F138&gt;0,IF(B138="RECEIPT",Transactions!F138,IF(_xlfn.MAXIFS($H$2:H138,$A$2:A138,A138)&gt;0,INDEX(Transactions!$F:$F,_xlfn.MAXIFS($H$2:H138,$A$2:A138,A138)),W138)),0)</f>
        <v/>
      </c>
      <c r="H138">
        <f>IF(AND(E138=1,B138="RECEIPT"),ROW(),0)</f>
        <v/>
      </c>
      <c r="I138">
        <f>IF(E138=1,IF(OR(B138="SALE",B138="WRITEOFF"),Transactions!E138,0),0)</f>
        <v/>
      </c>
      <c r="J138">
        <f>SUMIFS($F$1:F137,$A$1:A137,A138)</f>
        <v/>
      </c>
      <c r="K138">
        <f>SUMIFS($I$1:I137,$A$1:A137,A138)</f>
        <v/>
      </c>
      <c r="L138">
        <f>IFERROR(VLOOKUP(A138,Opening!$A:$C,3,0),0)</f>
        <v/>
      </c>
      <c r="M138">
        <f>IF(I138=0,0,MAX(0,MIN(INDEX(Month!H$2:H$13,MATCH($A138,Month!$A$2:$A$13,0))-K138,I138)))</f>
        <v/>
      </c>
      <c r="N138">
        <f>IF(I138=0,0,MAX(0,MIN(INDEX(Month!I$2:I$13,MATCH($A138,Month!$A$2:$A$13,0))-K138,I138)))</f>
        <v/>
      </c>
      <c r="O138">
        <f>IF(I138=0,0,MAX(0,MIN(INDEX(Month!J$2:J$13,MATCH($A138,Month!$A$2:$A$13,0))-K138,I138)))</f>
        <v/>
      </c>
      <c r="P138">
        <f>IF(I138=0,0,(MIN(MAX(K138,0),L138)*W138+SUMPRODUCT((Calc!$A$2:$A$1001=A138)*Calc!$G$2:$G$1001*(((K138-(L138+Calc!$J$2:$J$1001))&gt;0)*((K138-(L138+Calc!$J$2:$J$1001))&lt;Calc!$F$2:$F$1001)*(K138-(L138+Calc!$J$2:$J$1001))+((K138-(L138+Calc!$J$2:$J$1001))&gt;=Calc!$F$2:$F$1001)*Calc!$F$2:$F$1001))))</f>
        <v/>
      </c>
      <c r="Q138">
        <f>IF(I138=0,0,(MIN(MAX((K138+M138),0),L138)*W138+SUMPRODUCT((Calc!$A$2:$A$1001=A138)*Calc!$G$2:$G$1001*((((K138+M138)-(L138+Calc!$J$2:$J$1001))&gt;0)*(((K138+M138)-(L138+Calc!$J$2:$J$1001))&lt;Calc!$F$2:$F$1001)*((K138+M138)-(L138+Calc!$J$2:$J$1001))+(((K138+M138)-(L138+Calc!$J$2:$J$1001))&gt;=Calc!$F$2:$F$1001)*Calc!$F$2:$F$1001))))</f>
        <v/>
      </c>
      <c r="R138">
        <f>IF(I138=0,0,(MIN(MAX((K138+N138),0),L138)*W138+SUMPRODUCT((Calc!$A$2:$A$1001=A138)*Calc!$G$2:$G$1001*((((K138+N138)-(L138+Calc!$J$2:$J$1001))&gt;0)*(((K138+N138)-(L138+Calc!$J$2:$J$1001))&lt;Calc!$F$2:$F$1001)*((K138+N138)-(L138+Calc!$J$2:$J$1001))+(((K138+N138)-(L138+Calc!$J$2:$J$1001))&gt;=Calc!$F$2:$F$1001)*Calc!$F$2:$F$1001))))</f>
        <v/>
      </c>
      <c r="S138">
        <f>IF(I138=0,0,(MIN(MAX((K138+O138),0),L138)*W138+SUMPRODUCT((Calc!$A$2:$A$1001=A138)*Calc!$G$2:$G$1001*((((K138+O138)-(L138+Calc!$J$2:$J$1001))&gt;0)*(((K138+O138)-(L138+Calc!$J$2:$J$1001))&lt;Calc!$F$2:$F$1001)*((K138+O138)-(L138+Calc!$J$2:$J$1001))+(((K138+O138)-(L138+Calc!$J$2:$J$1001))&gt;=Calc!$F$2:$F$1001)*Calc!$F$2:$F$1001))))</f>
        <v/>
      </c>
      <c r="T138">
        <f>IF(AND(E138=1,B138="RETURN"),Transactions!E138*Transactions!G138,0)</f>
        <v/>
      </c>
      <c r="U138">
        <f>IF(AND(E138=1,B138="EXPENSE"),Transactions!J138,0)</f>
        <v/>
      </c>
      <c r="V138">
        <f>IF(AND(Transactions!A138&lt;&gt;"",E138=0),ROW(),"")</f>
        <v/>
      </c>
      <c r="W138">
        <f>IFERROR(VLOOKUP(A138,Opening!$A:$D,4,0),0)</f>
        <v/>
      </c>
    </row>
    <row r="139">
      <c r="A139">
        <f>IF(Transactions!D139="","",UPPER(TRIM(Transactions!D139)))</f>
        <v/>
      </c>
      <c r="B139">
        <f>IF(Transactions!C139="","",UPPER(TRIM(Transactions!C139)))</f>
        <v/>
      </c>
      <c r="C139">
        <f>IF(Transactions!B139="",0,YEAR(Transactions!B139)*100+MONTH(Transactions!B139))</f>
        <v/>
      </c>
      <c r="D139">
        <f>IF(Transactions!A139="",1,IF(COUNTIF(Transactions!$A$1:A138,Transactions!A139)&gt;0,1,0))</f>
        <v/>
      </c>
      <c r="E139">
        <f>IF(D139=1,0,IF(B139="RETURN",IF(COUNTIFS($A$1:A138,A139,$B$1:B138,"SALE",$E$1:E138,1)&gt;0,1,0),1))</f>
        <v/>
      </c>
      <c r="F139">
        <f>IF(E139=1,IF(B139="RECEIPT",Transactions!E139,IF(AND(B139="RETURN",LOWER(TRIM(Transactions!H139))="resellable"),Transactions!E139,0)),0)</f>
        <v/>
      </c>
      <c r="G139">
        <f>IF(F139&gt;0,IF(B139="RECEIPT",Transactions!F139,IF(_xlfn.MAXIFS($H$2:H139,$A$2:A139,A139)&gt;0,INDEX(Transactions!$F:$F,_xlfn.MAXIFS($H$2:H139,$A$2:A139,A139)),W139)),0)</f>
        <v/>
      </c>
      <c r="H139">
        <f>IF(AND(E139=1,B139="RECEIPT"),ROW(),0)</f>
        <v/>
      </c>
      <c r="I139">
        <f>IF(E139=1,IF(OR(B139="SALE",B139="WRITEOFF"),Transactions!E139,0),0)</f>
        <v/>
      </c>
      <c r="J139">
        <f>SUMIFS($F$1:F138,$A$1:A138,A139)</f>
        <v/>
      </c>
      <c r="K139">
        <f>SUMIFS($I$1:I138,$A$1:A138,A139)</f>
        <v/>
      </c>
      <c r="L139">
        <f>IFERROR(VLOOKUP(A139,Opening!$A:$C,3,0),0)</f>
        <v/>
      </c>
      <c r="M139">
        <f>IF(I139=0,0,MAX(0,MIN(INDEX(Month!H$2:H$13,MATCH($A139,Month!$A$2:$A$13,0))-K139,I139)))</f>
        <v/>
      </c>
      <c r="N139">
        <f>IF(I139=0,0,MAX(0,MIN(INDEX(Month!I$2:I$13,MATCH($A139,Month!$A$2:$A$13,0))-K139,I139)))</f>
        <v/>
      </c>
      <c r="O139">
        <f>IF(I139=0,0,MAX(0,MIN(INDEX(Month!J$2:J$13,MATCH($A139,Month!$A$2:$A$13,0))-K139,I139)))</f>
        <v/>
      </c>
      <c r="P139">
        <f>IF(I139=0,0,(MIN(MAX(K139,0),L139)*W139+SUMPRODUCT((Calc!$A$2:$A$1001=A139)*Calc!$G$2:$G$1001*(((K139-(L139+Calc!$J$2:$J$1001))&gt;0)*((K139-(L139+Calc!$J$2:$J$1001))&lt;Calc!$F$2:$F$1001)*(K139-(L139+Calc!$J$2:$J$1001))+((K139-(L139+Calc!$J$2:$J$1001))&gt;=Calc!$F$2:$F$1001)*Calc!$F$2:$F$1001))))</f>
        <v/>
      </c>
      <c r="Q139">
        <f>IF(I139=0,0,(MIN(MAX((K139+M139),0),L139)*W139+SUMPRODUCT((Calc!$A$2:$A$1001=A139)*Calc!$G$2:$G$1001*((((K139+M139)-(L139+Calc!$J$2:$J$1001))&gt;0)*(((K139+M139)-(L139+Calc!$J$2:$J$1001))&lt;Calc!$F$2:$F$1001)*((K139+M139)-(L139+Calc!$J$2:$J$1001))+(((K139+M139)-(L139+Calc!$J$2:$J$1001))&gt;=Calc!$F$2:$F$1001)*Calc!$F$2:$F$1001))))</f>
        <v/>
      </c>
      <c r="R139">
        <f>IF(I139=0,0,(MIN(MAX((K139+N139),0),L139)*W139+SUMPRODUCT((Calc!$A$2:$A$1001=A139)*Calc!$G$2:$G$1001*((((K139+N139)-(L139+Calc!$J$2:$J$1001))&gt;0)*(((K139+N139)-(L139+Calc!$J$2:$J$1001))&lt;Calc!$F$2:$F$1001)*((K139+N139)-(L139+Calc!$J$2:$J$1001))+(((K139+N139)-(L139+Calc!$J$2:$J$1001))&gt;=Calc!$F$2:$F$1001)*Calc!$F$2:$F$1001))))</f>
        <v/>
      </c>
      <c r="S139">
        <f>IF(I139=0,0,(MIN(MAX((K139+O139),0),L139)*W139+SUMPRODUCT((Calc!$A$2:$A$1001=A139)*Calc!$G$2:$G$1001*((((K139+O139)-(L139+Calc!$J$2:$J$1001))&gt;0)*(((K139+O139)-(L139+Calc!$J$2:$J$1001))&lt;Calc!$F$2:$F$1001)*((K139+O139)-(L139+Calc!$J$2:$J$1001))+(((K139+O139)-(L139+Calc!$J$2:$J$1001))&gt;=Calc!$F$2:$F$1001)*Calc!$F$2:$F$1001))))</f>
        <v/>
      </c>
      <c r="T139">
        <f>IF(AND(E139=1,B139="RETURN"),Transactions!E139*Transactions!G139,0)</f>
        <v/>
      </c>
      <c r="U139">
        <f>IF(AND(E139=1,B139="EXPENSE"),Transactions!J139,0)</f>
        <v/>
      </c>
      <c r="V139">
        <f>IF(AND(Transactions!A139&lt;&gt;"",E139=0),ROW(),"")</f>
        <v/>
      </c>
      <c r="W139">
        <f>IFERROR(VLOOKUP(A139,Opening!$A:$D,4,0),0)</f>
        <v/>
      </c>
    </row>
    <row r="140">
      <c r="A140">
        <f>IF(Transactions!D140="","",UPPER(TRIM(Transactions!D140)))</f>
        <v/>
      </c>
      <c r="B140">
        <f>IF(Transactions!C140="","",UPPER(TRIM(Transactions!C140)))</f>
        <v/>
      </c>
      <c r="C140">
        <f>IF(Transactions!B140="",0,YEAR(Transactions!B140)*100+MONTH(Transactions!B140))</f>
        <v/>
      </c>
      <c r="D140">
        <f>IF(Transactions!A140="",1,IF(COUNTIF(Transactions!$A$1:A139,Transactions!A140)&gt;0,1,0))</f>
        <v/>
      </c>
      <c r="E140">
        <f>IF(D140=1,0,IF(B140="RETURN",IF(COUNTIFS($A$1:A139,A140,$B$1:B139,"SALE",$E$1:E139,1)&gt;0,1,0),1))</f>
        <v/>
      </c>
      <c r="F140">
        <f>IF(E140=1,IF(B140="RECEIPT",Transactions!E140,IF(AND(B140="RETURN",LOWER(TRIM(Transactions!H140))="resellable"),Transactions!E140,0)),0)</f>
        <v/>
      </c>
      <c r="G140">
        <f>IF(F140&gt;0,IF(B140="RECEIPT",Transactions!F140,IF(_xlfn.MAXIFS($H$2:H140,$A$2:A140,A140)&gt;0,INDEX(Transactions!$F:$F,_xlfn.MAXIFS($H$2:H140,$A$2:A140,A140)),W140)),0)</f>
        <v/>
      </c>
      <c r="H140">
        <f>IF(AND(E140=1,B140="RECEIPT"),ROW(),0)</f>
        <v/>
      </c>
      <c r="I140">
        <f>IF(E140=1,IF(OR(B140="SALE",B140="WRITEOFF"),Transactions!E140,0),0)</f>
        <v/>
      </c>
      <c r="J140">
        <f>SUMIFS($F$1:F139,$A$1:A139,A140)</f>
        <v/>
      </c>
      <c r="K140">
        <f>SUMIFS($I$1:I139,$A$1:A139,A140)</f>
        <v/>
      </c>
      <c r="L140">
        <f>IFERROR(VLOOKUP(A140,Opening!$A:$C,3,0),0)</f>
        <v/>
      </c>
      <c r="M140">
        <f>IF(I140=0,0,MAX(0,MIN(INDEX(Month!H$2:H$13,MATCH($A140,Month!$A$2:$A$13,0))-K140,I140)))</f>
        <v/>
      </c>
      <c r="N140">
        <f>IF(I140=0,0,MAX(0,MIN(INDEX(Month!I$2:I$13,MATCH($A140,Month!$A$2:$A$13,0))-K140,I140)))</f>
        <v/>
      </c>
      <c r="O140">
        <f>IF(I140=0,0,MAX(0,MIN(INDEX(Month!J$2:J$13,MATCH($A140,Month!$A$2:$A$13,0))-K140,I140)))</f>
        <v/>
      </c>
      <c r="P140">
        <f>IF(I140=0,0,(MIN(MAX(K140,0),L140)*W140+SUMPRODUCT((Calc!$A$2:$A$1001=A140)*Calc!$G$2:$G$1001*(((K140-(L140+Calc!$J$2:$J$1001))&gt;0)*((K140-(L140+Calc!$J$2:$J$1001))&lt;Calc!$F$2:$F$1001)*(K140-(L140+Calc!$J$2:$J$1001))+((K140-(L140+Calc!$J$2:$J$1001))&gt;=Calc!$F$2:$F$1001)*Calc!$F$2:$F$1001))))</f>
        <v/>
      </c>
      <c r="Q140">
        <f>IF(I140=0,0,(MIN(MAX((K140+M140),0),L140)*W140+SUMPRODUCT((Calc!$A$2:$A$1001=A140)*Calc!$G$2:$G$1001*((((K140+M140)-(L140+Calc!$J$2:$J$1001))&gt;0)*(((K140+M140)-(L140+Calc!$J$2:$J$1001))&lt;Calc!$F$2:$F$1001)*((K140+M140)-(L140+Calc!$J$2:$J$1001))+(((K140+M140)-(L140+Calc!$J$2:$J$1001))&gt;=Calc!$F$2:$F$1001)*Calc!$F$2:$F$1001))))</f>
        <v/>
      </c>
      <c r="R140">
        <f>IF(I140=0,0,(MIN(MAX((K140+N140),0),L140)*W140+SUMPRODUCT((Calc!$A$2:$A$1001=A140)*Calc!$G$2:$G$1001*((((K140+N140)-(L140+Calc!$J$2:$J$1001))&gt;0)*(((K140+N140)-(L140+Calc!$J$2:$J$1001))&lt;Calc!$F$2:$F$1001)*((K140+N140)-(L140+Calc!$J$2:$J$1001))+(((K140+N140)-(L140+Calc!$J$2:$J$1001))&gt;=Calc!$F$2:$F$1001)*Calc!$F$2:$F$1001))))</f>
        <v/>
      </c>
      <c r="S140">
        <f>IF(I140=0,0,(MIN(MAX((K140+O140),0),L140)*W140+SUMPRODUCT((Calc!$A$2:$A$1001=A140)*Calc!$G$2:$G$1001*((((K140+O140)-(L140+Calc!$J$2:$J$1001))&gt;0)*(((K140+O140)-(L140+Calc!$J$2:$J$1001))&lt;Calc!$F$2:$F$1001)*((K140+O140)-(L140+Calc!$J$2:$J$1001))+(((K140+O140)-(L140+Calc!$J$2:$J$1001))&gt;=Calc!$F$2:$F$1001)*Calc!$F$2:$F$1001))))</f>
        <v/>
      </c>
      <c r="T140">
        <f>IF(AND(E140=1,B140="RETURN"),Transactions!E140*Transactions!G140,0)</f>
        <v/>
      </c>
      <c r="U140">
        <f>IF(AND(E140=1,B140="EXPENSE"),Transactions!J140,0)</f>
        <v/>
      </c>
      <c r="V140">
        <f>IF(AND(Transactions!A140&lt;&gt;"",E140=0),ROW(),"")</f>
        <v/>
      </c>
      <c r="W140">
        <f>IFERROR(VLOOKUP(A140,Opening!$A:$D,4,0),0)</f>
        <v/>
      </c>
    </row>
    <row r="141">
      <c r="A141">
        <f>IF(Transactions!D141="","",UPPER(TRIM(Transactions!D141)))</f>
        <v/>
      </c>
      <c r="B141">
        <f>IF(Transactions!C141="","",UPPER(TRIM(Transactions!C141)))</f>
        <v/>
      </c>
      <c r="C141">
        <f>IF(Transactions!B141="",0,YEAR(Transactions!B141)*100+MONTH(Transactions!B141))</f>
        <v/>
      </c>
      <c r="D141">
        <f>IF(Transactions!A141="",1,IF(COUNTIF(Transactions!$A$1:A140,Transactions!A141)&gt;0,1,0))</f>
        <v/>
      </c>
      <c r="E141">
        <f>IF(D141=1,0,IF(B141="RETURN",IF(COUNTIFS($A$1:A140,A141,$B$1:B140,"SALE",$E$1:E140,1)&gt;0,1,0),1))</f>
        <v/>
      </c>
      <c r="F141">
        <f>IF(E141=1,IF(B141="RECEIPT",Transactions!E141,IF(AND(B141="RETURN",LOWER(TRIM(Transactions!H141))="resellable"),Transactions!E141,0)),0)</f>
        <v/>
      </c>
      <c r="G141">
        <f>IF(F141&gt;0,IF(B141="RECEIPT",Transactions!F141,IF(_xlfn.MAXIFS($H$2:H141,$A$2:A141,A141)&gt;0,INDEX(Transactions!$F:$F,_xlfn.MAXIFS($H$2:H141,$A$2:A141,A141)),W141)),0)</f>
        <v/>
      </c>
      <c r="H141">
        <f>IF(AND(E141=1,B141="RECEIPT"),ROW(),0)</f>
        <v/>
      </c>
      <c r="I141">
        <f>IF(E141=1,IF(OR(B141="SALE",B141="WRITEOFF"),Transactions!E141,0),0)</f>
        <v/>
      </c>
      <c r="J141">
        <f>SUMIFS($F$1:F140,$A$1:A140,A141)</f>
        <v/>
      </c>
      <c r="K141">
        <f>SUMIFS($I$1:I140,$A$1:A140,A141)</f>
        <v/>
      </c>
      <c r="L141">
        <f>IFERROR(VLOOKUP(A141,Opening!$A:$C,3,0),0)</f>
        <v/>
      </c>
      <c r="M141">
        <f>IF(I141=0,0,MAX(0,MIN(INDEX(Month!H$2:H$13,MATCH($A141,Month!$A$2:$A$13,0))-K141,I141)))</f>
        <v/>
      </c>
      <c r="N141">
        <f>IF(I141=0,0,MAX(0,MIN(INDEX(Month!I$2:I$13,MATCH($A141,Month!$A$2:$A$13,0))-K141,I141)))</f>
        <v/>
      </c>
      <c r="O141">
        <f>IF(I141=0,0,MAX(0,MIN(INDEX(Month!J$2:J$13,MATCH($A141,Month!$A$2:$A$13,0))-K141,I141)))</f>
        <v/>
      </c>
      <c r="P141">
        <f>IF(I141=0,0,(MIN(MAX(K141,0),L141)*W141+SUMPRODUCT((Calc!$A$2:$A$1001=A141)*Calc!$G$2:$G$1001*(((K141-(L141+Calc!$J$2:$J$1001))&gt;0)*((K141-(L141+Calc!$J$2:$J$1001))&lt;Calc!$F$2:$F$1001)*(K141-(L141+Calc!$J$2:$J$1001))+((K141-(L141+Calc!$J$2:$J$1001))&gt;=Calc!$F$2:$F$1001)*Calc!$F$2:$F$1001))))</f>
        <v/>
      </c>
      <c r="Q141">
        <f>IF(I141=0,0,(MIN(MAX((K141+M141),0),L141)*W141+SUMPRODUCT((Calc!$A$2:$A$1001=A141)*Calc!$G$2:$G$1001*((((K141+M141)-(L141+Calc!$J$2:$J$1001))&gt;0)*(((K141+M141)-(L141+Calc!$J$2:$J$1001))&lt;Calc!$F$2:$F$1001)*((K141+M141)-(L141+Calc!$J$2:$J$1001))+(((K141+M141)-(L141+Calc!$J$2:$J$1001))&gt;=Calc!$F$2:$F$1001)*Calc!$F$2:$F$1001))))</f>
        <v/>
      </c>
      <c r="R141">
        <f>IF(I141=0,0,(MIN(MAX((K141+N141),0),L141)*W141+SUMPRODUCT((Calc!$A$2:$A$1001=A141)*Calc!$G$2:$G$1001*((((K141+N141)-(L141+Calc!$J$2:$J$1001))&gt;0)*(((K141+N141)-(L141+Calc!$J$2:$J$1001))&lt;Calc!$F$2:$F$1001)*((K141+N141)-(L141+Calc!$J$2:$J$1001))+(((K141+N141)-(L141+Calc!$J$2:$J$1001))&gt;=Calc!$F$2:$F$1001)*Calc!$F$2:$F$1001))))</f>
        <v/>
      </c>
      <c r="S141">
        <f>IF(I141=0,0,(MIN(MAX((K141+O141),0),L141)*W141+SUMPRODUCT((Calc!$A$2:$A$1001=A141)*Calc!$G$2:$G$1001*((((K141+O141)-(L141+Calc!$J$2:$J$1001))&gt;0)*(((K141+O141)-(L141+Calc!$J$2:$J$1001))&lt;Calc!$F$2:$F$1001)*((K141+O141)-(L141+Calc!$J$2:$J$1001))+(((K141+O141)-(L141+Calc!$J$2:$J$1001))&gt;=Calc!$F$2:$F$1001)*Calc!$F$2:$F$1001))))</f>
        <v/>
      </c>
      <c r="T141">
        <f>IF(AND(E141=1,B141="RETURN"),Transactions!E141*Transactions!G141,0)</f>
        <v/>
      </c>
      <c r="U141">
        <f>IF(AND(E141=1,B141="EXPENSE"),Transactions!J141,0)</f>
        <v/>
      </c>
      <c r="V141">
        <f>IF(AND(Transactions!A141&lt;&gt;"",E141=0),ROW(),"")</f>
        <v/>
      </c>
      <c r="W141">
        <f>IFERROR(VLOOKUP(A141,Opening!$A:$D,4,0),0)</f>
        <v/>
      </c>
    </row>
    <row r="142">
      <c r="A142">
        <f>IF(Transactions!D142="","",UPPER(TRIM(Transactions!D142)))</f>
        <v/>
      </c>
      <c r="B142">
        <f>IF(Transactions!C142="","",UPPER(TRIM(Transactions!C142)))</f>
        <v/>
      </c>
      <c r="C142">
        <f>IF(Transactions!B142="",0,YEAR(Transactions!B142)*100+MONTH(Transactions!B142))</f>
        <v/>
      </c>
      <c r="D142">
        <f>IF(Transactions!A142="",1,IF(COUNTIF(Transactions!$A$1:A141,Transactions!A142)&gt;0,1,0))</f>
        <v/>
      </c>
      <c r="E142">
        <f>IF(D142=1,0,IF(B142="RETURN",IF(COUNTIFS($A$1:A141,A142,$B$1:B141,"SALE",$E$1:E141,1)&gt;0,1,0),1))</f>
        <v/>
      </c>
      <c r="F142">
        <f>IF(E142=1,IF(B142="RECEIPT",Transactions!E142,IF(AND(B142="RETURN",LOWER(TRIM(Transactions!H142))="resellable"),Transactions!E142,0)),0)</f>
        <v/>
      </c>
      <c r="G142">
        <f>IF(F142&gt;0,IF(B142="RECEIPT",Transactions!F142,IF(_xlfn.MAXIFS($H$2:H142,$A$2:A142,A142)&gt;0,INDEX(Transactions!$F:$F,_xlfn.MAXIFS($H$2:H142,$A$2:A142,A142)),W142)),0)</f>
        <v/>
      </c>
      <c r="H142">
        <f>IF(AND(E142=1,B142="RECEIPT"),ROW(),0)</f>
        <v/>
      </c>
      <c r="I142">
        <f>IF(E142=1,IF(OR(B142="SALE",B142="WRITEOFF"),Transactions!E142,0),0)</f>
        <v/>
      </c>
      <c r="J142">
        <f>SUMIFS($F$1:F141,$A$1:A141,A142)</f>
        <v/>
      </c>
      <c r="K142">
        <f>SUMIFS($I$1:I141,$A$1:A141,A142)</f>
        <v/>
      </c>
      <c r="L142">
        <f>IFERROR(VLOOKUP(A142,Opening!$A:$C,3,0),0)</f>
        <v/>
      </c>
      <c r="M142">
        <f>IF(I142=0,0,MAX(0,MIN(INDEX(Month!H$2:H$13,MATCH($A142,Month!$A$2:$A$13,0))-K142,I142)))</f>
        <v/>
      </c>
      <c r="N142">
        <f>IF(I142=0,0,MAX(0,MIN(INDEX(Month!I$2:I$13,MATCH($A142,Month!$A$2:$A$13,0))-K142,I142)))</f>
        <v/>
      </c>
      <c r="O142">
        <f>IF(I142=0,0,MAX(0,MIN(INDEX(Month!J$2:J$13,MATCH($A142,Month!$A$2:$A$13,0))-K142,I142)))</f>
        <v/>
      </c>
      <c r="P142">
        <f>IF(I142=0,0,(MIN(MAX(K142,0),L142)*W142+SUMPRODUCT((Calc!$A$2:$A$1001=A142)*Calc!$G$2:$G$1001*(((K142-(L142+Calc!$J$2:$J$1001))&gt;0)*((K142-(L142+Calc!$J$2:$J$1001))&lt;Calc!$F$2:$F$1001)*(K142-(L142+Calc!$J$2:$J$1001))+((K142-(L142+Calc!$J$2:$J$1001))&gt;=Calc!$F$2:$F$1001)*Calc!$F$2:$F$1001))))</f>
        <v/>
      </c>
      <c r="Q142">
        <f>IF(I142=0,0,(MIN(MAX((K142+M142),0),L142)*W142+SUMPRODUCT((Calc!$A$2:$A$1001=A142)*Calc!$G$2:$G$1001*((((K142+M142)-(L142+Calc!$J$2:$J$1001))&gt;0)*(((K142+M142)-(L142+Calc!$J$2:$J$1001))&lt;Calc!$F$2:$F$1001)*((K142+M142)-(L142+Calc!$J$2:$J$1001))+(((K142+M142)-(L142+Calc!$J$2:$J$1001))&gt;=Calc!$F$2:$F$1001)*Calc!$F$2:$F$1001))))</f>
        <v/>
      </c>
      <c r="R142">
        <f>IF(I142=0,0,(MIN(MAX((K142+N142),0),L142)*W142+SUMPRODUCT((Calc!$A$2:$A$1001=A142)*Calc!$G$2:$G$1001*((((K142+N142)-(L142+Calc!$J$2:$J$1001))&gt;0)*(((K142+N142)-(L142+Calc!$J$2:$J$1001))&lt;Calc!$F$2:$F$1001)*((K142+N142)-(L142+Calc!$J$2:$J$1001))+(((K142+N142)-(L142+Calc!$J$2:$J$1001))&gt;=Calc!$F$2:$F$1001)*Calc!$F$2:$F$1001))))</f>
        <v/>
      </c>
      <c r="S142">
        <f>IF(I142=0,0,(MIN(MAX((K142+O142),0),L142)*W142+SUMPRODUCT((Calc!$A$2:$A$1001=A142)*Calc!$G$2:$G$1001*((((K142+O142)-(L142+Calc!$J$2:$J$1001))&gt;0)*(((K142+O142)-(L142+Calc!$J$2:$J$1001))&lt;Calc!$F$2:$F$1001)*((K142+O142)-(L142+Calc!$J$2:$J$1001))+(((K142+O142)-(L142+Calc!$J$2:$J$1001))&gt;=Calc!$F$2:$F$1001)*Calc!$F$2:$F$1001))))</f>
        <v/>
      </c>
      <c r="T142">
        <f>IF(AND(E142=1,B142="RETURN"),Transactions!E142*Transactions!G142,0)</f>
        <v/>
      </c>
      <c r="U142">
        <f>IF(AND(E142=1,B142="EXPENSE"),Transactions!J142,0)</f>
        <v/>
      </c>
      <c r="V142">
        <f>IF(AND(Transactions!A142&lt;&gt;"",E142=0),ROW(),"")</f>
        <v/>
      </c>
      <c r="W142">
        <f>IFERROR(VLOOKUP(A142,Opening!$A:$D,4,0),0)</f>
        <v/>
      </c>
    </row>
    <row r="143">
      <c r="A143">
        <f>IF(Transactions!D143="","",UPPER(TRIM(Transactions!D143)))</f>
        <v/>
      </c>
      <c r="B143">
        <f>IF(Transactions!C143="","",UPPER(TRIM(Transactions!C143)))</f>
        <v/>
      </c>
      <c r="C143">
        <f>IF(Transactions!B143="",0,YEAR(Transactions!B143)*100+MONTH(Transactions!B143))</f>
        <v/>
      </c>
      <c r="D143">
        <f>IF(Transactions!A143="",1,IF(COUNTIF(Transactions!$A$1:A142,Transactions!A143)&gt;0,1,0))</f>
        <v/>
      </c>
      <c r="E143">
        <f>IF(D143=1,0,IF(B143="RETURN",IF(COUNTIFS($A$1:A142,A143,$B$1:B142,"SALE",$E$1:E142,1)&gt;0,1,0),1))</f>
        <v/>
      </c>
      <c r="F143">
        <f>IF(E143=1,IF(B143="RECEIPT",Transactions!E143,IF(AND(B143="RETURN",LOWER(TRIM(Transactions!H143))="resellable"),Transactions!E143,0)),0)</f>
        <v/>
      </c>
      <c r="G143">
        <f>IF(F143&gt;0,IF(B143="RECEIPT",Transactions!F143,IF(_xlfn.MAXIFS($H$2:H143,$A$2:A143,A143)&gt;0,INDEX(Transactions!$F:$F,_xlfn.MAXIFS($H$2:H143,$A$2:A143,A143)),W143)),0)</f>
        <v/>
      </c>
      <c r="H143">
        <f>IF(AND(E143=1,B143="RECEIPT"),ROW(),0)</f>
        <v/>
      </c>
      <c r="I143">
        <f>IF(E143=1,IF(OR(B143="SALE",B143="WRITEOFF"),Transactions!E143,0),0)</f>
        <v/>
      </c>
      <c r="J143">
        <f>SUMIFS($F$1:F142,$A$1:A142,A143)</f>
        <v/>
      </c>
      <c r="K143">
        <f>SUMIFS($I$1:I142,$A$1:A142,A143)</f>
        <v/>
      </c>
      <c r="L143">
        <f>IFERROR(VLOOKUP(A143,Opening!$A:$C,3,0),0)</f>
        <v/>
      </c>
      <c r="M143">
        <f>IF(I143=0,0,MAX(0,MIN(INDEX(Month!H$2:H$13,MATCH($A143,Month!$A$2:$A$13,0))-K143,I143)))</f>
        <v/>
      </c>
      <c r="N143">
        <f>IF(I143=0,0,MAX(0,MIN(INDEX(Month!I$2:I$13,MATCH($A143,Month!$A$2:$A$13,0))-K143,I143)))</f>
        <v/>
      </c>
      <c r="O143">
        <f>IF(I143=0,0,MAX(0,MIN(INDEX(Month!J$2:J$13,MATCH($A143,Month!$A$2:$A$13,0))-K143,I143)))</f>
        <v/>
      </c>
      <c r="P143">
        <f>IF(I143=0,0,(MIN(MAX(K143,0),L143)*W143+SUMPRODUCT((Calc!$A$2:$A$1001=A143)*Calc!$G$2:$G$1001*(((K143-(L143+Calc!$J$2:$J$1001))&gt;0)*((K143-(L143+Calc!$J$2:$J$1001))&lt;Calc!$F$2:$F$1001)*(K143-(L143+Calc!$J$2:$J$1001))+((K143-(L143+Calc!$J$2:$J$1001))&gt;=Calc!$F$2:$F$1001)*Calc!$F$2:$F$1001))))</f>
        <v/>
      </c>
      <c r="Q143">
        <f>IF(I143=0,0,(MIN(MAX((K143+M143),0),L143)*W143+SUMPRODUCT((Calc!$A$2:$A$1001=A143)*Calc!$G$2:$G$1001*((((K143+M143)-(L143+Calc!$J$2:$J$1001))&gt;0)*(((K143+M143)-(L143+Calc!$J$2:$J$1001))&lt;Calc!$F$2:$F$1001)*((K143+M143)-(L143+Calc!$J$2:$J$1001))+(((K143+M143)-(L143+Calc!$J$2:$J$1001))&gt;=Calc!$F$2:$F$1001)*Calc!$F$2:$F$1001))))</f>
        <v/>
      </c>
      <c r="R143">
        <f>IF(I143=0,0,(MIN(MAX((K143+N143),0),L143)*W143+SUMPRODUCT((Calc!$A$2:$A$1001=A143)*Calc!$G$2:$G$1001*((((K143+N143)-(L143+Calc!$J$2:$J$1001))&gt;0)*(((K143+N143)-(L143+Calc!$J$2:$J$1001))&lt;Calc!$F$2:$F$1001)*((K143+N143)-(L143+Calc!$J$2:$J$1001))+(((K143+N143)-(L143+Calc!$J$2:$J$1001))&gt;=Calc!$F$2:$F$1001)*Calc!$F$2:$F$1001))))</f>
        <v/>
      </c>
      <c r="S143">
        <f>IF(I143=0,0,(MIN(MAX((K143+O143),0),L143)*W143+SUMPRODUCT((Calc!$A$2:$A$1001=A143)*Calc!$G$2:$G$1001*((((K143+O143)-(L143+Calc!$J$2:$J$1001))&gt;0)*(((K143+O143)-(L143+Calc!$J$2:$J$1001))&lt;Calc!$F$2:$F$1001)*((K143+O143)-(L143+Calc!$J$2:$J$1001))+(((K143+O143)-(L143+Calc!$J$2:$J$1001))&gt;=Calc!$F$2:$F$1001)*Calc!$F$2:$F$1001))))</f>
        <v/>
      </c>
      <c r="T143">
        <f>IF(AND(E143=1,B143="RETURN"),Transactions!E143*Transactions!G143,0)</f>
        <v/>
      </c>
      <c r="U143">
        <f>IF(AND(E143=1,B143="EXPENSE"),Transactions!J143,0)</f>
        <v/>
      </c>
      <c r="V143">
        <f>IF(AND(Transactions!A143&lt;&gt;"",E143=0),ROW(),"")</f>
        <v/>
      </c>
      <c r="W143">
        <f>IFERROR(VLOOKUP(A143,Opening!$A:$D,4,0),0)</f>
        <v/>
      </c>
    </row>
    <row r="144">
      <c r="A144">
        <f>IF(Transactions!D144="","",UPPER(TRIM(Transactions!D144)))</f>
        <v/>
      </c>
      <c r="B144">
        <f>IF(Transactions!C144="","",UPPER(TRIM(Transactions!C144)))</f>
        <v/>
      </c>
      <c r="C144">
        <f>IF(Transactions!B144="",0,YEAR(Transactions!B144)*100+MONTH(Transactions!B144))</f>
        <v/>
      </c>
      <c r="D144">
        <f>IF(Transactions!A144="",1,IF(COUNTIF(Transactions!$A$1:A143,Transactions!A144)&gt;0,1,0))</f>
        <v/>
      </c>
      <c r="E144">
        <f>IF(D144=1,0,IF(B144="RETURN",IF(COUNTIFS($A$1:A143,A144,$B$1:B143,"SALE",$E$1:E143,1)&gt;0,1,0),1))</f>
        <v/>
      </c>
      <c r="F144">
        <f>IF(E144=1,IF(B144="RECEIPT",Transactions!E144,IF(AND(B144="RETURN",LOWER(TRIM(Transactions!H144))="resellable"),Transactions!E144,0)),0)</f>
        <v/>
      </c>
      <c r="G144">
        <f>IF(F144&gt;0,IF(B144="RECEIPT",Transactions!F144,IF(_xlfn.MAXIFS($H$2:H144,$A$2:A144,A144)&gt;0,INDEX(Transactions!$F:$F,_xlfn.MAXIFS($H$2:H144,$A$2:A144,A144)),W144)),0)</f>
        <v/>
      </c>
      <c r="H144">
        <f>IF(AND(E144=1,B144="RECEIPT"),ROW(),0)</f>
        <v/>
      </c>
      <c r="I144">
        <f>IF(E144=1,IF(OR(B144="SALE",B144="WRITEOFF"),Transactions!E144,0),0)</f>
        <v/>
      </c>
      <c r="J144">
        <f>SUMIFS($F$1:F143,$A$1:A143,A144)</f>
        <v/>
      </c>
      <c r="K144">
        <f>SUMIFS($I$1:I143,$A$1:A143,A144)</f>
        <v/>
      </c>
      <c r="L144">
        <f>IFERROR(VLOOKUP(A144,Opening!$A:$C,3,0),0)</f>
        <v/>
      </c>
      <c r="M144">
        <f>IF(I144=0,0,MAX(0,MIN(INDEX(Month!H$2:H$13,MATCH($A144,Month!$A$2:$A$13,0))-K144,I144)))</f>
        <v/>
      </c>
      <c r="N144">
        <f>IF(I144=0,0,MAX(0,MIN(INDEX(Month!I$2:I$13,MATCH($A144,Month!$A$2:$A$13,0))-K144,I144)))</f>
        <v/>
      </c>
      <c r="O144">
        <f>IF(I144=0,0,MAX(0,MIN(INDEX(Month!J$2:J$13,MATCH($A144,Month!$A$2:$A$13,0))-K144,I144)))</f>
        <v/>
      </c>
      <c r="P144">
        <f>IF(I144=0,0,(MIN(MAX(K144,0),L144)*W144+SUMPRODUCT((Calc!$A$2:$A$1001=A144)*Calc!$G$2:$G$1001*(((K144-(L144+Calc!$J$2:$J$1001))&gt;0)*((K144-(L144+Calc!$J$2:$J$1001))&lt;Calc!$F$2:$F$1001)*(K144-(L144+Calc!$J$2:$J$1001))+((K144-(L144+Calc!$J$2:$J$1001))&gt;=Calc!$F$2:$F$1001)*Calc!$F$2:$F$1001))))</f>
        <v/>
      </c>
      <c r="Q144">
        <f>IF(I144=0,0,(MIN(MAX((K144+M144),0),L144)*W144+SUMPRODUCT((Calc!$A$2:$A$1001=A144)*Calc!$G$2:$G$1001*((((K144+M144)-(L144+Calc!$J$2:$J$1001))&gt;0)*(((K144+M144)-(L144+Calc!$J$2:$J$1001))&lt;Calc!$F$2:$F$1001)*((K144+M144)-(L144+Calc!$J$2:$J$1001))+(((K144+M144)-(L144+Calc!$J$2:$J$1001))&gt;=Calc!$F$2:$F$1001)*Calc!$F$2:$F$1001))))</f>
        <v/>
      </c>
      <c r="R144">
        <f>IF(I144=0,0,(MIN(MAX((K144+N144),0),L144)*W144+SUMPRODUCT((Calc!$A$2:$A$1001=A144)*Calc!$G$2:$G$1001*((((K144+N144)-(L144+Calc!$J$2:$J$1001))&gt;0)*(((K144+N144)-(L144+Calc!$J$2:$J$1001))&lt;Calc!$F$2:$F$1001)*((K144+N144)-(L144+Calc!$J$2:$J$1001))+(((K144+N144)-(L144+Calc!$J$2:$J$1001))&gt;=Calc!$F$2:$F$1001)*Calc!$F$2:$F$1001))))</f>
        <v/>
      </c>
      <c r="S144">
        <f>IF(I144=0,0,(MIN(MAX((K144+O144),0),L144)*W144+SUMPRODUCT((Calc!$A$2:$A$1001=A144)*Calc!$G$2:$G$1001*((((K144+O144)-(L144+Calc!$J$2:$J$1001))&gt;0)*(((K144+O144)-(L144+Calc!$J$2:$J$1001))&lt;Calc!$F$2:$F$1001)*((K144+O144)-(L144+Calc!$J$2:$J$1001))+(((K144+O144)-(L144+Calc!$J$2:$J$1001))&gt;=Calc!$F$2:$F$1001)*Calc!$F$2:$F$1001))))</f>
        <v/>
      </c>
      <c r="T144">
        <f>IF(AND(E144=1,B144="RETURN"),Transactions!E144*Transactions!G144,0)</f>
        <v/>
      </c>
      <c r="U144">
        <f>IF(AND(E144=1,B144="EXPENSE"),Transactions!J144,0)</f>
        <v/>
      </c>
      <c r="V144">
        <f>IF(AND(Transactions!A144&lt;&gt;"",E144=0),ROW(),"")</f>
        <v/>
      </c>
      <c r="W144">
        <f>IFERROR(VLOOKUP(A144,Opening!$A:$D,4,0),0)</f>
        <v/>
      </c>
    </row>
    <row r="145">
      <c r="A145">
        <f>IF(Transactions!D145="","",UPPER(TRIM(Transactions!D145)))</f>
        <v/>
      </c>
      <c r="B145">
        <f>IF(Transactions!C145="","",UPPER(TRIM(Transactions!C145)))</f>
        <v/>
      </c>
      <c r="C145">
        <f>IF(Transactions!B145="",0,YEAR(Transactions!B145)*100+MONTH(Transactions!B145))</f>
        <v/>
      </c>
      <c r="D145">
        <f>IF(Transactions!A145="",1,IF(COUNTIF(Transactions!$A$1:A144,Transactions!A145)&gt;0,1,0))</f>
        <v/>
      </c>
      <c r="E145">
        <f>IF(D145=1,0,IF(B145="RETURN",IF(COUNTIFS($A$1:A144,A145,$B$1:B144,"SALE",$E$1:E144,1)&gt;0,1,0),1))</f>
        <v/>
      </c>
      <c r="F145">
        <f>IF(E145=1,IF(B145="RECEIPT",Transactions!E145,IF(AND(B145="RETURN",LOWER(TRIM(Transactions!H145))="resellable"),Transactions!E145,0)),0)</f>
        <v/>
      </c>
      <c r="G145">
        <f>IF(F145&gt;0,IF(B145="RECEIPT",Transactions!F145,IF(_xlfn.MAXIFS($H$2:H145,$A$2:A145,A145)&gt;0,INDEX(Transactions!$F:$F,_xlfn.MAXIFS($H$2:H145,$A$2:A145,A145)),W145)),0)</f>
        <v/>
      </c>
      <c r="H145">
        <f>IF(AND(E145=1,B145="RECEIPT"),ROW(),0)</f>
        <v/>
      </c>
      <c r="I145">
        <f>IF(E145=1,IF(OR(B145="SALE",B145="WRITEOFF"),Transactions!E145,0),0)</f>
        <v/>
      </c>
      <c r="J145">
        <f>SUMIFS($F$1:F144,$A$1:A144,A145)</f>
        <v/>
      </c>
      <c r="K145">
        <f>SUMIFS($I$1:I144,$A$1:A144,A145)</f>
        <v/>
      </c>
      <c r="L145">
        <f>IFERROR(VLOOKUP(A145,Opening!$A:$C,3,0),0)</f>
        <v/>
      </c>
      <c r="M145">
        <f>IF(I145=0,0,MAX(0,MIN(INDEX(Month!H$2:H$13,MATCH($A145,Month!$A$2:$A$13,0))-K145,I145)))</f>
        <v/>
      </c>
      <c r="N145">
        <f>IF(I145=0,0,MAX(0,MIN(INDEX(Month!I$2:I$13,MATCH($A145,Month!$A$2:$A$13,0))-K145,I145)))</f>
        <v/>
      </c>
      <c r="O145">
        <f>IF(I145=0,0,MAX(0,MIN(INDEX(Month!J$2:J$13,MATCH($A145,Month!$A$2:$A$13,0))-K145,I145)))</f>
        <v/>
      </c>
      <c r="P145">
        <f>IF(I145=0,0,(MIN(MAX(K145,0),L145)*W145+SUMPRODUCT((Calc!$A$2:$A$1001=A145)*Calc!$G$2:$G$1001*(((K145-(L145+Calc!$J$2:$J$1001))&gt;0)*((K145-(L145+Calc!$J$2:$J$1001))&lt;Calc!$F$2:$F$1001)*(K145-(L145+Calc!$J$2:$J$1001))+((K145-(L145+Calc!$J$2:$J$1001))&gt;=Calc!$F$2:$F$1001)*Calc!$F$2:$F$1001))))</f>
        <v/>
      </c>
      <c r="Q145">
        <f>IF(I145=0,0,(MIN(MAX((K145+M145),0),L145)*W145+SUMPRODUCT((Calc!$A$2:$A$1001=A145)*Calc!$G$2:$G$1001*((((K145+M145)-(L145+Calc!$J$2:$J$1001))&gt;0)*(((K145+M145)-(L145+Calc!$J$2:$J$1001))&lt;Calc!$F$2:$F$1001)*((K145+M145)-(L145+Calc!$J$2:$J$1001))+(((K145+M145)-(L145+Calc!$J$2:$J$1001))&gt;=Calc!$F$2:$F$1001)*Calc!$F$2:$F$1001))))</f>
        <v/>
      </c>
      <c r="R145">
        <f>IF(I145=0,0,(MIN(MAX((K145+N145),0),L145)*W145+SUMPRODUCT((Calc!$A$2:$A$1001=A145)*Calc!$G$2:$G$1001*((((K145+N145)-(L145+Calc!$J$2:$J$1001))&gt;0)*(((K145+N145)-(L145+Calc!$J$2:$J$1001))&lt;Calc!$F$2:$F$1001)*((K145+N145)-(L145+Calc!$J$2:$J$1001))+(((K145+N145)-(L145+Calc!$J$2:$J$1001))&gt;=Calc!$F$2:$F$1001)*Calc!$F$2:$F$1001))))</f>
        <v/>
      </c>
      <c r="S145">
        <f>IF(I145=0,0,(MIN(MAX((K145+O145),0),L145)*W145+SUMPRODUCT((Calc!$A$2:$A$1001=A145)*Calc!$G$2:$G$1001*((((K145+O145)-(L145+Calc!$J$2:$J$1001))&gt;0)*(((K145+O145)-(L145+Calc!$J$2:$J$1001))&lt;Calc!$F$2:$F$1001)*((K145+O145)-(L145+Calc!$J$2:$J$1001))+(((K145+O145)-(L145+Calc!$J$2:$J$1001))&gt;=Calc!$F$2:$F$1001)*Calc!$F$2:$F$1001))))</f>
        <v/>
      </c>
      <c r="T145">
        <f>IF(AND(E145=1,B145="RETURN"),Transactions!E145*Transactions!G145,0)</f>
        <v/>
      </c>
      <c r="U145">
        <f>IF(AND(E145=1,B145="EXPENSE"),Transactions!J145,0)</f>
        <v/>
      </c>
      <c r="V145">
        <f>IF(AND(Transactions!A145&lt;&gt;"",E145=0),ROW(),"")</f>
        <v/>
      </c>
      <c r="W145">
        <f>IFERROR(VLOOKUP(A145,Opening!$A:$D,4,0),0)</f>
        <v/>
      </c>
    </row>
    <row r="146">
      <c r="A146">
        <f>IF(Transactions!D146="","",UPPER(TRIM(Transactions!D146)))</f>
        <v/>
      </c>
      <c r="B146">
        <f>IF(Transactions!C146="","",UPPER(TRIM(Transactions!C146)))</f>
        <v/>
      </c>
      <c r="C146">
        <f>IF(Transactions!B146="",0,YEAR(Transactions!B146)*100+MONTH(Transactions!B146))</f>
        <v/>
      </c>
      <c r="D146">
        <f>IF(Transactions!A146="",1,IF(COUNTIF(Transactions!$A$1:A145,Transactions!A146)&gt;0,1,0))</f>
        <v/>
      </c>
      <c r="E146">
        <f>IF(D146=1,0,IF(B146="RETURN",IF(COUNTIFS($A$1:A145,A146,$B$1:B145,"SALE",$E$1:E145,1)&gt;0,1,0),1))</f>
        <v/>
      </c>
      <c r="F146">
        <f>IF(E146=1,IF(B146="RECEIPT",Transactions!E146,IF(AND(B146="RETURN",LOWER(TRIM(Transactions!H146))="resellable"),Transactions!E146,0)),0)</f>
        <v/>
      </c>
      <c r="G146">
        <f>IF(F146&gt;0,IF(B146="RECEIPT",Transactions!F146,IF(_xlfn.MAXIFS($H$2:H146,$A$2:A146,A146)&gt;0,INDEX(Transactions!$F:$F,_xlfn.MAXIFS($H$2:H146,$A$2:A146,A146)),W146)),0)</f>
        <v/>
      </c>
      <c r="H146">
        <f>IF(AND(E146=1,B146="RECEIPT"),ROW(),0)</f>
        <v/>
      </c>
      <c r="I146">
        <f>IF(E146=1,IF(OR(B146="SALE",B146="WRITEOFF"),Transactions!E146,0),0)</f>
        <v/>
      </c>
      <c r="J146">
        <f>SUMIFS($F$1:F145,$A$1:A145,A146)</f>
        <v/>
      </c>
      <c r="K146">
        <f>SUMIFS($I$1:I145,$A$1:A145,A146)</f>
        <v/>
      </c>
      <c r="L146">
        <f>IFERROR(VLOOKUP(A146,Opening!$A:$C,3,0),0)</f>
        <v/>
      </c>
      <c r="M146">
        <f>IF(I146=0,0,MAX(0,MIN(INDEX(Month!H$2:H$13,MATCH($A146,Month!$A$2:$A$13,0))-K146,I146)))</f>
        <v/>
      </c>
      <c r="N146">
        <f>IF(I146=0,0,MAX(0,MIN(INDEX(Month!I$2:I$13,MATCH($A146,Month!$A$2:$A$13,0))-K146,I146)))</f>
        <v/>
      </c>
      <c r="O146">
        <f>IF(I146=0,0,MAX(0,MIN(INDEX(Month!J$2:J$13,MATCH($A146,Month!$A$2:$A$13,0))-K146,I146)))</f>
        <v/>
      </c>
      <c r="P146">
        <f>IF(I146=0,0,(MIN(MAX(K146,0),L146)*W146+SUMPRODUCT((Calc!$A$2:$A$1001=A146)*Calc!$G$2:$G$1001*(((K146-(L146+Calc!$J$2:$J$1001))&gt;0)*((K146-(L146+Calc!$J$2:$J$1001))&lt;Calc!$F$2:$F$1001)*(K146-(L146+Calc!$J$2:$J$1001))+((K146-(L146+Calc!$J$2:$J$1001))&gt;=Calc!$F$2:$F$1001)*Calc!$F$2:$F$1001))))</f>
        <v/>
      </c>
      <c r="Q146">
        <f>IF(I146=0,0,(MIN(MAX((K146+M146),0),L146)*W146+SUMPRODUCT((Calc!$A$2:$A$1001=A146)*Calc!$G$2:$G$1001*((((K146+M146)-(L146+Calc!$J$2:$J$1001))&gt;0)*(((K146+M146)-(L146+Calc!$J$2:$J$1001))&lt;Calc!$F$2:$F$1001)*((K146+M146)-(L146+Calc!$J$2:$J$1001))+(((K146+M146)-(L146+Calc!$J$2:$J$1001))&gt;=Calc!$F$2:$F$1001)*Calc!$F$2:$F$1001))))</f>
        <v/>
      </c>
      <c r="R146">
        <f>IF(I146=0,0,(MIN(MAX((K146+N146),0),L146)*W146+SUMPRODUCT((Calc!$A$2:$A$1001=A146)*Calc!$G$2:$G$1001*((((K146+N146)-(L146+Calc!$J$2:$J$1001))&gt;0)*(((K146+N146)-(L146+Calc!$J$2:$J$1001))&lt;Calc!$F$2:$F$1001)*((K146+N146)-(L146+Calc!$J$2:$J$1001))+(((K146+N146)-(L146+Calc!$J$2:$J$1001))&gt;=Calc!$F$2:$F$1001)*Calc!$F$2:$F$1001))))</f>
        <v/>
      </c>
      <c r="S146">
        <f>IF(I146=0,0,(MIN(MAX((K146+O146),0),L146)*W146+SUMPRODUCT((Calc!$A$2:$A$1001=A146)*Calc!$G$2:$G$1001*((((K146+O146)-(L146+Calc!$J$2:$J$1001))&gt;0)*(((K146+O146)-(L146+Calc!$J$2:$J$1001))&lt;Calc!$F$2:$F$1001)*((K146+O146)-(L146+Calc!$J$2:$J$1001))+(((K146+O146)-(L146+Calc!$J$2:$J$1001))&gt;=Calc!$F$2:$F$1001)*Calc!$F$2:$F$1001))))</f>
        <v/>
      </c>
      <c r="T146">
        <f>IF(AND(E146=1,B146="RETURN"),Transactions!E146*Transactions!G146,0)</f>
        <v/>
      </c>
      <c r="U146">
        <f>IF(AND(E146=1,B146="EXPENSE"),Transactions!J146,0)</f>
        <v/>
      </c>
      <c r="V146">
        <f>IF(AND(Transactions!A146&lt;&gt;"",E146=0),ROW(),"")</f>
        <v/>
      </c>
      <c r="W146">
        <f>IFERROR(VLOOKUP(A146,Opening!$A:$D,4,0),0)</f>
        <v/>
      </c>
    </row>
    <row r="147">
      <c r="A147">
        <f>IF(Transactions!D147="","",UPPER(TRIM(Transactions!D147)))</f>
        <v/>
      </c>
      <c r="B147">
        <f>IF(Transactions!C147="","",UPPER(TRIM(Transactions!C147)))</f>
        <v/>
      </c>
      <c r="C147">
        <f>IF(Transactions!B147="",0,YEAR(Transactions!B147)*100+MONTH(Transactions!B147))</f>
        <v/>
      </c>
      <c r="D147">
        <f>IF(Transactions!A147="",1,IF(COUNTIF(Transactions!$A$1:A146,Transactions!A147)&gt;0,1,0))</f>
        <v/>
      </c>
      <c r="E147">
        <f>IF(D147=1,0,IF(B147="RETURN",IF(COUNTIFS($A$1:A146,A147,$B$1:B146,"SALE",$E$1:E146,1)&gt;0,1,0),1))</f>
        <v/>
      </c>
      <c r="F147">
        <f>IF(E147=1,IF(B147="RECEIPT",Transactions!E147,IF(AND(B147="RETURN",LOWER(TRIM(Transactions!H147))="resellable"),Transactions!E147,0)),0)</f>
        <v/>
      </c>
      <c r="G147">
        <f>IF(F147&gt;0,IF(B147="RECEIPT",Transactions!F147,IF(_xlfn.MAXIFS($H$2:H147,$A$2:A147,A147)&gt;0,INDEX(Transactions!$F:$F,_xlfn.MAXIFS($H$2:H147,$A$2:A147,A147)),W147)),0)</f>
        <v/>
      </c>
      <c r="H147">
        <f>IF(AND(E147=1,B147="RECEIPT"),ROW(),0)</f>
        <v/>
      </c>
      <c r="I147">
        <f>IF(E147=1,IF(OR(B147="SALE",B147="WRITEOFF"),Transactions!E147,0),0)</f>
        <v/>
      </c>
      <c r="J147">
        <f>SUMIFS($F$1:F146,$A$1:A146,A147)</f>
        <v/>
      </c>
      <c r="K147">
        <f>SUMIFS($I$1:I146,$A$1:A146,A147)</f>
        <v/>
      </c>
      <c r="L147">
        <f>IFERROR(VLOOKUP(A147,Opening!$A:$C,3,0),0)</f>
        <v/>
      </c>
      <c r="M147">
        <f>IF(I147=0,0,MAX(0,MIN(INDEX(Month!H$2:H$13,MATCH($A147,Month!$A$2:$A$13,0))-K147,I147)))</f>
        <v/>
      </c>
      <c r="N147">
        <f>IF(I147=0,0,MAX(0,MIN(INDEX(Month!I$2:I$13,MATCH($A147,Month!$A$2:$A$13,0))-K147,I147)))</f>
        <v/>
      </c>
      <c r="O147">
        <f>IF(I147=0,0,MAX(0,MIN(INDEX(Month!J$2:J$13,MATCH($A147,Month!$A$2:$A$13,0))-K147,I147)))</f>
        <v/>
      </c>
      <c r="P147">
        <f>IF(I147=0,0,(MIN(MAX(K147,0),L147)*W147+SUMPRODUCT((Calc!$A$2:$A$1001=A147)*Calc!$G$2:$G$1001*(((K147-(L147+Calc!$J$2:$J$1001))&gt;0)*((K147-(L147+Calc!$J$2:$J$1001))&lt;Calc!$F$2:$F$1001)*(K147-(L147+Calc!$J$2:$J$1001))+((K147-(L147+Calc!$J$2:$J$1001))&gt;=Calc!$F$2:$F$1001)*Calc!$F$2:$F$1001))))</f>
        <v/>
      </c>
      <c r="Q147">
        <f>IF(I147=0,0,(MIN(MAX((K147+M147),0),L147)*W147+SUMPRODUCT((Calc!$A$2:$A$1001=A147)*Calc!$G$2:$G$1001*((((K147+M147)-(L147+Calc!$J$2:$J$1001))&gt;0)*(((K147+M147)-(L147+Calc!$J$2:$J$1001))&lt;Calc!$F$2:$F$1001)*((K147+M147)-(L147+Calc!$J$2:$J$1001))+(((K147+M147)-(L147+Calc!$J$2:$J$1001))&gt;=Calc!$F$2:$F$1001)*Calc!$F$2:$F$1001))))</f>
        <v/>
      </c>
      <c r="R147">
        <f>IF(I147=0,0,(MIN(MAX((K147+N147),0),L147)*W147+SUMPRODUCT((Calc!$A$2:$A$1001=A147)*Calc!$G$2:$G$1001*((((K147+N147)-(L147+Calc!$J$2:$J$1001))&gt;0)*(((K147+N147)-(L147+Calc!$J$2:$J$1001))&lt;Calc!$F$2:$F$1001)*((K147+N147)-(L147+Calc!$J$2:$J$1001))+(((K147+N147)-(L147+Calc!$J$2:$J$1001))&gt;=Calc!$F$2:$F$1001)*Calc!$F$2:$F$1001))))</f>
        <v/>
      </c>
      <c r="S147">
        <f>IF(I147=0,0,(MIN(MAX((K147+O147),0),L147)*W147+SUMPRODUCT((Calc!$A$2:$A$1001=A147)*Calc!$G$2:$G$1001*((((K147+O147)-(L147+Calc!$J$2:$J$1001))&gt;0)*(((K147+O147)-(L147+Calc!$J$2:$J$1001))&lt;Calc!$F$2:$F$1001)*((K147+O147)-(L147+Calc!$J$2:$J$1001))+(((K147+O147)-(L147+Calc!$J$2:$J$1001))&gt;=Calc!$F$2:$F$1001)*Calc!$F$2:$F$1001))))</f>
        <v/>
      </c>
      <c r="T147">
        <f>IF(AND(E147=1,B147="RETURN"),Transactions!E147*Transactions!G147,0)</f>
        <v/>
      </c>
      <c r="U147">
        <f>IF(AND(E147=1,B147="EXPENSE"),Transactions!J147,0)</f>
        <v/>
      </c>
      <c r="V147">
        <f>IF(AND(Transactions!A147&lt;&gt;"",E147=0),ROW(),"")</f>
        <v/>
      </c>
      <c r="W147">
        <f>IFERROR(VLOOKUP(A147,Opening!$A:$D,4,0),0)</f>
        <v/>
      </c>
    </row>
    <row r="148">
      <c r="A148">
        <f>IF(Transactions!D148="","",UPPER(TRIM(Transactions!D148)))</f>
        <v/>
      </c>
      <c r="B148">
        <f>IF(Transactions!C148="","",UPPER(TRIM(Transactions!C148)))</f>
        <v/>
      </c>
      <c r="C148">
        <f>IF(Transactions!B148="",0,YEAR(Transactions!B148)*100+MONTH(Transactions!B148))</f>
        <v/>
      </c>
      <c r="D148">
        <f>IF(Transactions!A148="",1,IF(COUNTIF(Transactions!$A$1:A147,Transactions!A148)&gt;0,1,0))</f>
        <v/>
      </c>
      <c r="E148">
        <f>IF(D148=1,0,IF(B148="RETURN",IF(COUNTIFS($A$1:A147,A148,$B$1:B147,"SALE",$E$1:E147,1)&gt;0,1,0),1))</f>
        <v/>
      </c>
      <c r="F148">
        <f>IF(E148=1,IF(B148="RECEIPT",Transactions!E148,IF(AND(B148="RETURN",LOWER(TRIM(Transactions!H148))="resellable"),Transactions!E148,0)),0)</f>
        <v/>
      </c>
      <c r="G148">
        <f>IF(F148&gt;0,IF(B148="RECEIPT",Transactions!F148,IF(_xlfn.MAXIFS($H$2:H148,$A$2:A148,A148)&gt;0,INDEX(Transactions!$F:$F,_xlfn.MAXIFS($H$2:H148,$A$2:A148,A148)),W148)),0)</f>
        <v/>
      </c>
      <c r="H148">
        <f>IF(AND(E148=1,B148="RECEIPT"),ROW(),0)</f>
        <v/>
      </c>
      <c r="I148">
        <f>IF(E148=1,IF(OR(B148="SALE",B148="WRITEOFF"),Transactions!E148,0),0)</f>
        <v/>
      </c>
      <c r="J148">
        <f>SUMIFS($F$1:F147,$A$1:A147,A148)</f>
        <v/>
      </c>
      <c r="K148">
        <f>SUMIFS($I$1:I147,$A$1:A147,A148)</f>
        <v/>
      </c>
      <c r="L148">
        <f>IFERROR(VLOOKUP(A148,Opening!$A:$C,3,0),0)</f>
        <v/>
      </c>
      <c r="M148">
        <f>IF(I148=0,0,MAX(0,MIN(INDEX(Month!H$2:H$13,MATCH($A148,Month!$A$2:$A$13,0))-K148,I148)))</f>
        <v/>
      </c>
      <c r="N148">
        <f>IF(I148=0,0,MAX(0,MIN(INDEX(Month!I$2:I$13,MATCH($A148,Month!$A$2:$A$13,0))-K148,I148)))</f>
        <v/>
      </c>
      <c r="O148">
        <f>IF(I148=0,0,MAX(0,MIN(INDEX(Month!J$2:J$13,MATCH($A148,Month!$A$2:$A$13,0))-K148,I148)))</f>
        <v/>
      </c>
      <c r="P148">
        <f>IF(I148=0,0,(MIN(MAX(K148,0),L148)*W148+SUMPRODUCT((Calc!$A$2:$A$1001=A148)*Calc!$G$2:$G$1001*(((K148-(L148+Calc!$J$2:$J$1001))&gt;0)*((K148-(L148+Calc!$J$2:$J$1001))&lt;Calc!$F$2:$F$1001)*(K148-(L148+Calc!$J$2:$J$1001))+((K148-(L148+Calc!$J$2:$J$1001))&gt;=Calc!$F$2:$F$1001)*Calc!$F$2:$F$1001))))</f>
        <v/>
      </c>
      <c r="Q148">
        <f>IF(I148=0,0,(MIN(MAX((K148+M148),0),L148)*W148+SUMPRODUCT((Calc!$A$2:$A$1001=A148)*Calc!$G$2:$G$1001*((((K148+M148)-(L148+Calc!$J$2:$J$1001))&gt;0)*(((K148+M148)-(L148+Calc!$J$2:$J$1001))&lt;Calc!$F$2:$F$1001)*((K148+M148)-(L148+Calc!$J$2:$J$1001))+(((K148+M148)-(L148+Calc!$J$2:$J$1001))&gt;=Calc!$F$2:$F$1001)*Calc!$F$2:$F$1001))))</f>
        <v/>
      </c>
      <c r="R148">
        <f>IF(I148=0,0,(MIN(MAX((K148+N148),0),L148)*W148+SUMPRODUCT((Calc!$A$2:$A$1001=A148)*Calc!$G$2:$G$1001*((((K148+N148)-(L148+Calc!$J$2:$J$1001))&gt;0)*(((K148+N148)-(L148+Calc!$J$2:$J$1001))&lt;Calc!$F$2:$F$1001)*((K148+N148)-(L148+Calc!$J$2:$J$1001))+(((K148+N148)-(L148+Calc!$J$2:$J$1001))&gt;=Calc!$F$2:$F$1001)*Calc!$F$2:$F$1001))))</f>
        <v/>
      </c>
      <c r="S148">
        <f>IF(I148=0,0,(MIN(MAX((K148+O148),0),L148)*W148+SUMPRODUCT((Calc!$A$2:$A$1001=A148)*Calc!$G$2:$G$1001*((((K148+O148)-(L148+Calc!$J$2:$J$1001))&gt;0)*(((K148+O148)-(L148+Calc!$J$2:$J$1001))&lt;Calc!$F$2:$F$1001)*((K148+O148)-(L148+Calc!$J$2:$J$1001))+(((K148+O148)-(L148+Calc!$J$2:$J$1001))&gt;=Calc!$F$2:$F$1001)*Calc!$F$2:$F$1001))))</f>
        <v/>
      </c>
      <c r="T148">
        <f>IF(AND(E148=1,B148="RETURN"),Transactions!E148*Transactions!G148,0)</f>
        <v/>
      </c>
      <c r="U148">
        <f>IF(AND(E148=1,B148="EXPENSE"),Transactions!J148,0)</f>
        <v/>
      </c>
      <c r="V148">
        <f>IF(AND(Transactions!A148&lt;&gt;"",E148=0),ROW(),"")</f>
        <v/>
      </c>
      <c r="W148">
        <f>IFERROR(VLOOKUP(A148,Opening!$A:$D,4,0),0)</f>
        <v/>
      </c>
    </row>
    <row r="149">
      <c r="A149">
        <f>IF(Transactions!D149="","",UPPER(TRIM(Transactions!D149)))</f>
        <v/>
      </c>
      <c r="B149">
        <f>IF(Transactions!C149="","",UPPER(TRIM(Transactions!C149)))</f>
        <v/>
      </c>
      <c r="C149">
        <f>IF(Transactions!B149="",0,YEAR(Transactions!B149)*100+MONTH(Transactions!B149))</f>
        <v/>
      </c>
      <c r="D149">
        <f>IF(Transactions!A149="",1,IF(COUNTIF(Transactions!$A$1:A148,Transactions!A149)&gt;0,1,0))</f>
        <v/>
      </c>
      <c r="E149">
        <f>IF(D149=1,0,IF(B149="RETURN",IF(COUNTIFS($A$1:A148,A149,$B$1:B148,"SALE",$E$1:E148,1)&gt;0,1,0),1))</f>
        <v/>
      </c>
      <c r="F149">
        <f>IF(E149=1,IF(B149="RECEIPT",Transactions!E149,IF(AND(B149="RETURN",LOWER(TRIM(Transactions!H149))="resellable"),Transactions!E149,0)),0)</f>
        <v/>
      </c>
      <c r="G149">
        <f>IF(F149&gt;0,IF(B149="RECEIPT",Transactions!F149,IF(_xlfn.MAXIFS($H$2:H149,$A$2:A149,A149)&gt;0,INDEX(Transactions!$F:$F,_xlfn.MAXIFS($H$2:H149,$A$2:A149,A149)),W149)),0)</f>
        <v/>
      </c>
      <c r="H149">
        <f>IF(AND(E149=1,B149="RECEIPT"),ROW(),0)</f>
        <v/>
      </c>
      <c r="I149">
        <f>IF(E149=1,IF(OR(B149="SALE",B149="WRITEOFF"),Transactions!E149,0),0)</f>
        <v/>
      </c>
      <c r="J149">
        <f>SUMIFS($F$1:F148,$A$1:A148,A149)</f>
        <v/>
      </c>
      <c r="K149">
        <f>SUMIFS($I$1:I148,$A$1:A148,A149)</f>
        <v/>
      </c>
      <c r="L149">
        <f>IFERROR(VLOOKUP(A149,Opening!$A:$C,3,0),0)</f>
        <v/>
      </c>
      <c r="M149">
        <f>IF(I149=0,0,MAX(0,MIN(INDEX(Month!H$2:H$13,MATCH($A149,Month!$A$2:$A$13,0))-K149,I149)))</f>
        <v/>
      </c>
      <c r="N149">
        <f>IF(I149=0,0,MAX(0,MIN(INDEX(Month!I$2:I$13,MATCH($A149,Month!$A$2:$A$13,0))-K149,I149)))</f>
        <v/>
      </c>
      <c r="O149">
        <f>IF(I149=0,0,MAX(0,MIN(INDEX(Month!J$2:J$13,MATCH($A149,Month!$A$2:$A$13,0))-K149,I149)))</f>
        <v/>
      </c>
      <c r="P149">
        <f>IF(I149=0,0,(MIN(MAX(K149,0),L149)*W149+SUMPRODUCT((Calc!$A$2:$A$1001=A149)*Calc!$G$2:$G$1001*(((K149-(L149+Calc!$J$2:$J$1001))&gt;0)*((K149-(L149+Calc!$J$2:$J$1001))&lt;Calc!$F$2:$F$1001)*(K149-(L149+Calc!$J$2:$J$1001))+((K149-(L149+Calc!$J$2:$J$1001))&gt;=Calc!$F$2:$F$1001)*Calc!$F$2:$F$1001))))</f>
        <v/>
      </c>
      <c r="Q149">
        <f>IF(I149=0,0,(MIN(MAX((K149+M149),0),L149)*W149+SUMPRODUCT((Calc!$A$2:$A$1001=A149)*Calc!$G$2:$G$1001*((((K149+M149)-(L149+Calc!$J$2:$J$1001))&gt;0)*(((K149+M149)-(L149+Calc!$J$2:$J$1001))&lt;Calc!$F$2:$F$1001)*((K149+M149)-(L149+Calc!$J$2:$J$1001))+(((K149+M149)-(L149+Calc!$J$2:$J$1001))&gt;=Calc!$F$2:$F$1001)*Calc!$F$2:$F$1001))))</f>
        <v/>
      </c>
      <c r="R149">
        <f>IF(I149=0,0,(MIN(MAX((K149+N149),0),L149)*W149+SUMPRODUCT((Calc!$A$2:$A$1001=A149)*Calc!$G$2:$G$1001*((((K149+N149)-(L149+Calc!$J$2:$J$1001))&gt;0)*(((K149+N149)-(L149+Calc!$J$2:$J$1001))&lt;Calc!$F$2:$F$1001)*((K149+N149)-(L149+Calc!$J$2:$J$1001))+(((K149+N149)-(L149+Calc!$J$2:$J$1001))&gt;=Calc!$F$2:$F$1001)*Calc!$F$2:$F$1001))))</f>
        <v/>
      </c>
      <c r="S149">
        <f>IF(I149=0,0,(MIN(MAX((K149+O149),0),L149)*W149+SUMPRODUCT((Calc!$A$2:$A$1001=A149)*Calc!$G$2:$G$1001*((((K149+O149)-(L149+Calc!$J$2:$J$1001))&gt;0)*(((K149+O149)-(L149+Calc!$J$2:$J$1001))&lt;Calc!$F$2:$F$1001)*((K149+O149)-(L149+Calc!$J$2:$J$1001))+(((K149+O149)-(L149+Calc!$J$2:$J$1001))&gt;=Calc!$F$2:$F$1001)*Calc!$F$2:$F$1001))))</f>
        <v/>
      </c>
      <c r="T149">
        <f>IF(AND(E149=1,B149="RETURN"),Transactions!E149*Transactions!G149,0)</f>
        <v/>
      </c>
      <c r="U149">
        <f>IF(AND(E149=1,B149="EXPENSE"),Transactions!J149,0)</f>
        <v/>
      </c>
      <c r="V149">
        <f>IF(AND(Transactions!A149&lt;&gt;"",E149=0),ROW(),"")</f>
        <v/>
      </c>
      <c r="W149">
        <f>IFERROR(VLOOKUP(A149,Opening!$A:$D,4,0),0)</f>
        <v/>
      </c>
    </row>
    <row r="150">
      <c r="A150">
        <f>IF(Transactions!D150="","",UPPER(TRIM(Transactions!D150)))</f>
        <v/>
      </c>
      <c r="B150">
        <f>IF(Transactions!C150="","",UPPER(TRIM(Transactions!C150)))</f>
        <v/>
      </c>
      <c r="C150">
        <f>IF(Transactions!B150="",0,YEAR(Transactions!B150)*100+MONTH(Transactions!B150))</f>
        <v/>
      </c>
      <c r="D150">
        <f>IF(Transactions!A150="",1,IF(COUNTIF(Transactions!$A$1:A149,Transactions!A150)&gt;0,1,0))</f>
        <v/>
      </c>
      <c r="E150">
        <f>IF(D150=1,0,IF(B150="RETURN",IF(COUNTIFS($A$1:A149,A150,$B$1:B149,"SALE",$E$1:E149,1)&gt;0,1,0),1))</f>
        <v/>
      </c>
      <c r="F150">
        <f>IF(E150=1,IF(B150="RECEIPT",Transactions!E150,IF(AND(B150="RETURN",LOWER(TRIM(Transactions!H150))="resellable"),Transactions!E150,0)),0)</f>
        <v/>
      </c>
      <c r="G150">
        <f>IF(F150&gt;0,IF(B150="RECEIPT",Transactions!F150,IF(_xlfn.MAXIFS($H$2:H150,$A$2:A150,A150)&gt;0,INDEX(Transactions!$F:$F,_xlfn.MAXIFS($H$2:H150,$A$2:A150,A150)),W150)),0)</f>
        <v/>
      </c>
      <c r="H150">
        <f>IF(AND(E150=1,B150="RECEIPT"),ROW(),0)</f>
        <v/>
      </c>
      <c r="I150">
        <f>IF(E150=1,IF(OR(B150="SALE",B150="WRITEOFF"),Transactions!E150,0),0)</f>
        <v/>
      </c>
      <c r="J150">
        <f>SUMIFS($F$1:F149,$A$1:A149,A150)</f>
        <v/>
      </c>
      <c r="K150">
        <f>SUMIFS($I$1:I149,$A$1:A149,A150)</f>
        <v/>
      </c>
      <c r="L150">
        <f>IFERROR(VLOOKUP(A150,Opening!$A:$C,3,0),0)</f>
        <v/>
      </c>
      <c r="M150">
        <f>IF(I150=0,0,MAX(0,MIN(INDEX(Month!H$2:H$13,MATCH($A150,Month!$A$2:$A$13,0))-K150,I150)))</f>
        <v/>
      </c>
      <c r="N150">
        <f>IF(I150=0,0,MAX(0,MIN(INDEX(Month!I$2:I$13,MATCH($A150,Month!$A$2:$A$13,0))-K150,I150)))</f>
        <v/>
      </c>
      <c r="O150">
        <f>IF(I150=0,0,MAX(0,MIN(INDEX(Month!J$2:J$13,MATCH($A150,Month!$A$2:$A$13,0))-K150,I150)))</f>
        <v/>
      </c>
      <c r="P150">
        <f>IF(I150=0,0,(MIN(MAX(K150,0),L150)*W150+SUMPRODUCT((Calc!$A$2:$A$1001=A150)*Calc!$G$2:$G$1001*(((K150-(L150+Calc!$J$2:$J$1001))&gt;0)*((K150-(L150+Calc!$J$2:$J$1001))&lt;Calc!$F$2:$F$1001)*(K150-(L150+Calc!$J$2:$J$1001))+((K150-(L150+Calc!$J$2:$J$1001))&gt;=Calc!$F$2:$F$1001)*Calc!$F$2:$F$1001))))</f>
        <v/>
      </c>
      <c r="Q150">
        <f>IF(I150=0,0,(MIN(MAX((K150+M150),0),L150)*W150+SUMPRODUCT((Calc!$A$2:$A$1001=A150)*Calc!$G$2:$G$1001*((((K150+M150)-(L150+Calc!$J$2:$J$1001))&gt;0)*(((K150+M150)-(L150+Calc!$J$2:$J$1001))&lt;Calc!$F$2:$F$1001)*((K150+M150)-(L150+Calc!$J$2:$J$1001))+(((K150+M150)-(L150+Calc!$J$2:$J$1001))&gt;=Calc!$F$2:$F$1001)*Calc!$F$2:$F$1001))))</f>
        <v/>
      </c>
      <c r="R150">
        <f>IF(I150=0,0,(MIN(MAX((K150+N150),0),L150)*W150+SUMPRODUCT((Calc!$A$2:$A$1001=A150)*Calc!$G$2:$G$1001*((((K150+N150)-(L150+Calc!$J$2:$J$1001))&gt;0)*(((K150+N150)-(L150+Calc!$J$2:$J$1001))&lt;Calc!$F$2:$F$1001)*((K150+N150)-(L150+Calc!$J$2:$J$1001))+(((K150+N150)-(L150+Calc!$J$2:$J$1001))&gt;=Calc!$F$2:$F$1001)*Calc!$F$2:$F$1001))))</f>
        <v/>
      </c>
      <c r="S150">
        <f>IF(I150=0,0,(MIN(MAX((K150+O150),0),L150)*W150+SUMPRODUCT((Calc!$A$2:$A$1001=A150)*Calc!$G$2:$G$1001*((((K150+O150)-(L150+Calc!$J$2:$J$1001))&gt;0)*(((K150+O150)-(L150+Calc!$J$2:$J$1001))&lt;Calc!$F$2:$F$1001)*((K150+O150)-(L150+Calc!$J$2:$J$1001))+(((K150+O150)-(L150+Calc!$J$2:$J$1001))&gt;=Calc!$F$2:$F$1001)*Calc!$F$2:$F$1001))))</f>
        <v/>
      </c>
      <c r="T150">
        <f>IF(AND(E150=1,B150="RETURN"),Transactions!E150*Transactions!G150,0)</f>
        <v/>
      </c>
      <c r="U150">
        <f>IF(AND(E150=1,B150="EXPENSE"),Transactions!J150,0)</f>
        <v/>
      </c>
      <c r="V150">
        <f>IF(AND(Transactions!A150&lt;&gt;"",E150=0),ROW(),"")</f>
        <v/>
      </c>
      <c r="W150">
        <f>IFERROR(VLOOKUP(A150,Opening!$A:$D,4,0),0)</f>
        <v/>
      </c>
    </row>
    <row r="151">
      <c r="A151">
        <f>IF(Transactions!D151="","",UPPER(TRIM(Transactions!D151)))</f>
        <v/>
      </c>
      <c r="B151">
        <f>IF(Transactions!C151="","",UPPER(TRIM(Transactions!C151)))</f>
        <v/>
      </c>
      <c r="C151">
        <f>IF(Transactions!B151="",0,YEAR(Transactions!B151)*100+MONTH(Transactions!B151))</f>
        <v/>
      </c>
      <c r="D151">
        <f>IF(Transactions!A151="",1,IF(COUNTIF(Transactions!$A$1:A150,Transactions!A151)&gt;0,1,0))</f>
        <v/>
      </c>
      <c r="E151">
        <f>IF(D151=1,0,IF(B151="RETURN",IF(COUNTIFS($A$1:A150,A151,$B$1:B150,"SALE",$E$1:E150,1)&gt;0,1,0),1))</f>
        <v/>
      </c>
      <c r="F151">
        <f>IF(E151=1,IF(B151="RECEIPT",Transactions!E151,IF(AND(B151="RETURN",LOWER(TRIM(Transactions!H151))="resellable"),Transactions!E151,0)),0)</f>
        <v/>
      </c>
      <c r="G151">
        <f>IF(F151&gt;0,IF(B151="RECEIPT",Transactions!F151,IF(_xlfn.MAXIFS($H$2:H151,$A$2:A151,A151)&gt;0,INDEX(Transactions!$F:$F,_xlfn.MAXIFS($H$2:H151,$A$2:A151,A151)),W151)),0)</f>
        <v/>
      </c>
      <c r="H151">
        <f>IF(AND(E151=1,B151="RECEIPT"),ROW(),0)</f>
        <v/>
      </c>
      <c r="I151">
        <f>IF(E151=1,IF(OR(B151="SALE",B151="WRITEOFF"),Transactions!E151,0),0)</f>
        <v/>
      </c>
      <c r="J151">
        <f>SUMIFS($F$1:F150,$A$1:A150,A151)</f>
        <v/>
      </c>
      <c r="K151">
        <f>SUMIFS($I$1:I150,$A$1:A150,A151)</f>
        <v/>
      </c>
      <c r="L151">
        <f>IFERROR(VLOOKUP(A151,Opening!$A:$C,3,0),0)</f>
        <v/>
      </c>
      <c r="M151">
        <f>IF(I151=0,0,MAX(0,MIN(INDEX(Month!H$2:H$13,MATCH($A151,Month!$A$2:$A$13,0))-K151,I151)))</f>
        <v/>
      </c>
      <c r="N151">
        <f>IF(I151=0,0,MAX(0,MIN(INDEX(Month!I$2:I$13,MATCH($A151,Month!$A$2:$A$13,0))-K151,I151)))</f>
        <v/>
      </c>
      <c r="O151">
        <f>IF(I151=0,0,MAX(0,MIN(INDEX(Month!J$2:J$13,MATCH($A151,Month!$A$2:$A$13,0))-K151,I151)))</f>
        <v/>
      </c>
      <c r="P151">
        <f>IF(I151=0,0,(MIN(MAX(K151,0),L151)*W151+SUMPRODUCT((Calc!$A$2:$A$1001=A151)*Calc!$G$2:$G$1001*(((K151-(L151+Calc!$J$2:$J$1001))&gt;0)*((K151-(L151+Calc!$J$2:$J$1001))&lt;Calc!$F$2:$F$1001)*(K151-(L151+Calc!$J$2:$J$1001))+((K151-(L151+Calc!$J$2:$J$1001))&gt;=Calc!$F$2:$F$1001)*Calc!$F$2:$F$1001))))</f>
        <v/>
      </c>
      <c r="Q151">
        <f>IF(I151=0,0,(MIN(MAX((K151+M151),0),L151)*W151+SUMPRODUCT((Calc!$A$2:$A$1001=A151)*Calc!$G$2:$G$1001*((((K151+M151)-(L151+Calc!$J$2:$J$1001))&gt;0)*(((K151+M151)-(L151+Calc!$J$2:$J$1001))&lt;Calc!$F$2:$F$1001)*((K151+M151)-(L151+Calc!$J$2:$J$1001))+(((K151+M151)-(L151+Calc!$J$2:$J$1001))&gt;=Calc!$F$2:$F$1001)*Calc!$F$2:$F$1001))))</f>
        <v/>
      </c>
      <c r="R151">
        <f>IF(I151=0,0,(MIN(MAX((K151+N151),0),L151)*W151+SUMPRODUCT((Calc!$A$2:$A$1001=A151)*Calc!$G$2:$G$1001*((((K151+N151)-(L151+Calc!$J$2:$J$1001))&gt;0)*(((K151+N151)-(L151+Calc!$J$2:$J$1001))&lt;Calc!$F$2:$F$1001)*((K151+N151)-(L151+Calc!$J$2:$J$1001))+(((K151+N151)-(L151+Calc!$J$2:$J$1001))&gt;=Calc!$F$2:$F$1001)*Calc!$F$2:$F$1001))))</f>
        <v/>
      </c>
      <c r="S151">
        <f>IF(I151=0,0,(MIN(MAX((K151+O151),0),L151)*W151+SUMPRODUCT((Calc!$A$2:$A$1001=A151)*Calc!$G$2:$G$1001*((((K151+O151)-(L151+Calc!$J$2:$J$1001))&gt;0)*(((K151+O151)-(L151+Calc!$J$2:$J$1001))&lt;Calc!$F$2:$F$1001)*((K151+O151)-(L151+Calc!$J$2:$J$1001))+(((K151+O151)-(L151+Calc!$J$2:$J$1001))&gt;=Calc!$F$2:$F$1001)*Calc!$F$2:$F$1001))))</f>
        <v/>
      </c>
      <c r="T151">
        <f>IF(AND(E151=1,B151="RETURN"),Transactions!E151*Transactions!G151,0)</f>
        <v/>
      </c>
      <c r="U151">
        <f>IF(AND(E151=1,B151="EXPENSE"),Transactions!J151,0)</f>
        <v/>
      </c>
      <c r="V151">
        <f>IF(AND(Transactions!A151&lt;&gt;"",E151=0),ROW(),"")</f>
        <v/>
      </c>
      <c r="W151">
        <f>IFERROR(VLOOKUP(A151,Opening!$A:$D,4,0),0)</f>
        <v/>
      </c>
    </row>
    <row r="152">
      <c r="A152">
        <f>IF(Transactions!D152="","",UPPER(TRIM(Transactions!D152)))</f>
        <v/>
      </c>
      <c r="B152">
        <f>IF(Transactions!C152="","",UPPER(TRIM(Transactions!C152)))</f>
        <v/>
      </c>
      <c r="C152">
        <f>IF(Transactions!B152="",0,YEAR(Transactions!B152)*100+MONTH(Transactions!B152))</f>
        <v/>
      </c>
      <c r="D152">
        <f>IF(Transactions!A152="",1,IF(COUNTIF(Transactions!$A$1:A151,Transactions!A152)&gt;0,1,0))</f>
        <v/>
      </c>
      <c r="E152">
        <f>IF(D152=1,0,IF(B152="RETURN",IF(COUNTIFS($A$1:A151,A152,$B$1:B151,"SALE",$E$1:E151,1)&gt;0,1,0),1))</f>
        <v/>
      </c>
      <c r="F152">
        <f>IF(E152=1,IF(B152="RECEIPT",Transactions!E152,IF(AND(B152="RETURN",LOWER(TRIM(Transactions!H152))="resellable"),Transactions!E152,0)),0)</f>
        <v/>
      </c>
      <c r="G152">
        <f>IF(F152&gt;0,IF(B152="RECEIPT",Transactions!F152,IF(_xlfn.MAXIFS($H$2:H152,$A$2:A152,A152)&gt;0,INDEX(Transactions!$F:$F,_xlfn.MAXIFS($H$2:H152,$A$2:A152,A152)),W152)),0)</f>
        <v/>
      </c>
      <c r="H152">
        <f>IF(AND(E152=1,B152="RECEIPT"),ROW(),0)</f>
        <v/>
      </c>
      <c r="I152">
        <f>IF(E152=1,IF(OR(B152="SALE",B152="WRITEOFF"),Transactions!E152,0),0)</f>
        <v/>
      </c>
      <c r="J152">
        <f>SUMIFS($F$1:F151,$A$1:A151,A152)</f>
        <v/>
      </c>
      <c r="K152">
        <f>SUMIFS($I$1:I151,$A$1:A151,A152)</f>
        <v/>
      </c>
      <c r="L152">
        <f>IFERROR(VLOOKUP(A152,Opening!$A:$C,3,0),0)</f>
        <v/>
      </c>
      <c r="M152">
        <f>IF(I152=0,0,MAX(0,MIN(INDEX(Month!H$2:H$13,MATCH($A152,Month!$A$2:$A$13,0))-K152,I152)))</f>
        <v/>
      </c>
      <c r="N152">
        <f>IF(I152=0,0,MAX(0,MIN(INDEX(Month!I$2:I$13,MATCH($A152,Month!$A$2:$A$13,0))-K152,I152)))</f>
        <v/>
      </c>
      <c r="O152">
        <f>IF(I152=0,0,MAX(0,MIN(INDEX(Month!J$2:J$13,MATCH($A152,Month!$A$2:$A$13,0))-K152,I152)))</f>
        <v/>
      </c>
      <c r="P152">
        <f>IF(I152=0,0,(MIN(MAX(K152,0),L152)*W152+SUMPRODUCT((Calc!$A$2:$A$1001=A152)*Calc!$G$2:$G$1001*(((K152-(L152+Calc!$J$2:$J$1001))&gt;0)*((K152-(L152+Calc!$J$2:$J$1001))&lt;Calc!$F$2:$F$1001)*(K152-(L152+Calc!$J$2:$J$1001))+((K152-(L152+Calc!$J$2:$J$1001))&gt;=Calc!$F$2:$F$1001)*Calc!$F$2:$F$1001))))</f>
        <v/>
      </c>
      <c r="Q152">
        <f>IF(I152=0,0,(MIN(MAX((K152+M152),0),L152)*W152+SUMPRODUCT((Calc!$A$2:$A$1001=A152)*Calc!$G$2:$G$1001*((((K152+M152)-(L152+Calc!$J$2:$J$1001))&gt;0)*(((K152+M152)-(L152+Calc!$J$2:$J$1001))&lt;Calc!$F$2:$F$1001)*((K152+M152)-(L152+Calc!$J$2:$J$1001))+(((K152+M152)-(L152+Calc!$J$2:$J$1001))&gt;=Calc!$F$2:$F$1001)*Calc!$F$2:$F$1001))))</f>
        <v/>
      </c>
      <c r="R152">
        <f>IF(I152=0,0,(MIN(MAX((K152+N152),0),L152)*W152+SUMPRODUCT((Calc!$A$2:$A$1001=A152)*Calc!$G$2:$G$1001*((((K152+N152)-(L152+Calc!$J$2:$J$1001))&gt;0)*(((K152+N152)-(L152+Calc!$J$2:$J$1001))&lt;Calc!$F$2:$F$1001)*((K152+N152)-(L152+Calc!$J$2:$J$1001))+(((K152+N152)-(L152+Calc!$J$2:$J$1001))&gt;=Calc!$F$2:$F$1001)*Calc!$F$2:$F$1001))))</f>
        <v/>
      </c>
      <c r="S152">
        <f>IF(I152=0,0,(MIN(MAX((K152+O152),0),L152)*W152+SUMPRODUCT((Calc!$A$2:$A$1001=A152)*Calc!$G$2:$G$1001*((((K152+O152)-(L152+Calc!$J$2:$J$1001))&gt;0)*(((K152+O152)-(L152+Calc!$J$2:$J$1001))&lt;Calc!$F$2:$F$1001)*((K152+O152)-(L152+Calc!$J$2:$J$1001))+(((K152+O152)-(L152+Calc!$J$2:$J$1001))&gt;=Calc!$F$2:$F$1001)*Calc!$F$2:$F$1001))))</f>
        <v/>
      </c>
      <c r="T152">
        <f>IF(AND(E152=1,B152="RETURN"),Transactions!E152*Transactions!G152,0)</f>
        <v/>
      </c>
      <c r="U152">
        <f>IF(AND(E152=1,B152="EXPENSE"),Transactions!J152,0)</f>
        <v/>
      </c>
      <c r="V152">
        <f>IF(AND(Transactions!A152&lt;&gt;"",E152=0),ROW(),"")</f>
        <v/>
      </c>
      <c r="W152">
        <f>IFERROR(VLOOKUP(A152,Opening!$A:$D,4,0),0)</f>
        <v/>
      </c>
    </row>
    <row r="153">
      <c r="A153">
        <f>IF(Transactions!D153="","",UPPER(TRIM(Transactions!D153)))</f>
        <v/>
      </c>
      <c r="B153">
        <f>IF(Transactions!C153="","",UPPER(TRIM(Transactions!C153)))</f>
        <v/>
      </c>
      <c r="C153">
        <f>IF(Transactions!B153="",0,YEAR(Transactions!B153)*100+MONTH(Transactions!B153))</f>
        <v/>
      </c>
      <c r="D153">
        <f>IF(Transactions!A153="",1,IF(COUNTIF(Transactions!$A$1:A152,Transactions!A153)&gt;0,1,0))</f>
        <v/>
      </c>
      <c r="E153">
        <f>IF(D153=1,0,IF(B153="RETURN",IF(COUNTIFS($A$1:A152,A153,$B$1:B152,"SALE",$E$1:E152,1)&gt;0,1,0),1))</f>
        <v/>
      </c>
      <c r="F153">
        <f>IF(E153=1,IF(B153="RECEIPT",Transactions!E153,IF(AND(B153="RETURN",LOWER(TRIM(Transactions!H153))="resellable"),Transactions!E153,0)),0)</f>
        <v/>
      </c>
      <c r="G153">
        <f>IF(F153&gt;0,IF(B153="RECEIPT",Transactions!F153,IF(_xlfn.MAXIFS($H$2:H153,$A$2:A153,A153)&gt;0,INDEX(Transactions!$F:$F,_xlfn.MAXIFS($H$2:H153,$A$2:A153,A153)),W153)),0)</f>
        <v/>
      </c>
      <c r="H153">
        <f>IF(AND(E153=1,B153="RECEIPT"),ROW(),0)</f>
        <v/>
      </c>
      <c r="I153">
        <f>IF(E153=1,IF(OR(B153="SALE",B153="WRITEOFF"),Transactions!E153,0),0)</f>
        <v/>
      </c>
      <c r="J153">
        <f>SUMIFS($F$1:F152,$A$1:A152,A153)</f>
        <v/>
      </c>
      <c r="K153">
        <f>SUMIFS($I$1:I152,$A$1:A152,A153)</f>
        <v/>
      </c>
      <c r="L153">
        <f>IFERROR(VLOOKUP(A153,Opening!$A:$C,3,0),0)</f>
        <v/>
      </c>
      <c r="M153">
        <f>IF(I153=0,0,MAX(0,MIN(INDEX(Month!H$2:H$13,MATCH($A153,Month!$A$2:$A$13,0))-K153,I153)))</f>
        <v/>
      </c>
      <c r="N153">
        <f>IF(I153=0,0,MAX(0,MIN(INDEX(Month!I$2:I$13,MATCH($A153,Month!$A$2:$A$13,0))-K153,I153)))</f>
        <v/>
      </c>
      <c r="O153">
        <f>IF(I153=0,0,MAX(0,MIN(INDEX(Month!J$2:J$13,MATCH($A153,Month!$A$2:$A$13,0))-K153,I153)))</f>
        <v/>
      </c>
      <c r="P153">
        <f>IF(I153=0,0,(MIN(MAX(K153,0),L153)*W153+SUMPRODUCT((Calc!$A$2:$A$1001=A153)*Calc!$G$2:$G$1001*(((K153-(L153+Calc!$J$2:$J$1001))&gt;0)*((K153-(L153+Calc!$J$2:$J$1001))&lt;Calc!$F$2:$F$1001)*(K153-(L153+Calc!$J$2:$J$1001))+((K153-(L153+Calc!$J$2:$J$1001))&gt;=Calc!$F$2:$F$1001)*Calc!$F$2:$F$1001))))</f>
        <v/>
      </c>
      <c r="Q153">
        <f>IF(I153=0,0,(MIN(MAX((K153+M153),0),L153)*W153+SUMPRODUCT((Calc!$A$2:$A$1001=A153)*Calc!$G$2:$G$1001*((((K153+M153)-(L153+Calc!$J$2:$J$1001))&gt;0)*(((K153+M153)-(L153+Calc!$J$2:$J$1001))&lt;Calc!$F$2:$F$1001)*((K153+M153)-(L153+Calc!$J$2:$J$1001))+(((K153+M153)-(L153+Calc!$J$2:$J$1001))&gt;=Calc!$F$2:$F$1001)*Calc!$F$2:$F$1001))))</f>
        <v/>
      </c>
      <c r="R153">
        <f>IF(I153=0,0,(MIN(MAX((K153+N153),0),L153)*W153+SUMPRODUCT((Calc!$A$2:$A$1001=A153)*Calc!$G$2:$G$1001*((((K153+N153)-(L153+Calc!$J$2:$J$1001))&gt;0)*(((K153+N153)-(L153+Calc!$J$2:$J$1001))&lt;Calc!$F$2:$F$1001)*((K153+N153)-(L153+Calc!$J$2:$J$1001))+(((K153+N153)-(L153+Calc!$J$2:$J$1001))&gt;=Calc!$F$2:$F$1001)*Calc!$F$2:$F$1001))))</f>
        <v/>
      </c>
      <c r="S153">
        <f>IF(I153=0,0,(MIN(MAX((K153+O153),0),L153)*W153+SUMPRODUCT((Calc!$A$2:$A$1001=A153)*Calc!$G$2:$G$1001*((((K153+O153)-(L153+Calc!$J$2:$J$1001))&gt;0)*(((K153+O153)-(L153+Calc!$J$2:$J$1001))&lt;Calc!$F$2:$F$1001)*((K153+O153)-(L153+Calc!$J$2:$J$1001))+(((K153+O153)-(L153+Calc!$J$2:$J$1001))&gt;=Calc!$F$2:$F$1001)*Calc!$F$2:$F$1001))))</f>
        <v/>
      </c>
      <c r="T153">
        <f>IF(AND(E153=1,B153="RETURN"),Transactions!E153*Transactions!G153,0)</f>
        <v/>
      </c>
      <c r="U153">
        <f>IF(AND(E153=1,B153="EXPENSE"),Transactions!J153,0)</f>
        <v/>
      </c>
      <c r="V153">
        <f>IF(AND(Transactions!A153&lt;&gt;"",E153=0),ROW(),"")</f>
        <v/>
      </c>
      <c r="W153">
        <f>IFERROR(VLOOKUP(A153,Opening!$A:$D,4,0),0)</f>
        <v/>
      </c>
    </row>
    <row r="154">
      <c r="A154">
        <f>IF(Transactions!D154="","",UPPER(TRIM(Transactions!D154)))</f>
        <v/>
      </c>
      <c r="B154">
        <f>IF(Transactions!C154="","",UPPER(TRIM(Transactions!C154)))</f>
        <v/>
      </c>
      <c r="C154">
        <f>IF(Transactions!B154="",0,YEAR(Transactions!B154)*100+MONTH(Transactions!B154))</f>
        <v/>
      </c>
      <c r="D154">
        <f>IF(Transactions!A154="",1,IF(COUNTIF(Transactions!$A$1:A153,Transactions!A154)&gt;0,1,0))</f>
        <v/>
      </c>
      <c r="E154">
        <f>IF(D154=1,0,IF(B154="RETURN",IF(COUNTIFS($A$1:A153,A154,$B$1:B153,"SALE",$E$1:E153,1)&gt;0,1,0),1))</f>
        <v/>
      </c>
      <c r="F154">
        <f>IF(E154=1,IF(B154="RECEIPT",Transactions!E154,IF(AND(B154="RETURN",LOWER(TRIM(Transactions!H154))="resellable"),Transactions!E154,0)),0)</f>
        <v/>
      </c>
      <c r="G154">
        <f>IF(F154&gt;0,IF(B154="RECEIPT",Transactions!F154,IF(_xlfn.MAXIFS($H$2:H154,$A$2:A154,A154)&gt;0,INDEX(Transactions!$F:$F,_xlfn.MAXIFS($H$2:H154,$A$2:A154,A154)),W154)),0)</f>
        <v/>
      </c>
      <c r="H154">
        <f>IF(AND(E154=1,B154="RECEIPT"),ROW(),0)</f>
        <v/>
      </c>
      <c r="I154">
        <f>IF(E154=1,IF(OR(B154="SALE",B154="WRITEOFF"),Transactions!E154,0),0)</f>
        <v/>
      </c>
      <c r="J154">
        <f>SUMIFS($F$1:F153,$A$1:A153,A154)</f>
        <v/>
      </c>
      <c r="K154">
        <f>SUMIFS($I$1:I153,$A$1:A153,A154)</f>
        <v/>
      </c>
      <c r="L154">
        <f>IFERROR(VLOOKUP(A154,Opening!$A:$C,3,0),0)</f>
        <v/>
      </c>
      <c r="M154">
        <f>IF(I154=0,0,MAX(0,MIN(INDEX(Month!H$2:H$13,MATCH($A154,Month!$A$2:$A$13,0))-K154,I154)))</f>
        <v/>
      </c>
      <c r="N154">
        <f>IF(I154=0,0,MAX(0,MIN(INDEX(Month!I$2:I$13,MATCH($A154,Month!$A$2:$A$13,0))-K154,I154)))</f>
        <v/>
      </c>
      <c r="O154">
        <f>IF(I154=0,0,MAX(0,MIN(INDEX(Month!J$2:J$13,MATCH($A154,Month!$A$2:$A$13,0))-K154,I154)))</f>
        <v/>
      </c>
      <c r="P154">
        <f>IF(I154=0,0,(MIN(MAX(K154,0),L154)*W154+SUMPRODUCT((Calc!$A$2:$A$1001=A154)*Calc!$G$2:$G$1001*(((K154-(L154+Calc!$J$2:$J$1001))&gt;0)*((K154-(L154+Calc!$J$2:$J$1001))&lt;Calc!$F$2:$F$1001)*(K154-(L154+Calc!$J$2:$J$1001))+((K154-(L154+Calc!$J$2:$J$1001))&gt;=Calc!$F$2:$F$1001)*Calc!$F$2:$F$1001))))</f>
        <v/>
      </c>
      <c r="Q154">
        <f>IF(I154=0,0,(MIN(MAX((K154+M154),0),L154)*W154+SUMPRODUCT((Calc!$A$2:$A$1001=A154)*Calc!$G$2:$G$1001*((((K154+M154)-(L154+Calc!$J$2:$J$1001))&gt;0)*(((K154+M154)-(L154+Calc!$J$2:$J$1001))&lt;Calc!$F$2:$F$1001)*((K154+M154)-(L154+Calc!$J$2:$J$1001))+(((K154+M154)-(L154+Calc!$J$2:$J$1001))&gt;=Calc!$F$2:$F$1001)*Calc!$F$2:$F$1001))))</f>
        <v/>
      </c>
      <c r="R154">
        <f>IF(I154=0,0,(MIN(MAX((K154+N154),0),L154)*W154+SUMPRODUCT((Calc!$A$2:$A$1001=A154)*Calc!$G$2:$G$1001*((((K154+N154)-(L154+Calc!$J$2:$J$1001))&gt;0)*(((K154+N154)-(L154+Calc!$J$2:$J$1001))&lt;Calc!$F$2:$F$1001)*((K154+N154)-(L154+Calc!$J$2:$J$1001))+(((K154+N154)-(L154+Calc!$J$2:$J$1001))&gt;=Calc!$F$2:$F$1001)*Calc!$F$2:$F$1001))))</f>
        <v/>
      </c>
      <c r="S154">
        <f>IF(I154=0,0,(MIN(MAX((K154+O154),0),L154)*W154+SUMPRODUCT((Calc!$A$2:$A$1001=A154)*Calc!$G$2:$G$1001*((((K154+O154)-(L154+Calc!$J$2:$J$1001))&gt;0)*(((K154+O154)-(L154+Calc!$J$2:$J$1001))&lt;Calc!$F$2:$F$1001)*((K154+O154)-(L154+Calc!$J$2:$J$1001))+(((K154+O154)-(L154+Calc!$J$2:$J$1001))&gt;=Calc!$F$2:$F$1001)*Calc!$F$2:$F$1001))))</f>
        <v/>
      </c>
      <c r="T154">
        <f>IF(AND(E154=1,B154="RETURN"),Transactions!E154*Transactions!G154,0)</f>
        <v/>
      </c>
      <c r="U154">
        <f>IF(AND(E154=1,B154="EXPENSE"),Transactions!J154,0)</f>
        <v/>
      </c>
      <c r="V154">
        <f>IF(AND(Transactions!A154&lt;&gt;"",E154=0),ROW(),"")</f>
        <v/>
      </c>
      <c r="W154">
        <f>IFERROR(VLOOKUP(A154,Opening!$A:$D,4,0),0)</f>
        <v/>
      </c>
    </row>
    <row r="155">
      <c r="A155">
        <f>IF(Transactions!D155="","",UPPER(TRIM(Transactions!D155)))</f>
        <v/>
      </c>
      <c r="B155">
        <f>IF(Transactions!C155="","",UPPER(TRIM(Transactions!C155)))</f>
        <v/>
      </c>
      <c r="C155">
        <f>IF(Transactions!B155="",0,YEAR(Transactions!B155)*100+MONTH(Transactions!B155))</f>
        <v/>
      </c>
      <c r="D155">
        <f>IF(Transactions!A155="",1,IF(COUNTIF(Transactions!$A$1:A154,Transactions!A155)&gt;0,1,0))</f>
        <v/>
      </c>
      <c r="E155">
        <f>IF(D155=1,0,IF(B155="RETURN",IF(COUNTIFS($A$1:A154,A155,$B$1:B154,"SALE",$E$1:E154,1)&gt;0,1,0),1))</f>
        <v/>
      </c>
      <c r="F155">
        <f>IF(E155=1,IF(B155="RECEIPT",Transactions!E155,IF(AND(B155="RETURN",LOWER(TRIM(Transactions!H155))="resellable"),Transactions!E155,0)),0)</f>
        <v/>
      </c>
      <c r="G155">
        <f>IF(F155&gt;0,IF(B155="RECEIPT",Transactions!F155,IF(_xlfn.MAXIFS($H$2:H155,$A$2:A155,A155)&gt;0,INDEX(Transactions!$F:$F,_xlfn.MAXIFS($H$2:H155,$A$2:A155,A155)),W155)),0)</f>
        <v/>
      </c>
      <c r="H155">
        <f>IF(AND(E155=1,B155="RECEIPT"),ROW(),0)</f>
        <v/>
      </c>
      <c r="I155">
        <f>IF(E155=1,IF(OR(B155="SALE",B155="WRITEOFF"),Transactions!E155,0),0)</f>
        <v/>
      </c>
      <c r="J155">
        <f>SUMIFS($F$1:F154,$A$1:A154,A155)</f>
        <v/>
      </c>
      <c r="K155">
        <f>SUMIFS($I$1:I154,$A$1:A154,A155)</f>
        <v/>
      </c>
      <c r="L155">
        <f>IFERROR(VLOOKUP(A155,Opening!$A:$C,3,0),0)</f>
        <v/>
      </c>
      <c r="M155">
        <f>IF(I155=0,0,MAX(0,MIN(INDEX(Month!H$2:H$13,MATCH($A155,Month!$A$2:$A$13,0))-K155,I155)))</f>
        <v/>
      </c>
      <c r="N155">
        <f>IF(I155=0,0,MAX(0,MIN(INDEX(Month!I$2:I$13,MATCH($A155,Month!$A$2:$A$13,0))-K155,I155)))</f>
        <v/>
      </c>
      <c r="O155">
        <f>IF(I155=0,0,MAX(0,MIN(INDEX(Month!J$2:J$13,MATCH($A155,Month!$A$2:$A$13,0))-K155,I155)))</f>
        <v/>
      </c>
      <c r="P155">
        <f>IF(I155=0,0,(MIN(MAX(K155,0),L155)*W155+SUMPRODUCT((Calc!$A$2:$A$1001=A155)*Calc!$G$2:$G$1001*(((K155-(L155+Calc!$J$2:$J$1001))&gt;0)*((K155-(L155+Calc!$J$2:$J$1001))&lt;Calc!$F$2:$F$1001)*(K155-(L155+Calc!$J$2:$J$1001))+((K155-(L155+Calc!$J$2:$J$1001))&gt;=Calc!$F$2:$F$1001)*Calc!$F$2:$F$1001))))</f>
        <v/>
      </c>
      <c r="Q155">
        <f>IF(I155=0,0,(MIN(MAX((K155+M155),0),L155)*W155+SUMPRODUCT((Calc!$A$2:$A$1001=A155)*Calc!$G$2:$G$1001*((((K155+M155)-(L155+Calc!$J$2:$J$1001))&gt;0)*(((K155+M155)-(L155+Calc!$J$2:$J$1001))&lt;Calc!$F$2:$F$1001)*((K155+M155)-(L155+Calc!$J$2:$J$1001))+(((K155+M155)-(L155+Calc!$J$2:$J$1001))&gt;=Calc!$F$2:$F$1001)*Calc!$F$2:$F$1001))))</f>
        <v/>
      </c>
      <c r="R155">
        <f>IF(I155=0,0,(MIN(MAX((K155+N155),0),L155)*W155+SUMPRODUCT((Calc!$A$2:$A$1001=A155)*Calc!$G$2:$G$1001*((((K155+N155)-(L155+Calc!$J$2:$J$1001))&gt;0)*(((K155+N155)-(L155+Calc!$J$2:$J$1001))&lt;Calc!$F$2:$F$1001)*((K155+N155)-(L155+Calc!$J$2:$J$1001))+(((K155+N155)-(L155+Calc!$J$2:$J$1001))&gt;=Calc!$F$2:$F$1001)*Calc!$F$2:$F$1001))))</f>
        <v/>
      </c>
      <c r="S155">
        <f>IF(I155=0,0,(MIN(MAX((K155+O155),0),L155)*W155+SUMPRODUCT((Calc!$A$2:$A$1001=A155)*Calc!$G$2:$G$1001*((((K155+O155)-(L155+Calc!$J$2:$J$1001))&gt;0)*(((K155+O155)-(L155+Calc!$J$2:$J$1001))&lt;Calc!$F$2:$F$1001)*((K155+O155)-(L155+Calc!$J$2:$J$1001))+(((K155+O155)-(L155+Calc!$J$2:$J$1001))&gt;=Calc!$F$2:$F$1001)*Calc!$F$2:$F$1001))))</f>
        <v/>
      </c>
      <c r="T155">
        <f>IF(AND(E155=1,B155="RETURN"),Transactions!E155*Transactions!G155,0)</f>
        <v/>
      </c>
      <c r="U155">
        <f>IF(AND(E155=1,B155="EXPENSE"),Transactions!J155,0)</f>
        <v/>
      </c>
      <c r="V155">
        <f>IF(AND(Transactions!A155&lt;&gt;"",E155=0),ROW(),"")</f>
        <v/>
      </c>
      <c r="W155">
        <f>IFERROR(VLOOKUP(A155,Opening!$A:$D,4,0),0)</f>
        <v/>
      </c>
    </row>
    <row r="156">
      <c r="A156">
        <f>IF(Transactions!D156="","",UPPER(TRIM(Transactions!D156)))</f>
        <v/>
      </c>
      <c r="B156">
        <f>IF(Transactions!C156="","",UPPER(TRIM(Transactions!C156)))</f>
        <v/>
      </c>
      <c r="C156">
        <f>IF(Transactions!B156="",0,YEAR(Transactions!B156)*100+MONTH(Transactions!B156))</f>
        <v/>
      </c>
      <c r="D156">
        <f>IF(Transactions!A156="",1,IF(COUNTIF(Transactions!$A$1:A155,Transactions!A156)&gt;0,1,0))</f>
        <v/>
      </c>
      <c r="E156">
        <f>IF(D156=1,0,IF(B156="RETURN",IF(COUNTIFS($A$1:A155,A156,$B$1:B155,"SALE",$E$1:E155,1)&gt;0,1,0),1))</f>
        <v/>
      </c>
      <c r="F156">
        <f>IF(E156=1,IF(B156="RECEIPT",Transactions!E156,IF(AND(B156="RETURN",LOWER(TRIM(Transactions!H156))="resellable"),Transactions!E156,0)),0)</f>
        <v/>
      </c>
      <c r="G156">
        <f>IF(F156&gt;0,IF(B156="RECEIPT",Transactions!F156,IF(_xlfn.MAXIFS($H$2:H156,$A$2:A156,A156)&gt;0,INDEX(Transactions!$F:$F,_xlfn.MAXIFS($H$2:H156,$A$2:A156,A156)),W156)),0)</f>
        <v/>
      </c>
      <c r="H156">
        <f>IF(AND(E156=1,B156="RECEIPT"),ROW(),0)</f>
        <v/>
      </c>
      <c r="I156">
        <f>IF(E156=1,IF(OR(B156="SALE",B156="WRITEOFF"),Transactions!E156,0),0)</f>
        <v/>
      </c>
      <c r="J156">
        <f>SUMIFS($F$1:F155,$A$1:A155,A156)</f>
        <v/>
      </c>
      <c r="K156">
        <f>SUMIFS($I$1:I155,$A$1:A155,A156)</f>
        <v/>
      </c>
      <c r="L156">
        <f>IFERROR(VLOOKUP(A156,Opening!$A:$C,3,0),0)</f>
        <v/>
      </c>
      <c r="M156">
        <f>IF(I156=0,0,MAX(0,MIN(INDEX(Month!H$2:H$13,MATCH($A156,Month!$A$2:$A$13,0))-K156,I156)))</f>
        <v/>
      </c>
      <c r="N156">
        <f>IF(I156=0,0,MAX(0,MIN(INDEX(Month!I$2:I$13,MATCH($A156,Month!$A$2:$A$13,0))-K156,I156)))</f>
        <v/>
      </c>
      <c r="O156">
        <f>IF(I156=0,0,MAX(0,MIN(INDEX(Month!J$2:J$13,MATCH($A156,Month!$A$2:$A$13,0))-K156,I156)))</f>
        <v/>
      </c>
      <c r="P156">
        <f>IF(I156=0,0,(MIN(MAX(K156,0),L156)*W156+SUMPRODUCT((Calc!$A$2:$A$1001=A156)*Calc!$G$2:$G$1001*(((K156-(L156+Calc!$J$2:$J$1001))&gt;0)*((K156-(L156+Calc!$J$2:$J$1001))&lt;Calc!$F$2:$F$1001)*(K156-(L156+Calc!$J$2:$J$1001))+((K156-(L156+Calc!$J$2:$J$1001))&gt;=Calc!$F$2:$F$1001)*Calc!$F$2:$F$1001))))</f>
        <v/>
      </c>
      <c r="Q156">
        <f>IF(I156=0,0,(MIN(MAX((K156+M156),0),L156)*W156+SUMPRODUCT((Calc!$A$2:$A$1001=A156)*Calc!$G$2:$G$1001*((((K156+M156)-(L156+Calc!$J$2:$J$1001))&gt;0)*(((K156+M156)-(L156+Calc!$J$2:$J$1001))&lt;Calc!$F$2:$F$1001)*((K156+M156)-(L156+Calc!$J$2:$J$1001))+(((K156+M156)-(L156+Calc!$J$2:$J$1001))&gt;=Calc!$F$2:$F$1001)*Calc!$F$2:$F$1001))))</f>
        <v/>
      </c>
      <c r="R156">
        <f>IF(I156=0,0,(MIN(MAX((K156+N156),0),L156)*W156+SUMPRODUCT((Calc!$A$2:$A$1001=A156)*Calc!$G$2:$G$1001*((((K156+N156)-(L156+Calc!$J$2:$J$1001))&gt;0)*(((K156+N156)-(L156+Calc!$J$2:$J$1001))&lt;Calc!$F$2:$F$1001)*((K156+N156)-(L156+Calc!$J$2:$J$1001))+(((K156+N156)-(L156+Calc!$J$2:$J$1001))&gt;=Calc!$F$2:$F$1001)*Calc!$F$2:$F$1001))))</f>
        <v/>
      </c>
      <c r="S156">
        <f>IF(I156=0,0,(MIN(MAX((K156+O156),0),L156)*W156+SUMPRODUCT((Calc!$A$2:$A$1001=A156)*Calc!$G$2:$G$1001*((((K156+O156)-(L156+Calc!$J$2:$J$1001))&gt;0)*(((K156+O156)-(L156+Calc!$J$2:$J$1001))&lt;Calc!$F$2:$F$1001)*((K156+O156)-(L156+Calc!$J$2:$J$1001))+(((K156+O156)-(L156+Calc!$J$2:$J$1001))&gt;=Calc!$F$2:$F$1001)*Calc!$F$2:$F$1001))))</f>
        <v/>
      </c>
      <c r="T156">
        <f>IF(AND(E156=1,B156="RETURN"),Transactions!E156*Transactions!G156,0)</f>
        <v/>
      </c>
      <c r="U156">
        <f>IF(AND(E156=1,B156="EXPENSE"),Transactions!J156,0)</f>
        <v/>
      </c>
      <c r="V156">
        <f>IF(AND(Transactions!A156&lt;&gt;"",E156=0),ROW(),"")</f>
        <v/>
      </c>
      <c r="W156">
        <f>IFERROR(VLOOKUP(A156,Opening!$A:$D,4,0),0)</f>
        <v/>
      </c>
    </row>
    <row r="157">
      <c r="A157">
        <f>IF(Transactions!D157="","",UPPER(TRIM(Transactions!D157)))</f>
        <v/>
      </c>
      <c r="B157">
        <f>IF(Transactions!C157="","",UPPER(TRIM(Transactions!C157)))</f>
        <v/>
      </c>
      <c r="C157">
        <f>IF(Transactions!B157="",0,YEAR(Transactions!B157)*100+MONTH(Transactions!B157))</f>
        <v/>
      </c>
      <c r="D157">
        <f>IF(Transactions!A157="",1,IF(COUNTIF(Transactions!$A$1:A156,Transactions!A157)&gt;0,1,0))</f>
        <v/>
      </c>
      <c r="E157">
        <f>IF(D157=1,0,IF(B157="RETURN",IF(COUNTIFS($A$1:A156,A157,$B$1:B156,"SALE",$E$1:E156,1)&gt;0,1,0),1))</f>
        <v/>
      </c>
      <c r="F157">
        <f>IF(E157=1,IF(B157="RECEIPT",Transactions!E157,IF(AND(B157="RETURN",LOWER(TRIM(Transactions!H157))="resellable"),Transactions!E157,0)),0)</f>
        <v/>
      </c>
      <c r="G157">
        <f>IF(F157&gt;0,IF(B157="RECEIPT",Transactions!F157,IF(_xlfn.MAXIFS($H$2:H157,$A$2:A157,A157)&gt;0,INDEX(Transactions!$F:$F,_xlfn.MAXIFS($H$2:H157,$A$2:A157,A157)),W157)),0)</f>
        <v/>
      </c>
      <c r="H157">
        <f>IF(AND(E157=1,B157="RECEIPT"),ROW(),0)</f>
        <v/>
      </c>
      <c r="I157">
        <f>IF(E157=1,IF(OR(B157="SALE",B157="WRITEOFF"),Transactions!E157,0),0)</f>
        <v/>
      </c>
      <c r="J157">
        <f>SUMIFS($F$1:F156,$A$1:A156,A157)</f>
        <v/>
      </c>
      <c r="K157">
        <f>SUMIFS($I$1:I156,$A$1:A156,A157)</f>
        <v/>
      </c>
      <c r="L157">
        <f>IFERROR(VLOOKUP(A157,Opening!$A:$C,3,0),0)</f>
        <v/>
      </c>
      <c r="M157">
        <f>IF(I157=0,0,MAX(0,MIN(INDEX(Month!H$2:H$13,MATCH($A157,Month!$A$2:$A$13,0))-K157,I157)))</f>
        <v/>
      </c>
      <c r="N157">
        <f>IF(I157=0,0,MAX(0,MIN(INDEX(Month!I$2:I$13,MATCH($A157,Month!$A$2:$A$13,0))-K157,I157)))</f>
        <v/>
      </c>
      <c r="O157">
        <f>IF(I157=0,0,MAX(0,MIN(INDEX(Month!J$2:J$13,MATCH($A157,Month!$A$2:$A$13,0))-K157,I157)))</f>
        <v/>
      </c>
      <c r="P157">
        <f>IF(I157=0,0,(MIN(MAX(K157,0),L157)*W157+SUMPRODUCT((Calc!$A$2:$A$1001=A157)*Calc!$G$2:$G$1001*(((K157-(L157+Calc!$J$2:$J$1001))&gt;0)*((K157-(L157+Calc!$J$2:$J$1001))&lt;Calc!$F$2:$F$1001)*(K157-(L157+Calc!$J$2:$J$1001))+((K157-(L157+Calc!$J$2:$J$1001))&gt;=Calc!$F$2:$F$1001)*Calc!$F$2:$F$1001))))</f>
        <v/>
      </c>
      <c r="Q157">
        <f>IF(I157=0,0,(MIN(MAX((K157+M157),0),L157)*W157+SUMPRODUCT((Calc!$A$2:$A$1001=A157)*Calc!$G$2:$G$1001*((((K157+M157)-(L157+Calc!$J$2:$J$1001))&gt;0)*(((K157+M157)-(L157+Calc!$J$2:$J$1001))&lt;Calc!$F$2:$F$1001)*((K157+M157)-(L157+Calc!$J$2:$J$1001))+(((K157+M157)-(L157+Calc!$J$2:$J$1001))&gt;=Calc!$F$2:$F$1001)*Calc!$F$2:$F$1001))))</f>
        <v/>
      </c>
      <c r="R157">
        <f>IF(I157=0,0,(MIN(MAX((K157+N157),0),L157)*W157+SUMPRODUCT((Calc!$A$2:$A$1001=A157)*Calc!$G$2:$G$1001*((((K157+N157)-(L157+Calc!$J$2:$J$1001))&gt;0)*(((K157+N157)-(L157+Calc!$J$2:$J$1001))&lt;Calc!$F$2:$F$1001)*((K157+N157)-(L157+Calc!$J$2:$J$1001))+(((K157+N157)-(L157+Calc!$J$2:$J$1001))&gt;=Calc!$F$2:$F$1001)*Calc!$F$2:$F$1001))))</f>
        <v/>
      </c>
      <c r="S157">
        <f>IF(I157=0,0,(MIN(MAX((K157+O157),0),L157)*W157+SUMPRODUCT((Calc!$A$2:$A$1001=A157)*Calc!$G$2:$G$1001*((((K157+O157)-(L157+Calc!$J$2:$J$1001))&gt;0)*(((K157+O157)-(L157+Calc!$J$2:$J$1001))&lt;Calc!$F$2:$F$1001)*((K157+O157)-(L157+Calc!$J$2:$J$1001))+(((K157+O157)-(L157+Calc!$J$2:$J$1001))&gt;=Calc!$F$2:$F$1001)*Calc!$F$2:$F$1001))))</f>
        <v/>
      </c>
      <c r="T157">
        <f>IF(AND(E157=1,B157="RETURN"),Transactions!E157*Transactions!G157,0)</f>
        <v/>
      </c>
      <c r="U157">
        <f>IF(AND(E157=1,B157="EXPENSE"),Transactions!J157,0)</f>
        <v/>
      </c>
      <c r="V157">
        <f>IF(AND(Transactions!A157&lt;&gt;"",E157=0),ROW(),"")</f>
        <v/>
      </c>
      <c r="W157">
        <f>IFERROR(VLOOKUP(A157,Opening!$A:$D,4,0),0)</f>
        <v/>
      </c>
    </row>
    <row r="158">
      <c r="A158">
        <f>IF(Transactions!D158="","",UPPER(TRIM(Transactions!D158)))</f>
        <v/>
      </c>
      <c r="B158">
        <f>IF(Transactions!C158="","",UPPER(TRIM(Transactions!C158)))</f>
        <v/>
      </c>
      <c r="C158">
        <f>IF(Transactions!B158="",0,YEAR(Transactions!B158)*100+MONTH(Transactions!B158))</f>
        <v/>
      </c>
      <c r="D158">
        <f>IF(Transactions!A158="",1,IF(COUNTIF(Transactions!$A$1:A157,Transactions!A158)&gt;0,1,0))</f>
        <v/>
      </c>
      <c r="E158">
        <f>IF(D158=1,0,IF(B158="RETURN",IF(COUNTIFS($A$1:A157,A158,$B$1:B157,"SALE",$E$1:E157,1)&gt;0,1,0),1))</f>
        <v/>
      </c>
      <c r="F158">
        <f>IF(E158=1,IF(B158="RECEIPT",Transactions!E158,IF(AND(B158="RETURN",LOWER(TRIM(Transactions!H158))="resellable"),Transactions!E158,0)),0)</f>
        <v/>
      </c>
      <c r="G158">
        <f>IF(F158&gt;0,IF(B158="RECEIPT",Transactions!F158,IF(_xlfn.MAXIFS($H$2:H158,$A$2:A158,A158)&gt;0,INDEX(Transactions!$F:$F,_xlfn.MAXIFS($H$2:H158,$A$2:A158,A158)),W158)),0)</f>
        <v/>
      </c>
      <c r="H158">
        <f>IF(AND(E158=1,B158="RECEIPT"),ROW(),0)</f>
        <v/>
      </c>
      <c r="I158">
        <f>IF(E158=1,IF(OR(B158="SALE",B158="WRITEOFF"),Transactions!E158,0),0)</f>
        <v/>
      </c>
      <c r="J158">
        <f>SUMIFS($F$1:F157,$A$1:A157,A158)</f>
        <v/>
      </c>
      <c r="K158">
        <f>SUMIFS($I$1:I157,$A$1:A157,A158)</f>
        <v/>
      </c>
      <c r="L158">
        <f>IFERROR(VLOOKUP(A158,Opening!$A:$C,3,0),0)</f>
        <v/>
      </c>
      <c r="M158">
        <f>IF(I158=0,0,MAX(0,MIN(INDEX(Month!H$2:H$13,MATCH($A158,Month!$A$2:$A$13,0))-K158,I158)))</f>
        <v/>
      </c>
      <c r="N158">
        <f>IF(I158=0,0,MAX(0,MIN(INDEX(Month!I$2:I$13,MATCH($A158,Month!$A$2:$A$13,0))-K158,I158)))</f>
        <v/>
      </c>
      <c r="O158">
        <f>IF(I158=0,0,MAX(0,MIN(INDEX(Month!J$2:J$13,MATCH($A158,Month!$A$2:$A$13,0))-K158,I158)))</f>
        <v/>
      </c>
      <c r="P158">
        <f>IF(I158=0,0,(MIN(MAX(K158,0),L158)*W158+SUMPRODUCT((Calc!$A$2:$A$1001=A158)*Calc!$G$2:$G$1001*(((K158-(L158+Calc!$J$2:$J$1001))&gt;0)*((K158-(L158+Calc!$J$2:$J$1001))&lt;Calc!$F$2:$F$1001)*(K158-(L158+Calc!$J$2:$J$1001))+((K158-(L158+Calc!$J$2:$J$1001))&gt;=Calc!$F$2:$F$1001)*Calc!$F$2:$F$1001))))</f>
        <v/>
      </c>
      <c r="Q158">
        <f>IF(I158=0,0,(MIN(MAX((K158+M158),0),L158)*W158+SUMPRODUCT((Calc!$A$2:$A$1001=A158)*Calc!$G$2:$G$1001*((((K158+M158)-(L158+Calc!$J$2:$J$1001))&gt;0)*(((K158+M158)-(L158+Calc!$J$2:$J$1001))&lt;Calc!$F$2:$F$1001)*((K158+M158)-(L158+Calc!$J$2:$J$1001))+(((K158+M158)-(L158+Calc!$J$2:$J$1001))&gt;=Calc!$F$2:$F$1001)*Calc!$F$2:$F$1001))))</f>
        <v/>
      </c>
      <c r="R158">
        <f>IF(I158=0,0,(MIN(MAX((K158+N158),0),L158)*W158+SUMPRODUCT((Calc!$A$2:$A$1001=A158)*Calc!$G$2:$G$1001*((((K158+N158)-(L158+Calc!$J$2:$J$1001))&gt;0)*(((K158+N158)-(L158+Calc!$J$2:$J$1001))&lt;Calc!$F$2:$F$1001)*((K158+N158)-(L158+Calc!$J$2:$J$1001))+(((K158+N158)-(L158+Calc!$J$2:$J$1001))&gt;=Calc!$F$2:$F$1001)*Calc!$F$2:$F$1001))))</f>
        <v/>
      </c>
      <c r="S158">
        <f>IF(I158=0,0,(MIN(MAX((K158+O158),0),L158)*W158+SUMPRODUCT((Calc!$A$2:$A$1001=A158)*Calc!$G$2:$G$1001*((((K158+O158)-(L158+Calc!$J$2:$J$1001))&gt;0)*(((K158+O158)-(L158+Calc!$J$2:$J$1001))&lt;Calc!$F$2:$F$1001)*((K158+O158)-(L158+Calc!$J$2:$J$1001))+(((K158+O158)-(L158+Calc!$J$2:$J$1001))&gt;=Calc!$F$2:$F$1001)*Calc!$F$2:$F$1001))))</f>
        <v/>
      </c>
      <c r="T158">
        <f>IF(AND(E158=1,B158="RETURN"),Transactions!E158*Transactions!G158,0)</f>
        <v/>
      </c>
      <c r="U158">
        <f>IF(AND(E158=1,B158="EXPENSE"),Transactions!J158,0)</f>
        <v/>
      </c>
      <c r="V158">
        <f>IF(AND(Transactions!A158&lt;&gt;"",E158=0),ROW(),"")</f>
        <v/>
      </c>
      <c r="W158">
        <f>IFERROR(VLOOKUP(A158,Opening!$A:$D,4,0),0)</f>
        <v/>
      </c>
    </row>
    <row r="159">
      <c r="A159">
        <f>IF(Transactions!D159="","",UPPER(TRIM(Transactions!D159)))</f>
        <v/>
      </c>
      <c r="B159">
        <f>IF(Transactions!C159="","",UPPER(TRIM(Transactions!C159)))</f>
        <v/>
      </c>
      <c r="C159">
        <f>IF(Transactions!B159="",0,YEAR(Transactions!B159)*100+MONTH(Transactions!B159))</f>
        <v/>
      </c>
      <c r="D159">
        <f>IF(Transactions!A159="",1,IF(COUNTIF(Transactions!$A$1:A158,Transactions!A159)&gt;0,1,0))</f>
        <v/>
      </c>
      <c r="E159">
        <f>IF(D159=1,0,IF(B159="RETURN",IF(COUNTIFS($A$1:A158,A159,$B$1:B158,"SALE",$E$1:E158,1)&gt;0,1,0),1))</f>
        <v/>
      </c>
      <c r="F159">
        <f>IF(E159=1,IF(B159="RECEIPT",Transactions!E159,IF(AND(B159="RETURN",LOWER(TRIM(Transactions!H159))="resellable"),Transactions!E159,0)),0)</f>
        <v/>
      </c>
      <c r="G159">
        <f>IF(F159&gt;0,IF(B159="RECEIPT",Transactions!F159,IF(_xlfn.MAXIFS($H$2:H159,$A$2:A159,A159)&gt;0,INDEX(Transactions!$F:$F,_xlfn.MAXIFS($H$2:H159,$A$2:A159,A159)),W159)),0)</f>
        <v/>
      </c>
      <c r="H159">
        <f>IF(AND(E159=1,B159="RECEIPT"),ROW(),0)</f>
        <v/>
      </c>
      <c r="I159">
        <f>IF(E159=1,IF(OR(B159="SALE",B159="WRITEOFF"),Transactions!E159,0),0)</f>
        <v/>
      </c>
      <c r="J159">
        <f>SUMIFS($F$1:F158,$A$1:A158,A159)</f>
        <v/>
      </c>
      <c r="K159">
        <f>SUMIFS($I$1:I158,$A$1:A158,A159)</f>
        <v/>
      </c>
      <c r="L159">
        <f>IFERROR(VLOOKUP(A159,Opening!$A:$C,3,0),0)</f>
        <v/>
      </c>
      <c r="M159">
        <f>IF(I159=0,0,MAX(0,MIN(INDEX(Month!H$2:H$13,MATCH($A159,Month!$A$2:$A$13,0))-K159,I159)))</f>
        <v/>
      </c>
      <c r="N159">
        <f>IF(I159=0,0,MAX(0,MIN(INDEX(Month!I$2:I$13,MATCH($A159,Month!$A$2:$A$13,0))-K159,I159)))</f>
        <v/>
      </c>
      <c r="O159">
        <f>IF(I159=0,0,MAX(0,MIN(INDEX(Month!J$2:J$13,MATCH($A159,Month!$A$2:$A$13,0))-K159,I159)))</f>
        <v/>
      </c>
      <c r="P159">
        <f>IF(I159=0,0,(MIN(MAX(K159,0),L159)*W159+SUMPRODUCT((Calc!$A$2:$A$1001=A159)*Calc!$G$2:$G$1001*(((K159-(L159+Calc!$J$2:$J$1001))&gt;0)*((K159-(L159+Calc!$J$2:$J$1001))&lt;Calc!$F$2:$F$1001)*(K159-(L159+Calc!$J$2:$J$1001))+((K159-(L159+Calc!$J$2:$J$1001))&gt;=Calc!$F$2:$F$1001)*Calc!$F$2:$F$1001))))</f>
        <v/>
      </c>
      <c r="Q159">
        <f>IF(I159=0,0,(MIN(MAX((K159+M159),0),L159)*W159+SUMPRODUCT((Calc!$A$2:$A$1001=A159)*Calc!$G$2:$G$1001*((((K159+M159)-(L159+Calc!$J$2:$J$1001))&gt;0)*(((K159+M159)-(L159+Calc!$J$2:$J$1001))&lt;Calc!$F$2:$F$1001)*((K159+M159)-(L159+Calc!$J$2:$J$1001))+(((K159+M159)-(L159+Calc!$J$2:$J$1001))&gt;=Calc!$F$2:$F$1001)*Calc!$F$2:$F$1001))))</f>
        <v/>
      </c>
      <c r="R159">
        <f>IF(I159=0,0,(MIN(MAX((K159+N159),0),L159)*W159+SUMPRODUCT((Calc!$A$2:$A$1001=A159)*Calc!$G$2:$G$1001*((((K159+N159)-(L159+Calc!$J$2:$J$1001))&gt;0)*(((K159+N159)-(L159+Calc!$J$2:$J$1001))&lt;Calc!$F$2:$F$1001)*((K159+N159)-(L159+Calc!$J$2:$J$1001))+(((K159+N159)-(L159+Calc!$J$2:$J$1001))&gt;=Calc!$F$2:$F$1001)*Calc!$F$2:$F$1001))))</f>
        <v/>
      </c>
      <c r="S159">
        <f>IF(I159=0,0,(MIN(MAX((K159+O159),0),L159)*W159+SUMPRODUCT((Calc!$A$2:$A$1001=A159)*Calc!$G$2:$G$1001*((((K159+O159)-(L159+Calc!$J$2:$J$1001))&gt;0)*(((K159+O159)-(L159+Calc!$J$2:$J$1001))&lt;Calc!$F$2:$F$1001)*((K159+O159)-(L159+Calc!$J$2:$J$1001))+(((K159+O159)-(L159+Calc!$J$2:$J$1001))&gt;=Calc!$F$2:$F$1001)*Calc!$F$2:$F$1001))))</f>
        <v/>
      </c>
      <c r="T159">
        <f>IF(AND(E159=1,B159="RETURN"),Transactions!E159*Transactions!G159,0)</f>
        <v/>
      </c>
      <c r="U159">
        <f>IF(AND(E159=1,B159="EXPENSE"),Transactions!J159,0)</f>
        <v/>
      </c>
      <c r="V159">
        <f>IF(AND(Transactions!A159&lt;&gt;"",E159=0),ROW(),"")</f>
        <v/>
      </c>
      <c r="W159">
        <f>IFERROR(VLOOKUP(A159,Opening!$A:$D,4,0),0)</f>
        <v/>
      </c>
    </row>
    <row r="160">
      <c r="A160">
        <f>IF(Transactions!D160="","",UPPER(TRIM(Transactions!D160)))</f>
        <v/>
      </c>
      <c r="B160">
        <f>IF(Transactions!C160="","",UPPER(TRIM(Transactions!C160)))</f>
        <v/>
      </c>
      <c r="C160">
        <f>IF(Transactions!B160="",0,YEAR(Transactions!B160)*100+MONTH(Transactions!B160))</f>
        <v/>
      </c>
      <c r="D160">
        <f>IF(Transactions!A160="",1,IF(COUNTIF(Transactions!$A$1:A159,Transactions!A160)&gt;0,1,0))</f>
        <v/>
      </c>
      <c r="E160">
        <f>IF(D160=1,0,IF(B160="RETURN",IF(COUNTIFS($A$1:A159,A160,$B$1:B159,"SALE",$E$1:E159,1)&gt;0,1,0),1))</f>
        <v/>
      </c>
      <c r="F160">
        <f>IF(E160=1,IF(B160="RECEIPT",Transactions!E160,IF(AND(B160="RETURN",LOWER(TRIM(Transactions!H160))="resellable"),Transactions!E160,0)),0)</f>
        <v/>
      </c>
      <c r="G160">
        <f>IF(F160&gt;0,IF(B160="RECEIPT",Transactions!F160,IF(_xlfn.MAXIFS($H$2:H160,$A$2:A160,A160)&gt;0,INDEX(Transactions!$F:$F,_xlfn.MAXIFS($H$2:H160,$A$2:A160,A160)),W160)),0)</f>
        <v/>
      </c>
      <c r="H160">
        <f>IF(AND(E160=1,B160="RECEIPT"),ROW(),0)</f>
        <v/>
      </c>
      <c r="I160">
        <f>IF(E160=1,IF(OR(B160="SALE",B160="WRITEOFF"),Transactions!E160,0),0)</f>
        <v/>
      </c>
      <c r="J160">
        <f>SUMIFS($F$1:F159,$A$1:A159,A160)</f>
        <v/>
      </c>
      <c r="K160">
        <f>SUMIFS($I$1:I159,$A$1:A159,A160)</f>
        <v/>
      </c>
      <c r="L160">
        <f>IFERROR(VLOOKUP(A160,Opening!$A:$C,3,0),0)</f>
        <v/>
      </c>
      <c r="M160">
        <f>IF(I160=0,0,MAX(0,MIN(INDEX(Month!H$2:H$13,MATCH($A160,Month!$A$2:$A$13,0))-K160,I160)))</f>
        <v/>
      </c>
      <c r="N160">
        <f>IF(I160=0,0,MAX(0,MIN(INDEX(Month!I$2:I$13,MATCH($A160,Month!$A$2:$A$13,0))-K160,I160)))</f>
        <v/>
      </c>
      <c r="O160">
        <f>IF(I160=0,0,MAX(0,MIN(INDEX(Month!J$2:J$13,MATCH($A160,Month!$A$2:$A$13,0))-K160,I160)))</f>
        <v/>
      </c>
      <c r="P160">
        <f>IF(I160=0,0,(MIN(MAX(K160,0),L160)*W160+SUMPRODUCT((Calc!$A$2:$A$1001=A160)*Calc!$G$2:$G$1001*(((K160-(L160+Calc!$J$2:$J$1001))&gt;0)*((K160-(L160+Calc!$J$2:$J$1001))&lt;Calc!$F$2:$F$1001)*(K160-(L160+Calc!$J$2:$J$1001))+((K160-(L160+Calc!$J$2:$J$1001))&gt;=Calc!$F$2:$F$1001)*Calc!$F$2:$F$1001))))</f>
        <v/>
      </c>
      <c r="Q160">
        <f>IF(I160=0,0,(MIN(MAX((K160+M160),0),L160)*W160+SUMPRODUCT((Calc!$A$2:$A$1001=A160)*Calc!$G$2:$G$1001*((((K160+M160)-(L160+Calc!$J$2:$J$1001))&gt;0)*(((K160+M160)-(L160+Calc!$J$2:$J$1001))&lt;Calc!$F$2:$F$1001)*((K160+M160)-(L160+Calc!$J$2:$J$1001))+(((K160+M160)-(L160+Calc!$J$2:$J$1001))&gt;=Calc!$F$2:$F$1001)*Calc!$F$2:$F$1001))))</f>
        <v/>
      </c>
      <c r="R160">
        <f>IF(I160=0,0,(MIN(MAX((K160+N160),0),L160)*W160+SUMPRODUCT((Calc!$A$2:$A$1001=A160)*Calc!$G$2:$G$1001*((((K160+N160)-(L160+Calc!$J$2:$J$1001))&gt;0)*(((K160+N160)-(L160+Calc!$J$2:$J$1001))&lt;Calc!$F$2:$F$1001)*((K160+N160)-(L160+Calc!$J$2:$J$1001))+(((K160+N160)-(L160+Calc!$J$2:$J$1001))&gt;=Calc!$F$2:$F$1001)*Calc!$F$2:$F$1001))))</f>
        <v/>
      </c>
      <c r="S160">
        <f>IF(I160=0,0,(MIN(MAX((K160+O160),0),L160)*W160+SUMPRODUCT((Calc!$A$2:$A$1001=A160)*Calc!$G$2:$G$1001*((((K160+O160)-(L160+Calc!$J$2:$J$1001))&gt;0)*(((K160+O160)-(L160+Calc!$J$2:$J$1001))&lt;Calc!$F$2:$F$1001)*((K160+O160)-(L160+Calc!$J$2:$J$1001))+(((K160+O160)-(L160+Calc!$J$2:$J$1001))&gt;=Calc!$F$2:$F$1001)*Calc!$F$2:$F$1001))))</f>
        <v/>
      </c>
      <c r="T160">
        <f>IF(AND(E160=1,B160="RETURN"),Transactions!E160*Transactions!G160,0)</f>
        <v/>
      </c>
      <c r="U160">
        <f>IF(AND(E160=1,B160="EXPENSE"),Transactions!J160,0)</f>
        <v/>
      </c>
      <c r="V160">
        <f>IF(AND(Transactions!A160&lt;&gt;"",E160=0),ROW(),"")</f>
        <v/>
      </c>
      <c r="W160">
        <f>IFERROR(VLOOKUP(A160,Opening!$A:$D,4,0),0)</f>
        <v/>
      </c>
    </row>
    <row r="161">
      <c r="A161">
        <f>IF(Transactions!D161="","",UPPER(TRIM(Transactions!D161)))</f>
        <v/>
      </c>
      <c r="B161">
        <f>IF(Transactions!C161="","",UPPER(TRIM(Transactions!C161)))</f>
        <v/>
      </c>
      <c r="C161">
        <f>IF(Transactions!B161="",0,YEAR(Transactions!B161)*100+MONTH(Transactions!B161))</f>
        <v/>
      </c>
      <c r="D161">
        <f>IF(Transactions!A161="",1,IF(COUNTIF(Transactions!$A$1:A160,Transactions!A161)&gt;0,1,0))</f>
        <v/>
      </c>
      <c r="E161">
        <f>IF(D161=1,0,IF(B161="RETURN",IF(COUNTIFS($A$1:A160,A161,$B$1:B160,"SALE",$E$1:E160,1)&gt;0,1,0),1))</f>
        <v/>
      </c>
      <c r="F161">
        <f>IF(E161=1,IF(B161="RECEIPT",Transactions!E161,IF(AND(B161="RETURN",LOWER(TRIM(Transactions!H161))="resellable"),Transactions!E161,0)),0)</f>
        <v/>
      </c>
      <c r="G161">
        <f>IF(F161&gt;0,IF(B161="RECEIPT",Transactions!F161,IF(_xlfn.MAXIFS($H$2:H161,$A$2:A161,A161)&gt;0,INDEX(Transactions!$F:$F,_xlfn.MAXIFS($H$2:H161,$A$2:A161,A161)),W161)),0)</f>
        <v/>
      </c>
      <c r="H161">
        <f>IF(AND(E161=1,B161="RECEIPT"),ROW(),0)</f>
        <v/>
      </c>
      <c r="I161">
        <f>IF(E161=1,IF(OR(B161="SALE",B161="WRITEOFF"),Transactions!E161,0),0)</f>
        <v/>
      </c>
      <c r="J161">
        <f>SUMIFS($F$1:F160,$A$1:A160,A161)</f>
        <v/>
      </c>
      <c r="K161">
        <f>SUMIFS($I$1:I160,$A$1:A160,A161)</f>
        <v/>
      </c>
      <c r="L161">
        <f>IFERROR(VLOOKUP(A161,Opening!$A:$C,3,0),0)</f>
        <v/>
      </c>
      <c r="M161">
        <f>IF(I161=0,0,MAX(0,MIN(INDEX(Month!H$2:H$13,MATCH($A161,Month!$A$2:$A$13,0))-K161,I161)))</f>
        <v/>
      </c>
      <c r="N161">
        <f>IF(I161=0,0,MAX(0,MIN(INDEX(Month!I$2:I$13,MATCH($A161,Month!$A$2:$A$13,0))-K161,I161)))</f>
        <v/>
      </c>
      <c r="O161">
        <f>IF(I161=0,0,MAX(0,MIN(INDEX(Month!J$2:J$13,MATCH($A161,Month!$A$2:$A$13,0))-K161,I161)))</f>
        <v/>
      </c>
      <c r="P161">
        <f>IF(I161=0,0,(MIN(MAX(K161,0),L161)*W161+SUMPRODUCT((Calc!$A$2:$A$1001=A161)*Calc!$G$2:$G$1001*(((K161-(L161+Calc!$J$2:$J$1001))&gt;0)*((K161-(L161+Calc!$J$2:$J$1001))&lt;Calc!$F$2:$F$1001)*(K161-(L161+Calc!$J$2:$J$1001))+((K161-(L161+Calc!$J$2:$J$1001))&gt;=Calc!$F$2:$F$1001)*Calc!$F$2:$F$1001))))</f>
        <v/>
      </c>
      <c r="Q161">
        <f>IF(I161=0,0,(MIN(MAX((K161+M161),0),L161)*W161+SUMPRODUCT((Calc!$A$2:$A$1001=A161)*Calc!$G$2:$G$1001*((((K161+M161)-(L161+Calc!$J$2:$J$1001))&gt;0)*(((K161+M161)-(L161+Calc!$J$2:$J$1001))&lt;Calc!$F$2:$F$1001)*((K161+M161)-(L161+Calc!$J$2:$J$1001))+(((K161+M161)-(L161+Calc!$J$2:$J$1001))&gt;=Calc!$F$2:$F$1001)*Calc!$F$2:$F$1001))))</f>
        <v/>
      </c>
      <c r="R161">
        <f>IF(I161=0,0,(MIN(MAX((K161+N161),0),L161)*W161+SUMPRODUCT((Calc!$A$2:$A$1001=A161)*Calc!$G$2:$G$1001*((((K161+N161)-(L161+Calc!$J$2:$J$1001))&gt;0)*(((K161+N161)-(L161+Calc!$J$2:$J$1001))&lt;Calc!$F$2:$F$1001)*((K161+N161)-(L161+Calc!$J$2:$J$1001))+(((K161+N161)-(L161+Calc!$J$2:$J$1001))&gt;=Calc!$F$2:$F$1001)*Calc!$F$2:$F$1001))))</f>
        <v/>
      </c>
      <c r="S161">
        <f>IF(I161=0,0,(MIN(MAX((K161+O161),0),L161)*W161+SUMPRODUCT((Calc!$A$2:$A$1001=A161)*Calc!$G$2:$G$1001*((((K161+O161)-(L161+Calc!$J$2:$J$1001))&gt;0)*(((K161+O161)-(L161+Calc!$J$2:$J$1001))&lt;Calc!$F$2:$F$1001)*((K161+O161)-(L161+Calc!$J$2:$J$1001))+(((K161+O161)-(L161+Calc!$J$2:$J$1001))&gt;=Calc!$F$2:$F$1001)*Calc!$F$2:$F$1001))))</f>
        <v/>
      </c>
      <c r="T161">
        <f>IF(AND(E161=1,B161="RETURN"),Transactions!E161*Transactions!G161,0)</f>
        <v/>
      </c>
      <c r="U161">
        <f>IF(AND(E161=1,B161="EXPENSE"),Transactions!J161,0)</f>
        <v/>
      </c>
      <c r="V161">
        <f>IF(AND(Transactions!A161&lt;&gt;"",E161=0),ROW(),"")</f>
        <v/>
      </c>
      <c r="W161">
        <f>IFERROR(VLOOKUP(A161,Opening!$A:$D,4,0),0)</f>
        <v/>
      </c>
    </row>
    <row r="162">
      <c r="A162">
        <f>IF(Transactions!D162="","",UPPER(TRIM(Transactions!D162)))</f>
        <v/>
      </c>
      <c r="B162">
        <f>IF(Transactions!C162="","",UPPER(TRIM(Transactions!C162)))</f>
        <v/>
      </c>
      <c r="C162">
        <f>IF(Transactions!B162="",0,YEAR(Transactions!B162)*100+MONTH(Transactions!B162))</f>
        <v/>
      </c>
      <c r="D162">
        <f>IF(Transactions!A162="",1,IF(COUNTIF(Transactions!$A$1:A161,Transactions!A162)&gt;0,1,0))</f>
        <v/>
      </c>
      <c r="E162">
        <f>IF(D162=1,0,IF(B162="RETURN",IF(COUNTIFS($A$1:A161,A162,$B$1:B161,"SALE",$E$1:E161,1)&gt;0,1,0),1))</f>
        <v/>
      </c>
      <c r="F162">
        <f>IF(E162=1,IF(B162="RECEIPT",Transactions!E162,IF(AND(B162="RETURN",LOWER(TRIM(Transactions!H162))="resellable"),Transactions!E162,0)),0)</f>
        <v/>
      </c>
      <c r="G162">
        <f>IF(F162&gt;0,IF(B162="RECEIPT",Transactions!F162,IF(_xlfn.MAXIFS($H$2:H162,$A$2:A162,A162)&gt;0,INDEX(Transactions!$F:$F,_xlfn.MAXIFS($H$2:H162,$A$2:A162,A162)),W162)),0)</f>
        <v/>
      </c>
      <c r="H162">
        <f>IF(AND(E162=1,B162="RECEIPT"),ROW(),0)</f>
        <v/>
      </c>
      <c r="I162">
        <f>IF(E162=1,IF(OR(B162="SALE",B162="WRITEOFF"),Transactions!E162,0),0)</f>
        <v/>
      </c>
      <c r="J162">
        <f>SUMIFS($F$1:F161,$A$1:A161,A162)</f>
        <v/>
      </c>
      <c r="K162">
        <f>SUMIFS($I$1:I161,$A$1:A161,A162)</f>
        <v/>
      </c>
      <c r="L162">
        <f>IFERROR(VLOOKUP(A162,Opening!$A:$C,3,0),0)</f>
        <v/>
      </c>
      <c r="M162">
        <f>IF(I162=0,0,MAX(0,MIN(INDEX(Month!H$2:H$13,MATCH($A162,Month!$A$2:$A$13,0))-K162,I162)))</f>
        <v/>
      </c>
      <c r="N162">
        <f>IF(I162=0,0,MAX(0,MIN(INDEX(Month!I$2:I$13,MATCH($A162,Month!$A$2:$A$13,0))-K162,I162)))</f>
        <v/>
      </c>
      <c r="O162">
        <f>IF(I162=0,0,MAX(0,MIN(INDEX(Month!J$2:J$13,MATCH($A162,Month!$A$2:$A$13,0))-K162,I162)))</f>
        <v/>
      </c>
      <c r="P162">
        <f>IF(I162=0,0,(MIN(MAX(K162,0),L162)*W162+SUMPRODUCT((Calc!$A$2:$A$1001=A162)*Calc!$G$2:$G$1001*(((K162-(L162+Calc!$J$2:$J$1001))&gt;0)*((K162-(L162+Calc!$J$2:$J$1001))&lt;Calc!$F$2:$F$1001)*(K162-(L162+Calc!$J$2:$J$1001))+((K162-(L162+Calc!$J$2:$J$1001))&gt;=Calc!$F$2:$F$1001)*Calc!$F$2:$F$1001))))</f>
        <v/>
      </c>
      <c r="Q162">
        <f>IF(I162=0,0,(MIN(MAX((K162+M162),0),L162)*W162+SUMPRODUCT((Calc!$A$2:$A$1001=A162)*Calc!$G$2:$G$1001*((((K162+M162)-(L162+Calc!$J$2:$J$1001))&gt;0)*(((K162+M162)-(L162+Calc!$J$2:$J$1001))&lt;Calc!$F$2:$F$1001)*((K162+M162)-(L162+Calc!$J$2:$J$1001))+(((K162+M162)-(L162+Calc!$J$2:$J$1001))&gt;=Calc!$F$2:$F$1001)*Calc!$F$2:$F$1001))))</f>
        <v/>
      </c>
      <c r="R162">
        <f>IF(I162=0,0,(MIN(MAX((K162+N162),0),L162)*W162+SUMPRODUCT((Calc!$A$2:$A$1001=A162)*Calc!$G$2:$G$1001*((((K162+N162)-(L162+Calc!$J$2:$J$1001))&gt;0)*(((K162+N162)-(L162+Calc!$J$2:$J$1001))&lt;Calc!$F$2:$F$1001)*((K162+N162)-(L162+Calc!$J$2:$J$1001))+(((K162+N162)-(L162+Calc!$J$2:$J$1001))&gt;=Calc!$F$2:$F$1001)*Calc!$F$2:$F$1001))))</f>
        <v/>
      </c>
      <c r="S162">
        <f>IF(I162=0,0,(MIN(MAX((K162+O162),0),L162)*W162+SUMPRODUCT((Calc!$A$2:$A$1001=A162)*Calc!$G$2:$G$1001*((((K162+O162)-(L162+Calc!$J$2:$J$1001))&gt;0)*(((K162+O162)-(L162+Calc!$J$2:$J$1001))&lt;Calc!$F$2:$F$1001)*((K162+O162)-(L162+Calc!$J$2:$J$1001))+(((K162+O162)-(L162+Calc!$J$2:$J$1001))&gt;=Calc!$F$2:$F$1001)*Calc!$F$2:$F$1001))))</f>
        <v/>
      </c>
      <c r="T162">
        <f>IF(AND(E162=1,B162="RETURN"),Transactions!E162*Transactions!G162,0)</f>
        <v/>
      </c>
      <c r="U162">
        <f>IF(AND(E162=1,B162="EXPENSE"),Transactions!J162,0)</f>
        <v/>
      </c>
      <c r="V162">
        <f>IF(AND(Transactions!A162&lt;&gt;"",E162=0),ROW(),"")</f>
        <v/>
      </c>
      <c r="W162">
        <f>IFERROR(VLOOKUP(A162,Opening!$A:$D,4,0),0)</f>
        <v/>
      </c>
    </row>
    <row r="163">
      <c r="A163">
        <f>IF(Transactions!D163="","",UPPER(TRIM(Transactions!D163)))</f>
        <v/>
      </c>
      <c r="B163">
        <f>IF(Transactions!C163="","",UPPER(TRIM(Transactions!C163)))</f>
        <v/>
      </c>
      <c r="C163">
        <f>IF(Transactions!B163="",0,YEAR(Transactions!B163)*100+MONTH(Transactions!B163))</f>
        <v/>
      </c>
      <c r="D163">
        <f>IF(Transactions!A163="",1,IF(COUNTIF(Transactions!$A$1:A162,Transactions!A163)&gt;0,1,0))</f>
        <v/>
      </c>
      <c r="E163">
        <f>IF(D163=1,0,IF(B163="RETURN",IF(COUNTIFS($A$1:A162,A163,$B$1:B162,"SALE",$E$1:E162,1)&gt;0,1,0),1))</f>
        <v/>
      </c>
      <c r="F163">
        <f>IF(E163=1,IF(B163="RECEIPT",Transactions!E163,IF(AND(B163="RETURN",LOWER(TRIM(Transactions!H163))="resellable"),Transactions!E163,0)),0)</f>
        <v/>
      </c>
      <c r="G163">
        <f>IF(F163&gt;0,IF(B163="RECEIPT",Transactions!F163,IF(_xlfn.MAXIFS($H$2:H163,$A$2:A163,A163)&gt;0,INDEX(Transactions!$F:$F,_xlfn.MAXIFS($H$2:H163,$A$2:A163,A163)),W163)),0)</f>
        <v/>
      </c>
      <c r="H163">
        <f>IF(AND(E163=1,B163="RECEIPT"),ROW(),0)</f>
        <v/>
      </c>
      <c r="I163">
        <f>IF(E163=1,IF(OR(B163="SALE",B163="WRITEOFF"),Transactions!E163,0),0)</f>
        <v/>
      </c>
      <c r="J163">
        <f>SUMIFS($F$1:F162,$A$1:A162,A163)</f>
        <v/>
      </c>
      <c r="K163">
        <f>SUMIFS($I$1:I162,$A$1:A162,A163)</f>
        <v/>
      </c>
      <c r="L163">
        <f>IFERROR(VLOOKUP(A163,Opening!$A:$C,3,0),0)</f>
        <v/>
      </c>
      <c r="M163">
        <f>IF(I163=0,0,MAX(0,MIN(INDEX(Month!H$2:H$13,MATCH($A163,Month!$A$2:$A$13,0))-K163,I163)))</f>
        <v/>
      </c>
      <c r="N163">
        <f>IF(I163=0,0,MAX(0,MIN(INDEX(Month!I$2:I$13,MATCH($A163,Month!$A$2:$A$13,0))-K163,I163)))</f>
        <v/>
      </c>
      <c r="O163">
        <f>IF(I163=0,0,MAX(0,MIN(INDEX(Month!J$2:J$13,MATCH($A163,Month!$A$2:$A$13,0))-K163,I163)))</f>
        <v/>
      </c>
      <c r="P163">
        <f>IF(I163=0,0,(MIN(MAX(K163,0),L163)*W163+SUMPRODUCT((Calc!$A$2:$A$1001=A163)*Calc!$G$2:$G$1001*(((K163-(L163+Calc!$J$2:$J$1001))&gt;0)*((K163-(L163+Calc!$J$2:$J$1001))&lt;Calc!$F$2:$F$1001)*(K163-(L163+Calc!$J$2:$J$1001))+((K163-(L163+Calc!$J$2:$J$1001))&gt;=Calc!$F$2:$F$1001)*Calc!$F$2:$F$1001))))</f>
        <v/>
      </c>
      <c r="Q163">
        <f>IF(I163=0,0,(MIN(MAX((K163+M163),0),L163)*W163+SUMPRODUCT((Calc!$A$2:$A$1001=A163)*Calc!$G$2:$G$1001*((((K163+M163)-(L163+Calc!$J$2:$J$1001))&gt;0)*(((K163+M163)-(L163+Calc!$J$2:$J$1001))&lt;Calc!$F$2:$F$1001)*((K163+M163)-(L163+Calc!$J$2:$J$1001))+(((K163+M163)-(L163+Calc!$J$2:$J$1001))&gt;=Calc!$F$2:$F$1001)*Calc!$F$2:$F$1001))))</f>
        <v/>
      </c>
      <c r="R163">
        <f>IF(I163=0,0,(MIN(MAX((K163+N163),0),L163)*W163+SUMPRODUCT((Calc!$A$2:$A$1001=A163)*Calc!$G$2:$G$1001*((((K163+N163)-(L163+Calc!$J$2:$J$1001))&gt;0)*(((K163+N163)-(L163+Calc!$J$2:$J$1001))&lt;Calc!$F$2:$F$1001)*((K163+N163)-(L163+Calc!$J$2:$J$1001))+(((K163+N163)-(L163+Calc!$J$2:$J$1001))&gt;=Calc!$F$2:$F$1001)*Calc!$F$2:$F$1001))))</f>
        <v/>
      </c>
      <c r="S163">
        <f>IF(I163=0,0,(MIN(MAX((K163+O163),0),L163)*W163+SUMPRODUCT((Calc!$A$2:$A$1001=A163)*Calc!$G$2:$G$1001*((((K163+O163)-(L163+Calc!$J$2:$J$1001))&gt;0)*(((K163+O163)-(L163+Calc!$J$2:$J$1001))&lt;Calc!$F$2:$F$1001)*((K163+O163)-(L163+Calc!$J$2:$J$1001))+(((K163+O163)-(L163+Calc!$J$2:$J$1001))&gt;=Calc!$F$2:$F$1001)*Calc!$F$2:$F$1001))))</f>
        <v/>
      </c>
      <c r="T163">
        <f>IF(AND(E163=1,B163="RETURN"),Transactions!E163*Transactions!G163,0)</f>
        <v/>
      </c>
      <c r="U163">
        <f>IF(AND(E163=1,B163="EXPENSE"),Transactions!J163,0)</f>
        <v/>
      </c>
      <c r="V163">
        <f>IF(AND(Transactions!A163&lt;&gt;"",E163=0),ROW(),"")</f>
        <v/>
      </c>
      <c r="W163">
        <f>IFERROR(VLOOKUP(A163,Opening!$A:$D,4,0),0)</f>
        <v/>
      </c>
    </row>
    <row r="164">
      <c r="A164">
        <f>IF(Transactions!D164="","",UPPER(TRIM(Transactions!D164)))</f>
        <v/>
      </c>
      <c r="B164">
        <f>IF(Transactions!C164="","",UPPER(TRIM(Transactions!C164)))</f>
        <v/>
      </c>
      <c r="C164">
        <f>IF(Transactions!B164="",0,YEAR(Transactions!B164)*100+MONTH(Transactions!B164))</f>
        <v/>
      </c>
      <c r="D164">
        <f>IF(Transactions!A164="",1,IF(COUNTIF(Transactions!$A$1:A163,Transactions!A164)&gt;0,1,0))</f>
        <v/>
      </c>
      <c r="E164">
        <f>IF(D164=1,0,IF(B164="RETURN",IF(COUNTIFS($A$1:A163,A164,$B$1:B163,"SALE",$E$1:E163,1)&gt;0,1,0),1))</f>
        <v/>
      </c>
      <c r="F164">
        <f>IF(E164=1,IF(B164="RECEIPT",Transactions!E164,IF(AND(B164="RETURN",LOWER(TRIM(Transactions!H164))="resellable"),Transactions!E164,0)),0)</f>
        <v/>
      </c>
      <c r="G164">
        <f>IF(F164&gt;0,IF(B164="RECEIPT",Transactions!F164,IF(_xlfn.MAXIFS($H$2:H164,$A$2:A164,A164)&gt;0,INDEX(Transactions!$F:$F,_xlfn.MAXIFS($H$2:H164,$A$2:A164,A164)),W164)),0)</f>
        <v/>
      </c>
      <c r="H164">
        <f>IF(AND(E164=1,B164="RECEIPT"),ROW(),0)</f>
        <v/>
      </c>
      <c r="I164">
        <f>IF(E164=1,IF(OR(B164="SALE",B164="WRITEOFF"),Transactions!E164,0),0)</f>
        <v/>
      </c>
      <c r="J164">
        <f>SUMIFS($F$1:F163,$A$1:A163,A164)</f>
        <v/>
      </c>
      <c r="K164">
        <f>SUMIFS($I$1:I163,$A$1:A163,A164)</f>
        <v/>
      </c>
      <c r="L164">
        <f>IFERROR(VLOOKUP(A164,Opening!$A:$C,3,0),0)</f>
        <v/>
      </c>
      <c r="M164">
        <f>IF(I164=0,0,MAX(0,MIN(INDEX(Month!H$2:H$13,MATCH($A164,Month!$A$2:$A$13,0))-K164,I164)))</f>
        <v/>
      </c>
      <c r="N164">
        <f>IF(I164=0,0,MAX(0,MIN(INDEX(Month!I$2:I$13,MATCH($A164,Month!$A$2:$A$13,0))-K164,I164)))</f>
        <v/>
      </c>
      <c r="O164">
        <f>IF(I164=0,0,MAX(0,MIN(INDEX(Month!J$2:J$13,MATCH($A164,Month!$A$2:$A$13,0))-K164,I164)))</f>
        <v/>
      </c>
      <c r="P164">
        <f>IF(I164=0,0,(MIN(MAX(K164,0),L164)*W164+SUMPRODUCT((Calc!$A$2:$A$1001=A164)*Calc!$G$2:$G$1001*(((K164-(L164+Calc!$J$2:$J$1001))&gt;0)*((K164-(L164+Calc!$J$2:$J$1001))&lt;Calc!$F$2:$F$1001)*(K164-(L164+Calc!$J$2:$J$1001))+((K164-(L164+Calc!$J$2:$J$1001))&gt;=Calc!$F$2:$F$1001)*Calc!$F$2:$F$1001))))</f>
        <v/>
      </c>
      <c r="Q164">
        <f>IF(I164=0,0,(MIN(MAX((K164+M164),0),L164)*W164+SUMPRODUCT((Calc!$A$2:$A$1001=A164)*Calc!$G$2:$G$1001*((((K164+M164)-(L164+Calc!$J$2:$J$1001))&gt;0)*(((K164+M164)-(L164+Calc!$J$2:$J$1001))&lt;Calc!$F$2:$F$1001)*((K164+M164)-(L164+Calc!$J$2:$J$1001))+(((K164+M164)-(L164+Calc!$J$2:$J$1001))&gt;=Calc!$F$2:$F$1001)*Calc!$F$2:$F$1001))))</f>
        <v/>
      </c>
      <c r="R164">
        <f>IF(I164=0,0,(MIN(MAX((K164+N164),0),L164)*W164+SUMPRODUCT((Calc!$A$2:$A$1001=A164)*Calc!$G$2:$G$1001*((((K164+N164)-(L164+Calc!$J$2:$J$1001))&gt;0)*(((K164+N164)-(L164+Calc!$J$2:$J$1001))&lt;Calc!$F$2:$F$1001)*((K164+N164)-(L164+Calc!$J$2:$J$1001))+(((K164+N164)-(L164+Calc!$J$2:$J$1001))&gt;=Calc!$F$2:$F$1001)*Calc!$F$2:$F$1001))))</f>
        <v/>
      </c>
      <c r="S164">
        <f>IF(I164=0,0,(MIN(MAX((K164+O164),0),L164)*W164+SUMPRODUCT((Calc!$A$2:$A$1001=A164)*Calc!$G$2:$G$1001*((((K164+O164)-(L164+Calc!$J$2:$J$1001))&gt;0)*(((K164+O164)-(L164+Calc!$J$2:$J$1001))&lt;Calc!$F$2:$F$1001)*((K164+O164)-(L164+Calc!$J$2:$J$1001))+(((K164+O164)-(L164+Calc!$J$2:$J$1001))&gt;=Calc!$F$2:$F$1001)*Calc!$F$2:$F$1001))))</f>
        <v/>
      </c>
      <c r="T164">
        <f>IF(AND(E164=1,B164="RETURN"),Transactions!E164*Transactions!G164,0)</f>
        <v/>
      </c>
      <c r="U164">
        <f>IF(AND(E164=1,B164="EXPENSE"),Transactions!J164,0)</f>
        <v/>
      </c>
      <c r="V164">
        <f>IF(AND(Transactions!A164&lt;&gt;"",E164=0),ROW(),"")</f>
        <v/>
      </c>
      <c r="W164">
        <f>IFERROR(VLOOKUP(A164,Opening!$A:$D,4,0),0)</f>
        <v/>
      </c>
    </row>
    <row r="165">
      <c r="A165">
        <f>IF(Transactions!D165="","",UPPER(TRIM(Transactions!D165)))</f>
        <v/>
      </c>
      <c r="B165">
        <f>IF(Transactions!C165="","",UPPER(TRIM(Transactions!C165)))</f>
        <v/>
      </c>
      <c r="C165">
        <f>IF(Transactions!B165="",0,YEAR(Transactions!B165)*100+MONTH(Transactions!B165))</f>
        <v/>
      </c>
      <c r="D165">
        <f>IF(Transactions!A165="",1,IF(COUNTIF(Transactions!$A$1:A164,Transactions!A165)&gt;0,1,0))</f>
        <v/>
      </c>
      <c r="E165">
        <f>IF(D165=1,0,IF(B165="RETURN",IF(COUNTIFS($A$1:A164,A165,$B$1:B164,"SALE",$E$1:E164,1)&gt;0,1,0),1))</f>
        <v/>
      </c>
      <c r="F165">
        <f>IF(E165=1,IF(B165="RECEIPT",Transactions!E165,IF(AND(B165="RETURN",LOWER(TRIM(Transactions!H165))="resellable"),Transactions!E165,0)),0)</f>
        <v/>
      </c>
      <c r="G165">
        <f>IF(F165&gt;0,IF(B165="RECEIPT",Transactions!F165,IF(_xlfn.MAXIFS($H$2:H165,$A$2:A165,A165)&gt;0,INDEX(Transactions!$F:$F,_xlfn.MAXIFS($H$2:H165,$A$2:A165,A165)),W165)),0)</f>
        <v/>
      </c>
      <c r="H165">
        <f>IF(AND(E165=1,B165="RECEIPT"),ROW(),0)</f>
        <v/>
      </c>
      <c r="I165">
        <f>IF(E165=1,IF(OR(B165="SALE",B165="WRITEOFF"),Transactions!E165,0),0)</f>
        <v/>
      </c>
      <c r="J165">
        <f>SUMIFS($F$1:F164,$A$1:A164,A165)</f>
        <v/>
      </c>
      <c r="K165">
        <f>SUMIFS($I$1:I164,$A$1:A164,A165)</f>
        <v/>
      </c>
      <c r="L165">
        <f>IFERROR(VLOOKUP(A165,Opening!$A:$C,3,0),0)</f>
        <v/>
      </c>
      <c r="M165">
        <f>IF(I165=0,0,MAX(0,MIN(INDEX(Month!H$2:H$13,MATCH($A165,Month!$A$2:$A$13,0))-K165,I165)))</f>
        <v/>
      </c>
      <c r="N165">
        <f>IF(I165=0,0,MAX(0,MIN(INDEX(Month!I$2:I$13,MATCH($A165,Month!$A$2:$A$13,0))-K165,I165)))</f>
        <v/>
      </c>
      <c r="O165">
        <f>IF(I165=0,0,MAX(0,MIN(INDEX(Month!J$2:J$13,MATCH($A165,Month!$A$2:$A$13,0))-K165,I165)))</f>
        <v/>
      </c>
      <c r="P165">
        <f>IF(I165=0,0,(MIN(MAX(K165,0),L165)*W165+SUMPRODUCT((Calc!$A$2:$A$1001=A165)*Calc!$G$2:$G$1001*(((K165-(L165+Calc!$J$2:$J$1001))&gt;0)*((K165-(L165+Calc!$J$2:$J$1001))&lt;Calc!$F$2:$F$1001)*(K165-(L165+Calc!$J$2:$J$1001))+((K165-(L165+Calc!$J$2:$J$1001))&gt;=Calc!$F$2:$F$1001)*Calc!$F$2:$F$1001))))</f>
        <v/>
      </c>
      <c r="Q165">
        <f>IF(I165=0,0,(MIN(MAX((K165+M165),0),L165)*W165+SUMPRODUCT((Calc!$A$2:$A$1001=A165)*Calc!$G$2:$G$1001*((((K165+M165)-(L165+Calc!$J$2:$J$1001))&gt;0)*(((K165+M165)-(L165+Calc!$J$2:$J$1001))&lt;Calc!$F$2:$F$1001)*((K165+M165)-(L165+Calc!$J$2:$J$1001))+(((K165+M165)-(L165+Calc!$J$2:$J$1001))&gt;=Calc!$F$2:$F$1001)*Calc!$F$2:$F$1001))))</f>
        <v/>
      </c>
      <c r="R165">
        <f>IF(I165=0,0,(MIN(MAX((K165+N165),0),L165)*W165+SUMPRODUCT((Calc!$A$2:$A$1001=A165)*Calc!$G$2:$G$1001*((((K165+N165)-(L165+Calc!$J$2:$J$1001))&gt;0)*(((K165+N165)-(L165+Calc!$J$2:$J$1001))&lt;Calc!$F$2:$F$1001)*((K165+N165)-(L165+Calc!$J$2:$J$1001))+(((K165+N165)-(L165+Calc!$J$2:$J$1001))&gt;=Calc!$F$2:$F$1001)*Calc!$F$2:$F$1001))))</f>
        <v/>
      </c>
      <c r="S165">
        <f>IF(I165=0,0,(MIN(MAX((K165+O165),0),L165)*W165+SUMPRODUCT((Calc!$A$2:$A$1001=A165)*Calc!$G$2:$G$1001*((((K165+O165)-(L165+Calc!$J$2:$J$1001))&gt;0)*(((K165+O165)-(L165+Calc!$J$2:$J$1001))&lt;Calc!$F$2:$F$1001)*((K165+O165)-(L165+Calc!$J$2:$J$1001))+(((K165+O165)-(L165+Calc!$J$2:$J$1001))&gt;=Calc!$F$2:$F$1001)*Calc!$F$2:$F$1001))))</f>
        <v/>
      </c>
      <c r="T165">
        <f>IF(AND(E165=1,B165="RETURN"),Transactions!E165*Transactions!G165,0)</f>
        <v/>
      </c>
      <c r="U165">
        <f>IF(AND(E165=1,B165="EXPENSE"),Transactions!J165,0)</f>
        <v/>
      </c>
      <c r="V165">
        <f>IF(AND(Transactions!A165&lt;&gt;"",E165=0),ROW(),"")</f>
        <v/>
      </c>
      <c r="W165">
        <f>IFERROR(VLOOKUP(A165,Opening!$A:$D,4,0),0)</f>
        <v/>
      </c>
    </row>
    <row r="166">
      <c r="A166">
        <f>IF(Transactions!D166="","",UPPER(TRIM(Transactions!D166)))</f>
        <v/>
      </c>
      <c r="B166">
        <f>IF(Transactions!C166="","",UPPER(TRIM(Transactions!C166)))</f>
        <v/>
      </c>
      <c r="C166">
        <f>IF(Transactions!B166="",0,YEAR(Transactions!B166)*100+MONTH(Transactions!B166))</f>
        <v/>
      </c>
      <c r="D166">
        <f>IF(Transactions!A166="",1,IF(COUNTIF(Transactions!$A$1:A165,Transactions!A166)&gt;0,1,0))</f>
        <v/>
      </c>
      <c r="E166">
        <f>IF(D166=1,0,IF(B166="RETURN",IF(COUNTIFS($A$1:A165,A166,$B$1:B165,"SALE",$E$1:E165,1)&gt;0,1,0),1))</f>
        <v/>
      </c>
      <c r="F166">
        <f>IF(E166=1,IF(B166="RECEIPT",Transactions!E166,IF(AND(B166="RETURN",LOWER(TRIM(Transactions!H166))="resellable"),Transactions!E166,0)),0)</f>
        <v/>
      </c>
      <c r="G166">
        <f>IF(F166&gt;0,IF(B166="RECEIPT",Transactions!F166,IF(_xlfn.MAXIFS($H$2:H166,$A$2:A166,A166)&gt;0,INDEX(Transactions!$F:$F,_xlfn.MAXIFS($H$2:H166,$A$2:A166,A166)),W166)),0)</f>
        <v/>
      </c>
      <c r="H166">
        <f>IF(AND(E166=1,B166="RECEIPT"),ROW(),0)</f>
        <v/>
      </c>
      <c r="I166">
        <f>IF(E166=1,IF(OR(B166="SALE",B166="WRITEOFF"),Transactions!E166,0),0)</f>
        <v/>
      </c>
      <c r="J166">
        <f>SUMIFS($F$1:F165,$A$1:A165,A166)</f>
        <v/>
      </c>
      <c r="K166">
        <f>SUMIFS($I$1:I165,$A$1:A165,A166)</f>
        <v/>
      </c>
      <c r="L166">
        <f>IFERROR(VLOOKUP(A166,Opening!$A:$C,3,0),0)</f>
        <v/>
      </c>
      <c r="M166">
        <f>IF(I166=0,0,MAX(0,MIN(INDEX(Month!H$2:H$13,MATCH($A166,Month!$A$2:$A$13,0))-K166,I166)))</f>
        <v/>
      </c>
      <c r="N166">
        <f>IF(I166=0,0,MAX(0,MIN(INDEX(Month!I$2:I$13,MATCH($A166,Month!$A$2:$A$13,0))-K166,I166)))</f>
        <v/>
      </c>
      <c r="O166">
        <f>IF(I166=0,0,MAX(0,MIN(INDEX(Month!J$2:J$13,MATCH($A166,Month!$A$2:$A$13,0))-K166,I166)))</f>
        <v/>
      </c>
      <c r="P166">
        <f>IF(I166=0,0,(MIN(MAX(K166,0),L166)*W166+SUMPRODUCT((Calc!$A$2:$A$1001=A166)*Calc!$G$2:$G$1001*(((K166-(L166+Calc!$J$2:$J$1001))&gt;0)*((K166-(L166+Calc!$J$2:$J$1001))&lt;Calc!$F$2:$F$1001)*(K166-(L166+Calc!$J$2:$J$1001))+((K166-(L166+Calc!$J$2:$J$1001))&gt;=Calc!$F$2:$F$1001)*Calc!$F$2:$F$1001))))</f>
        <v/>
      </c>
      <c r="Q166">
        <f>IF(I166=0,0,(MIN(MAX((K166+M166),0),L166)*W166+SUMPRODUCT((Calc!$A$2:$A$1001=A166)*Calc!$G$2:$G$1001*((((K166+M166)-(L166+Calc!$J$2:$J$1001))&gt;0)*(((K166+M166)-(L166+Calc!$J$2:$J$1001))&lt;Calc!$F$2:$F$1001)*((K166+M166)-(L166+Calc!$J$2:$J$1001))+(((K166+M166)-(L166+Calc!$J$2:$J$1001))&gt;=Calc!$F$2:$F$1001)*Calc!$F$2:$F$1001))))</f>
        <v/>
      </c>
      <c r="R166">
        <f>IF(I166=0,0,(MIN(MAX((K166+N166),0),L166)*W166+SUMPRODUCT((Calc!$A$2:$A$1001=A166)*Calc!$G$2:$G$1001*((((K166+N166)-(L166+Calc!$J$2:$J$1001))&gt;0)*(((K166+N166)-(L166+Calc!$J$2:$J$1001))&lt;Calc!$F$2:$F$1001)*((K166+N166)-(L166+Calc!$J$2:$J$1001))+(((K166+N166)-(L166+Calc!$J$2:$J$1001))&gt;=Calc!$F$2:$F$1001)*Calc!$F$2:$F$1001))))</f>
        <v/>
      </c>
      <c r="S166">
        <f>IF(I166=0,0,(MIN(MAX((K166+O166),0),L166)*W166+SUMPRODUCT((Calc!$A$2:$A$1001=A166)*Calc!$G$2:$G$1001*((((K166+O166)-(L166+Calc!$J$2:$J$1001))&gt;0)*(((K166+O166)-(L166+Calc!$J$2:$J$1001))&lt;Calc!$F$2:$F$1001)*((K166+O166)-(L166+Calc!$J$2:$J$1001))+(((K166+O166)-(L166+Calc!$J$2:$J$1001))&gt;=Calc!$F$2:$F$1001)*Calc!$F$2:$F$1001))))</f>
        <v/>
      </c>
      <c r="T166">
        <f>IF(AND(E166=1,B166="RETURN"),Transactions!E166*Transactions!G166,0)</f>
        <v/>
      </c>
      <c r="U166">
        <f>IF(AND(E166=1,B166="EXPENSE"),Transactions!J166,0)</f>
        <v/>
      </c>
      <c r="V166">
        <f>IF(AND(Transactions!A166&lt;&gt;"",E166=0),ROW(),"")</f>
        <v/>
      </c>
      <c r="W166">
        <f>IFERROR(VLOOKUP(A166,Opening!$A:$D,4,0),0)</f>
        <v/>
      </c>
    </row>
    <row r="167">
      <c r="A167">
        <f>IF(Transactions!D167="","",UPPER(TRIM(Transactions!D167)))</f>
        <v/>
      </c>
      <c r="B167">
        <f>IF(Transactions!C167="","",UPPER(TRIM(Transactions!C167)))</f>
        <v/>
      </c>
      <c r="C167">
        <f>IF(Transactions!B167="",0,YEAR(Transactions!B167)*100+MONTH(Transactions!B167))</f>
        <v/>
      </c>
      <c r="D167">
        <f>IF(Transactions!A167="",1,IF(COUNTIF(Transactions!$A$1:A166,Transactions!A167)&gt;0,1,0))</f>
        <v/>
      </c>
      <c r="E167">
        <f>IF(D167=1,0,IF(B167="RETURN",IF(COUNTIFS($A$1:A166,A167,$B$1:B166,"SALE",$E$1:E166,1)&gt;0,1,0),1))</f>
        <v/>
      </c>
      <c r="F167">
        <f>IF(E167=1,IF(B167="RECEIPT",Transactions!E167,IF(AND(B167="RETURN",LOWER(TRIM(Transactions!H167))="resellable"),Transactions!E167,0)),0)</f>
        <v/>
      </c>
      <c r="G167">
        <f>IF(F167&gt;0,IF(B167="RECEIPT",Transactions!F167,IF(_xlfn.MAXIFS($H$2:H167,$A$2:A167,A167)&gt;0,INDEX(Transactions!$F:$F,_xlfn.MAXIFS($H$2:H167,$A$2:A167,A167)),W167)),0)</f>
        <v/>
      </c>
      <c r="H167">
        <f>IF(AND(E167=1,B167="RECEIPT"),ROW(),0)</f>
        <v/>
      </c>
      <c r="I167">
        <f>IF(E167=1,IF(OR(B167="SALE",B167="WRITEOFF"),Transactions!E167,0),0)</f>
        <v/>
      </c>
      <c r="J167">
        <f>SUMIFS($F$1:F166,$A$1:A166,A167)</f>
        <v/>
      </c>
      <c r="K167">
        <f>SUMIFS($I$1:I166,$A$1:A166,A167)</f>
        <v/>
      </c>
      <c r="L167">
        <f>IFERROR(VLOOKUP(A167,Opening!$A:$C,3,0),0)</f>
        <v/>
      </c>
      <c r="M167">
        <f>IF(I167=0,0,MAX(0,MIN(INDEX(Month!H$2:H$13,MATCH($A167,Month!$A$2:$A$13,0))-K167,I167)))</f>
        <v/>
      </c>
      <c r="N167">
        <f>IF(I167=0,0,MAX(0,MIN(INDEX(Month!I$2:I$13,MATCH($A167,Month!$A$2:$A$13,0))-K167,I167)))</f>
        <v/>
      </c>
      <c r="O167">
        <f>IF(I167=0,0,MAX(0,MIN(INDEX(Month!J$2:J$13,MATCH($A167,Month!$A$2:$A$13,0))-K167,I167)))</f>
        <v/>
      </c>
      <c r="P167">
        <f>IF(I167=0,0,(MIN(MAX(K167,0),L167)*W167+SUMPRODUCT((Calc!$A$2:$A$1001=A167)*Calc!$G$2:$G$1001*(((K167-(L167+Calc!$J$2:$J$1001))&gt;0)*((K167-(L167+Calc!$J$2:$J$1001))&lt;Calc!$F$2:$F$1001)*(K167-(L167+Calc!$J$2:$J$1001))+((K167-(L167+Calc!$J$2:$J$1001))&gt;=Calc!$F$2:$F$1001)*Calc!$F$2:$F$1001))))</f>
        <v/>
      </c>
      <c r="Q167">
        <f>IF(I167=0,0,(MIN(MAX((K167+M167),0),L167)*W167+SUMPRODUCT((Calc!$A$2:$A$1001=A167)*Calc!$G$2:$G$1001*((((K167+M167)-(L167+Calc!$J$2:$J$1001))&gt;0)*(((K167+M167)-(L167+Calc!$J$2:$J$1001))&lt;Calc!$F$2:$F$1001)*((K167+M167)-(L167+Calc!$J$2:$J$1001))+(((K167+M167)-(L167+Calc!$J$2:$J$1001))&gt;=Calc!$F$2:$F$1001)*Calc!$F$2:$F$1001))))</f>
        <v/>
      </c>
      <c r="R167">
        <f>IF(I167=0,0,(MIN(MAX((K167+N167),0),L167)*W167+SUMPRODUCT((Calc!$A$2:$A$1001=A167)*Calc!$G$2:$G$1001*((((K167+N167)-(L167+Calc!$J$2:$J$1001))&gt;0)*(((K167+N167)-(L167+Calc!$J$2:$J$1001))&lt;Calc!$F$2:$F$1001)*((K167+N167)-(L167+Calc!$J$2:$J$1001))+(((K167+N167)-(L167+Calc!$J$2:$J$1001))&gt;=Calc!$F$2:$F$1001)*Calc!$F$2:$F$1001))))</f>
        <v/>
      </c>
      <c r="S167">
        <f>IF(I167=0,0,(MIN(MAX((K167+O167),0),L167)*W167+SUMPRODUCT((Calc!$A$2:$A$1001=A167)*Calc!$G$2:$G$1001*((((K167+O167)-(L167+Calc!$J$2:$J$1001))&gt;0)*(((K167+O167)-(L167+Calc!$J$2:$J$1001))&lt;Calc!$F$2:$F$1001)*((K167+O167)-(L167+Calc!$J$2:$J$1001))+(((K167+O167)-(L167+Calc!$J$2:$J$1001))&gt;=Calc!$F$2:$F$1001)*Calc!$F$2:$F$1001))))</f>
        <v/>
      </c>
      <c r="T167">
        <f>IF(AND(E167=1,B167="RETURN"),Transactions!E167*Transactions!G167,0)</f>
        <v/>
      </c>
      <c r="U167">
        <f>IF(AND(E167=1,B167="EXPENSE"),Transactions!J167,0)</f>
        <v/>
      </c>
      <c r="V167">
        <f>IF(AND(Transactions!A167&lt;&gt;"",E167=0),ROW(),"")</f>
        <v/>
      </c>
      <c r="W167">
        <f>IFERROR(VLOOKUP(A167,Opening!$A:$D,4,0),0)</f>
        <v/>
      </c>
    </row>
    <row r="168">
      <c r="A168">
        <f>IF(Transactions!D168="","",UPPER(TRIM(Transactions!D168)))</f>
        <v/>
      </c>
      <c r="B168">
        <f>IF(Transactions!C168="","",UPPER(TRIM(Transactions!C168)))</f>
        <v/>
      </c>
      <c r="C168">
        <f>IF(Transactions!B168="",0,YEAR(Transactions!B168)*100+MONTH(Transactions!B168))</f>
        <v/>
      </c>
      <c r="D168">
        <f>IF(Transactions!A168="",1,IF(COUNTIF(Transactions!$A$1:A167,Transactions!A168)&gt;0,1,0))</f>
        <v/>
      </c>
      <c r="E168">
        <f>IF(D168=1,0,IF(B168="RETURN",IF(COUNTIFS($A$1:A167,A168,$B$1:B167,"SALE",$E$1:E167,1)&gt;0,1,0),1))</f>
        <v/>
      </c>
      <c r="F168">
        <f>IF(E168=1,IF(B168="RECEIPT",Transactions!E168,IF(AND(B168="RETURN",LOWER(TRIM(Transactions!H168))="resellable"),Transactions!E168,0)),0)</f>
        <v/>
      </c>
      <c r="G168">
        <f>IF(F168&gt;0,IF(B168="RECEIPT",Transactions!F168,IF(_xlfn.MAXIFS($H$2:H168,$A$2:A168,A168)&gt;0,INDEX(Transactions!$F:$F,_xlfn.MAXIFS($H$2:H168,$A$2:A168,A168)),W168)),0)</f>
        <v/>
      </c>
      <c r="H168">
        <f>IF(AND(E168=1,B168="RECEIPT"),ROW(),0)</f>
        <v/>
      </c>
      <c r="I168">
        <f>IF(E168=1,IF(OR(B168="SALE",B168="WRITEOFF"),Transactions!E168,0),0)</f>
        <v/>
      </c>
      <c r="J168">
        <f>SUMIFS($F$1:F167,$A$1:A167,A168)</f>
        <v/>
      </c>
      <c r="K168">
        <f>SUMIFS($I$1:I167,$A$1:A167,A168)</f>
        <v/>
      </c>
      <c r="L168">
        <f>IFERROR(VLOOKUP(A168,Opening!$A:$C,3,0),0)</f>
        <v/>
      </c>
      <c r="M168">
        <f>IF(I168=0,0,MAX(0,MIN(INDEX(Month!H$2:H$13,MATCH($A168,Month!$A$2:$A$13,0))-K168,I168)))</f>
        <v/>
      </c>
      <c r="N168">
        <f>IF(I168=0,0,MAX(0,MIN(INDEX(Month!I$2:I$13,MATCH($A168,Month!$A$2:$A$13,0))-K168,I168)))</f>
        <v/>
      </c>
      <c r="O168">
        <f>IF(I168=0,0,MAX(0,MIN(INDEX(Month!J$2:J$13,MATCH($A168,Month!$A$2:$A$13,0))-K168,I168)))</f>
        <v/>
      </c>
      <c r="P168">
        <f>IF(I168=0,0,(MIN(MAX(K168,0),L168)*W168+SUMPRODUCT((Calc!$A$2:$A$1001=A168)*Calc!$G$2:$G$1001*(((K168-(L168+Calc!$J$2:$J$1001))&gt;0)*((K168-(L168+Calc!$J$2:$J$1001))&lt;Calc!$F$2:$F$1001)*(K168-(L168+Calc!$J$2:$J$1001))+((K168-(L168+Calc!$J$2:$J$1001))&gt;=Calc!$F$2:$F$1001)*Calc!$F$2:$F$1001))))</f>
        <v/>
      </c>
      <c r="Q168">
        <f>IF(I168=0,0,(MIN(MAX((K168+M168),0),L168)*W168+SUMPRODUCT((Calc!$A$2:$A$1001=A168)*Calc!$G$2:$G$1001*((((K168+M168)-(L168+Calc!$J$2:$J$1001))&gt;0)*(((K168+M168)-(L168+Calc!$J$2:$J$1001))&lt;Calc!$F$2:$F$1001)*((K168+M168)-(L168+Calc!$J$2:$J$1001))+(((K168+M168)-(L168+Calc!$J$2:$J$1001))&gt;=Calc!$F$2:$F$1001)*Calc!$F$2:$F$1001))))</f>
        <v/>
      </c>
      <c r="R168">
        <f>IF(I168=0,0,(MIN(MAX((K168+N168),0),L168)*W168+SUMPRODUCT((Calc!$A$2:$A$1001=A168)*Calc!$G$2:$G$1001*((((K168+N168)-(L168+Calc!$J$2:$J$1001))&gt;0)*(((K168+N168)-(L168+Calc!$J$2:$J$1001))&lt;Calc!$F$2:$F$1001)*((K168+N168)-(L168+Calc!$J$2:$J$1001))+(((K168+N168)-(L168+Calc!$J$2:$J$1001))&gt;=Calc!$F$2:$F$1001)*Calc!$F$2:$F$1001))))</f>
        <v/>
      </c>
      <c r="S168">
        <f>IF(I168=0,0,(MIN(MAX((K168+O168),0),L168)*W168+SUMPRODUCT((Calc!$A$2:$A$1001=A168)*Calc!$G$2:$G$1001*((((K168+O168)-(L168+Calc!$J$2:$J$1001))&gt;0)*(((K168+O168)-(L168+Calc!$J$2:$J$1001))&lt;Calc!$F$2:$F$1001)*((K168+O168)-(L168+Calc!$J$2:$J$1001))+(((K168+O168)-(L168+Calc!$J$2:$J$1001))&gt;=Calc!$F$2:$F$1001)*Calc!$F$2:$F$1001))))</f>
        <v/>
      </c>
      <c r="T168">
        <f>IF(AND(E168=1,B168="RETURN"),Transactions!E168*Transactions!G168,0)</f>
        <v/>
      </c>
      <c r="U168">
        <f>IF(AND(E168=1,B168="EXPENSE"),Transactions!J168,0)</f>
        <v/>
      </c>
      <c r="V168">
        <f>IF(AND(Transactions!A168&lt;&gt;"",E168=0),ROW(),"")</f>
        <v/>
      </c>
      <c r="W168">
        <f>IFERROR(VLOOKUP(A168,Opening!$A:$D,4,0),0)</f>
        <v/>
      </c>
    </row>
    <row r="169">
      <c r="A169">
        <f>IF(Transactions!D169="","",UPPER(TRIM(Transactions!D169)))</f>
        <v/>
      </c>
      <c r="B169">
        <f>IF(Transactions!C169="","",UPPER(TRIM(Transactions!C169)))</f>
        <v/>
      </c>
      <c r="C169">
        <f>IF(Transactions!B169="",0,YEAR(Transactions!B169)*100+MONTH(Transactions!B169))</f>
        <v/>
      </c>
      <c r="D169">
        <f>IF(Transactions!A169="",1,IF(COUNTIF(Transactions!$A$1:A168,Transactions!A169)&gt;0,1,0))</f>
        <v/>
      </c>
      <c r="E169">
        <f>IF(D169=1,0,IF(B169="RETURN",IF(COUNTIFS($A$1:A168,A169,$B$1:B168,"SALE",$E$1:E168,1)&gt;0,1,0),1))</f>
        <v/>
      </c>
      <c r="F169">
        <f>IF(E169=1,IF(B169="RECEIPT",Transactions!E169,IF(AND(B169="RETURN",LOWER(TRIM(Transactions!H169))="resellable"),Transactions!E169,0)),0)</f>
        <v/>
      </c>
      <c r="G169">
        <f>IF(F169&gt;0,IF(B169="RECEIPT",Transactions!F169,IF(_xlfn.MAXIFS($H$2:H169,$A$2:A169,A169)&gt;0,INDEX(Transactions!$F:$F,_xlfn.MAXIFS($H$2:H169,$A$2:A169,A169)),W169)),0)</f>
        <v/>
      </c>
      <c r="H169">
        <f>IF(AND(E169=1,B169="RECEIPT"),ROW(),0)</f>
        <v/>
      </c>
      <c r="I169">
        <f>IF(E169=1,IF(OR(B169="SALE",B169="WRITEOFF"),Transactions!E169,0),0)</f>
        <v/>
      </c>
      <c r="J169">
        <f>SUMIFS($F$1:F168,$A$1:A168,A169)</f>
        <v/>
      </c>
      <c r="K169">
        <f>SUMIFS($I$1:I168,$A$1:A168,A169)</f>
        <v/>
      </c>
      <c r="L169">
        <f>IFERROR(VLOOKUP(A169,Opening!$A:$C,3,0),0)</f>
        <v/>
      </c>
      <c r="M169">
        <f>IF(I169=0,0,MAX(0,MIN(INDEX(Month!H$2:H$13,MATCH($A169,Month!$A$2:$A$13,0))-K169,I169)))</f>
        <v/>
      </c>
      <c r="N169">
        <f>IF(I169=0,0,MAX(0,MIN(INDEX(Month!I$2:I$13,MATCH($A169,Month!$A$2:$A$13,0))-K169,I169)))</f>
        <v/>
      </c>
      <c r="O169">
        <f>IF(I169=0,0,MAX(0,MIN(INDEX(Month!J$2:J$13,MATCH($A169,Month!$A$2:$A$13,0))-K169,I169)))</f>
        <v/>
      </c>
      <c r="P169">
        <f>IF(I169=0,0,(MIN(MAX(K169,0),L169)*W169+SUMPRODUCT((Calc!$A$2:$A$1001=A169)*Calc!$G$2:$G$1001*(((K169-(L169+Calc!$J$2:$J$1001))&gt;0)*((K169-(L169+Calc!$J$2:$J$1001))&lt;Calc!$F$2:$F$1001)*(K169-(L169+Calc!$J$2:$J$1001))+((K169-(L169+Calc!$J$2:$J$1001))&gt;=Calc!$F$2:$F$1001)*Calc!$F$2:$F$1001))))</f>
        <v/>
      </c>
      <c r="Q169">
        <f>IF(I169=0,0,(MIN(MAX((K169+M169),0),L169)*W169+SUMPRODUCT((Calc!$A$2:$A$1001=A169)*Calc!$G$2:$G$1001*((((K169+M169)-(L169+Calc!$J$2:$J$1001))&gt;0)*(((K169+M169)-(L169+Calc!$J$2:$J$1001))&lt;Calc!$F$2:$F$1001)*((K169+M169)-(L169+Calc!$J$2:$J$1001))+(((K169+M169)-(L169+Calc!$J$2:$J$1001))&gt;=Calc!$F$2:$F$1001)*Calc!$F$2:$F$1001))))</f>
        <v/>
      </c>
      <c r="R169">
        <f>IF(I169=0,0,(MIN(MAX((K169+N169),0),L169)*W169+SUMPRODUCT((Calc!$A$2:$A$1001=A169)*Calc!$G$2:$G$1001*((((K169+N169)-(L169+Calc!$J$2:$J$1001))&gt;0)*(((K169+N169)-(L169+Calc!$J$2:$J$1001))&lt;Calc!$F$2:$F$1001)*((K169+N169)-(L169+Calc!$J$2:$J$1001))+(((K169+N169)-(L169+Calc!$J$2:$J$1001))&gt;=Calc!$F$2:$F$1001)*Calc!$F$2:$F$1001))))</f>
        <v/>
      </c>
      <c r="S169">
        <f>IF(I169=0,0,(MIN(MAX((K169+O169),0),L169)*W169+SUMPRODUCT((Calc!$A$2:$A$1001=A169)*Calc!$G$2:$G$1001*((((K169+O169)-(L169+Calc!$J$2:$J$1001))&gt;0)*(((K169+O169)-(L169+Calc!$J$2:$J$1001))&lt;Calc!$F$2:$F$1001)*((K169+O169)-(L169+Calc!$J$2:$J$1001))+(((K169+O169)-(L169+Calc!$J$2:$J$1001))&gt;=Calc!$F$2:$F$1001)*Calc!$F$2:$F$1001))))</f>
        <v/>
      </c>
      <c r="T169">
        <f>IF(AND(E169=1,B169="RETURN"),Transactions!E169*Transactions!G169,0)</f>
        <v/>
      </c>
      <c r="U169">
        <f>IF(AND(E169=1,B169="EXPENSE"),Transactions!J169,0)</f>
        <v/>
      </c>
      <c r="V169">
        <f>IF(AND(Transactions!A169&lt;&gt;"",E169=0),ROW(),"")</f>
        <v/>
      </c>
      <c r="W169">
        <f>IFERROR(VLOOKUP(A169,Opening!$A:$D,4,0),0)</f>
        <v/>
      </c>
    </row>
    <row r="170">
      <c r="A170">
        <f>IF(Transactions!D170="","",UPPER(TRIM(Transactions!D170)))</f>
        <v/>
      </c>
      <c r="B170">
        <f>IF(Transactions!C170="","",UPPER(TRIM(Transactions!C170)))</f>
        <v/>
      </c>
      <c r="C170">
        <f>IF(Transactions!B170="",0,YEAR(Transactions!B170)*100+MONTH(Transactions!B170))</f>
        <v/>
      </c>
      <c r="D170">
        <f>IF(Transactions!A170="",1,IF(COUNTIF(Transactions!$A$1:A169,Transactions!A170)&gt;0,1,0))</f>
        <v/>
      </c>
      <c r="E170">
        <f>IF(D170=1,0,IF(B170="RETURN",IF(COUNTIFS($A$1:A169,A170,$B$1:B169,"SALE",$E$1:E169,1)&gt;0,1,0),1))</f>
        <v/>
      </c>
      <c r="F170">
        <f>IF(E170=1,IF(B170="RECEIPT",Transactions!E170,IF(AND(B170="RETURN",LOWER(TRIM(Transactions!H170))="resellable"),Transactions!E170,0)),0)</f>
        <v/>
      </c>
      <c r="G170">
        <f>IF(F170&gt;0,IF(B170="RECEIPT",Transactions!F170,IF(_xlfn.MAXIFS($H$2:H170,$A$2:A170,A170)&gt;0,INDEX(Transactions!$F:$F,_xlfn.MAXIFS($H$2:H170,$A$2:A170,A170)),W170)),0)</f>
        <v/>
      </c>
      <c r="H170">
        <f>IF(AND(E170=1,B170="RECEIPT"),ROW(),0)</f>
        <v/>
      </c>
      <c r="I170">
        <f>IF(E170=1,IF(OR(B170="SALE",B170="WRITEOFF"),Transactions!E170,0),0)</f>
        <v/>
      </c>
      <c r="J170">
        <f>SUMIFS($F$1:F169,$A$1:A169,A170)</f>
        <v/>
      </c>
      <c r="K170">
        <f>SUMIFS($I$1:I169,$A$1:A169,A170)</f>
        <v/>
      </c>
      <c r="L170">
        <f>IFERROR(VLOOKUP(A170,Opening!$A:$C,3,0),0)</f>
        <v/>
      </c>
      <c r="M170">
        <f>IF(I170=0,0,MAX(0,MIN(INDEX(Month!H$2:H$13,MATCH($A170,Month!$A$2:$A$13,0))-K170,I170)))</f>
        <v/>
      </c>
      <c r="N170">
        <f>IF(I170=0,0,MAX(0,MIN(INDEX(Month!I$2:I$13,MATCH($A170,Month!$A$2:$A$13,0))-K170,I170)))</f>
        <v/>
      </c>
      <c r="O170">
        <f>IF(I170=0,0,MAX(0,MIN(INDEX(Month!J$2:J$13,MATCH($A170,Month!$A$2:$A$13,0))-K170,I170)))</f>
        <v/>
      </c>
      <c r="P170">
        <f>IF(I170=0,0,(MIN(MAX(K170,0),L170)*W170+SUMPRODUCT((Calc!$A$2:$A$1001=A170)*Calc!$G$2:$G$1001*(((K170-(L170+Calc!$J$2:$J$1001))&gt;0)*((K170-(L170+Calc!$J$2:$J$1001))&lt;Calc!$F$2:$F$1001)*(K170-(L170+Calc!$J$2:$J$1001))+((K170-(L170+Calc!$J$2:$J$1001))&gt;=Calc!$F$2:$F$1001)*Calc!$F$2:$F$1001))))</f>
        <v/>
      </c>
      <c r="Q170">
        <f>IF(I170=0,0,(MIN(MAX((K170+M170),0),L170)*W170+SUMPRODUCT((Calc!$A$2:$A$1001=A170)*Calc!$G$2:$G$1001*((((K170+M170)-(L170+Calc!$J$2:$J$1001))&gt;0)*(((K170+M170)-(L170+Calc!$J$2:$J$1001))&lt;Calc!$F$2:$F$1001)*((K170+M170)-(L170+Calc!$J$2:$J$1001))+(((K170+M170)-(L170+Calc!$J$2:$J$1001))&gt;=Calc!$F$2:$F$1001)*Calc!$F$2:$F$1001))))</f>
        <v/>
      </c>
      <c r="R170">
        <f>IF(I170=0,0,(MIN(MAX((K170+N170),0),L170)*W170+SUMPRODUCT((Calc!$A$2:$A$1001=A170)*Calc!$G$2:$G$1001*((((K170+N170)-(L170+Calc!$J$2:$J$1001))&gt;0)*(((K170+N170)-(L170+Calc!$J$2:$J$1001))&lt;Calc!$F$2:$F$1001)*((K170+N170)-(L170+Calc!$J$2:$J$1001))+(((K170+N170)-(L170+Calc!$J$2:$J$1001))&gt;=Calc!$F$2:$F$1001)*Calc!$F$2:$F$1001))))</f>
        <v/>
      </c>
      <c r="S170">
        <f>IF(I170=0,0,(MIN(MAX((K170+O170),0),L170)*W170+SUMPRODUCT((Calc!$A$2:$A$1001=A170)*Calc!$G$2:$G$1001*((((K170+O170)-(L170+Calc!$J$2:$J$1001))&gt;0)*(((K170+O170)-(L170+Calc!$J$2:$J$1001))&lt;Calc!$F$2:$F$1001)*((K170+O170)-(L170+Calc!$J$2:$J$1001))+(((K170+O170)-(L170+Calc!$J$2:$J$1001))&gt;=Calc!$F$2:$F$1001)*Calc!$F$2:$F$1001))))</f>
        <v/>
      </c>
      <c r="T170">
        <f>IF(AND(E170=1,B170="RETURN"),Transactions!E170*Transactions!G170,0)</f>
        <v/>
      </c>
      <c r="U170">
        <f>IF(AND(E170=1,B170="EXPENSE"),Transactions!J170,0)</f>
        <v/>
      </c>
      <c r="V170">
        <f>IF(AND(Transactions!A170&lt;&gt;"",E170=0),ROW(),"")</f>
        <v/>
      </c>
      <c r="W170">
        <f>IFERROR(VLOOKUP(A170,Opening!$A:$D,4,0),0)</f>
        <v/>
      </c>
    </row>
    <row r="171">
      <c r="A171">
        <f>IF(Transactions!D171="","",UPPER(TRIM(Transactions!D171)))</f>
        <v/>
      </c>
      <c r="B171">
        <f>IF(Transactions!C171="","",UPPER(TRIM(Transactions!C171)))</f>
        <v/>
      </c>
      <c r="C171">
        <f>IF(Transactions!B171="",0,YEAR(Transactions!B171)*100+MONTH(Transactions!B171))</f>
        <v/>
      </c>
      <c r="D171">
        <f>IF(Transactions!A171="",1,IF(COUNTIF(Transactions!$A$1:A170,Transactions!A171)&gt;0,1,0))</f>
        <v/>
      </c>
      <c r="E171">
        <f>IF(D171=1,0,IF(B171="RETURN",IF(COUNTIFS($A$1:A170,A171,$B$1:B170,"SALE",$E$1:E170,1)&gt;0,1,0),1))</f>
        <v/>
      </c>
      <c r="F171">
        <f>IF(E171=1,IF(B171="RECEIPT",Transactions!E171,IF(AND(B171="RETURN",LOWER(TRIM(Transactions!H171))="resellable"),Transactions!E171,0)),0)</f>
        <v/>
      </c>
      <c r="G171">
        <f>IF(F171&gt;0,IF(B171="RECEIPT",Transactions!F171,IF(_xlfn.MAXIFS($H$2:H171,$A$2:A171,A171)&gt;0,INDEX(Transactions!$F:$F,_xlfn.MAXIFS($H$2:H171,$A$2:A171,A171)),W171)),0)</f>
        <v/>
      </c>
      <c r="H171">
        <f>IF(AND(E171=1,B171="RECEIPT"),ROW(),0)</f>
        <v/>
      </c>
      <c r="I171">
        <f>IF(E171=1,IF(OR(B171="SALE",B171="WRITEOFF"),Transactions!E171,0),0)</f>
        <v/>
      </c>
      <c r="J171">
        <f>SUMIFS($F$1:F170,$A$1:A170,A171)</f>
        <v/>
      </c>
      <c r="K171">
        <f>SUMIFS($I$1:I170,$A$1:A170,A171)</f>
        <v/>
      </c>
      <c r="L171">
        <f>IFERROR(VLOOKUP(A171,Opening!$A:$C,3,0),0)</f>
        <v/>
      </c>
      <c r="M171">
        <f>IF(I171=0,0,MAX(0,MIN(INDEX(Month!H$2:H$13,MATCH($A171,Month!$A$2:$A$13,0))-K171,I171)))</f>
        <v/>
      </c>
      <c r="N171">
        <f>IF(I171=0,0,MAX(0,MIN(INDEX(Month!I$2:I$13,MATCH($A171,Month!$A$2:$A$13,0))-K171,I171)))</f>
        <v/>
      </c>
      <c r="O171">
        <f>IF(I171=0,0,MAX(0,MIN(INDEX(Month!J$2:J$13,MATCH($A171,Month!$A$2:$A$13,0))-K171,I171)))</f>
        <v/>
      </c>
      <c r="P171">
        <f>IF(I171=0,0,(MIN(MAX(K171,0),L171)*W171+SUMPRODUCT((Calc!$A$2:$A$1001=A171)*Calc!$G$2:$G$1001*(((K171-(L171+Calc!$J$2:$J$1001))&gt;0)*((K171-(L171+Calc!$J$2:$J$1001))&lt;Calc!$F$2:$F$1001)*(K171-(L171+Calc!$J$2:$J$1001))+((K171-(L171+Calc!$J$2:$J$1001))&gt;=Calc!$F$2:$F$1001)*Calc!$F$2:$F$1001))))</f>
        <v/>
      </c>
      <c r="Q171">
        <f>IF(I171=0,0,(MIN(MAX((K171+M171),0),L171)*W171+SUMPRODUCT((Calc!$A$2:$A$1001=A171)*Calc!$G$2:$G$1001*((((K171+M171)-(L171+Calc!$J$2:$J$1001))&gt;0)*(((K171+M171)-(L171+Calc!$J$2:$J$1001))&lt;Calc!$F$2:$F$1001)*((K171+M171)-(L171+Calc!$J$2:$J$1001))+(((K171+M171)-(L171+Calc!$J$2:$J$1001))&gt;=Calc!$F$2:$F$1001)*Calc!$F$2:$F$1001))))</f>
        <v/>
      </c>
      <c r="R171">
        <f>IF(I171=0,0,(MIN(MAX((K171+N171),0),L171)*W171+SUMPRODUCT((Calc!$A$2:$A$1001=A171)*Calc!$G$2:$G$1001*((((K171+N171)-(L171+Calc!$J$2:$J$1001))&gt;0)*(((K171+N171)-(L171+Calc!$J$2:$J$1001))&lt;Calc!$F$2:$F$1001)*((K171+N171)-(L171+Calc!$J$2:$J$1001))+(((K171+N171)-(L171+Calc!$J$2:$J$1001))&gt;=Calc!$F$2:$F$1001)*Calc!$F$2:$F$1001))))</f>
        <v/>
      </c>
      <c r="S171">
        <f>IF(I171=0,0,(MIN(MAX((K171+O171),0),L171)*W171+SUMPRODUCT((Calc!$A$2:$A$1001=A171)*Calc!$G$2:$G$1001*((((K171+O171)-(L171+Calc!$J$2:$J$1001))&gt;0)*(((K171+O171)-(L171+Calc!$J$2:$J$1001))&lt;Calc!$F$2:$F$1001)*((K171+O171)-(L171+Calc!$J$2:$J$1001))+(((K171+O171)-(L171+Calc!$J$2:$J$1001))&gt;=Calc!$F$2:$F$1001)*Calc!$F$2:$F$1001))))</f>
        <v/>
      </c>
      <c r="T171">
        <f>IF(AND(E171=1,B171="RETURN"),Transactions!E171*Transactions!G171,0)</f>
        <v/>
      </c>
      <c r="U171">
        <f>IF(AND(E171=1,B171="EXPENSE"),Transactions!J171,0)</f>
        <v/>
      </c>
      <c r="V171">
        <f>IF(AND(Transactions!A171&lt;&gt;"",E171=0),ROW(),"")</f>
        <v/>
      </c>
      <c r="W171">
        <f>IFERROR(VLOOKUP(A171,Opening!$A:$D,4,0),0)</f>
        <v/>
      </c>
    </row>
    <row r="172">
      <c r="A172">
        <f>IF(Transactions!D172="","",UPPER(TRIM(Transactions!D172)))</f>
        <v/>
      </c>
      <c r="B172">
        <f>IF(Transactions!C172="","",UPPER(TRIM(Transactions!C172)))</f>
        <v/>
      </c>
      <c r="C172">
        <f>IF(Transactions!B172="",0,YEAR(Transactions!B172)*100+MONTH(Transactions!B172))</f>
        <v/>
      </c>
      <c r="D172">
        <f>IF(Transactions!A172="",1,IF(COUNTIF(Transactions!$A$1:A171,Transactions!A172)&gt;0,1,0))</f>
        <v/>
      </c>
      <c r="E172">
        <f>IF(D172=1,0,IF(B172="RETURN",IF(COUNTIFS($A$1:A171,A172,$B$1:B171,"SALE",$E$1:E171,1)&gt;0,1,0),1))</f>
        <v/>
      </c>
      <c r="F172">
        <f>IF(E172=1,IF(B172="RECEIPT",Transactions!E172,IF(AND(B172="RETURN",LOWER(TRIM(Transactions!H172))="resellable"),Transactions!E172,0)),0)</f>
        <v/>
      </c>
      <c r="G172">
        <f>IF(F172&gt;0,IF(B172="RECEIPT",Transactions!F172,IF(_xlfn.MAXIFS($H$2:H172,$A$2:A172,A172)&gt;0,INDEX(Transactions!$F:$F,_xlfn.MAXIFS($H$2:H172,$A$2:A172,A172)),W172)),0)</f>
        <v/>
      </c>
      <c r="H172">
        <f>IF(AND(E172=1,B172="RECEIPT"),ROW(),0)</f>
        <v/>
      </c>
      <c r="I172">
        <f>IF(E172=1,IF(OR(B172="SALE",B172="WRITEOFF"),Transactions!E172,0),0)</f>
        <v/>
      </c>
      <c r="J172">
        <f>SUMIFS($F$1:F171,$A$1:A171,A172)</f>
        <v/>
      </c>
      <c r="K172">
        <f>SUMIFS($I$1:I171,$A$1:A171,A172)</f>
        <v/>
      </c>
      <c r="L172">
        <f>IFERROR(VLOOKUP(A172,Opening!$A:$C,3,0),0)</f>
        <v/>
      </c>
      <c r="M172">
        <f>IF(I172=0,0,MAX(0,MIN(INDEX(Month!H$2:H$13,MATCH($A172,Month!$A$2:$A$13,0))-K172,I172)))</f>
        <v/>
      </c>
      <c r="N172">
        <f>IF(I172=0,0,MAX(0,MIN(INDEX(Month!I$2:I$13,MATCH($A172,Month!$A$2:$A$13,0))-K172,I172)))</f>
        <v/>
      </c>
      <c r="O172">
        <f>IF(I172=0,0,MAX(0,MIN(INDEX(Month!J$2:J$13,MATCH($A172,Month!$A$2:$A$13,0))-K172,I172)))</f>
        <v/>
      </c>
      <c r="P172">
        <f>IF(I172=0,0,(MIN(MAX(K172,0),L172)*W172+SUMPRODUCT((Calc!$A$2:$A$1001=A172)*Calc!$G$2:$G$1001*(((K172-(L172+Calc!$J$2:$J$1001))&gt;0)*((K172-(L172+Calc!$J$2:$J$1001))&lt;Calc!$F$2:$F$1001)*(K172-(L172+Calc!$J$2:$J$1001))+((K172-(L172+Calc!$J$2:$J$1001))&gt;=Calc!$F$2:$F$1001)*Calc!$F$2:$F$1001))))</f>
        <v/>
      </c>
      <c r="Q172">
        <f>IF(I172=0,0,(MIN(MAX((K172+M172),0),L172)*W172+SUMPRODUCT((Calc!$A$2:$A$1001=A172)*Calc!$G$2:$G$1001*((((K172+M172)-(L172+Calc!$J$2:$J$1001))&gt;0)*(((K172+M172)-(L172+Calc!$J$2:$J$1001))&lt;Calc!$F$2:$F$1001)*((K172+M172)-(L172+Calc!$J$2:$J$1001))+(((K172+M172)-(L172+Calc!$J$2:$J$1001))&gt;=Calc!$F$2:$F$1001)*Calc!$F$2:$F$1001))))</f>
        <v/>
      </c>
      <c r="R172">
        <f>IF(I172=0,0,(MIN(MAX((K172+N172),0),L172)*W172+SUMPRODUCT((Calc!$A$2:$A$1001=A172)*Calc!$G$2:$G$1001*((((K172+N172)-(L172+Calc!$J$2:$J$1001))&gt;0)*(((K172+N172)-(L172+Calc!$J$2:$J$1001))&lt;Calc!$F$2:$F$1001)*((K172+N172)-(L172+Calc!$J$2:$J$1001))+(((K172+N172)-(L172+Calc!$J$2:$J$1001))&gt;=Calc!$F$2:$F$1001)*Calc!$F$2:$F$1001))))</f>
        <v/>
      </c>
      <c r="S172">
        <f>IF(I172=0,0,(MIN(MAX((K172+O172),0),L172)*W172+SUMPRODUCT((Calc!$A$2:$A$1001=A172)*Calc!$G$2:$G$1001*((((K172+O172)-(L172+Calc!$J$2:$J$1001))&gt;0)*(((K172+O172)-(L172+Calc!$J$2:$J$1001))&lt;Calc!$F$2:$F$1001)*((K172+O172)-(L172+Calc!$J$2:$J$1001))+(((K172+O172)-(L172+Calc!$J$2:$J$1001))&gt;=Calc!$F$2:$F$1001)*Calc!$F$2:$F$1001))))</f>
        <v/>
      </c>
      <c r="T172">
        <f>IF(AND(E172=1,B172="RETURN"),Transactions!E172*Transactions!G172,0)</f>
        <v/>
      </c>
      <c r="U172">
        <f>IF(AND(E172=1,B172="EXPENSE"),Transactions!J172,0)</f>
        <v/>
      </c>
      <c r="V172">
        <f>IF(AND(Transactions!A172&lt;&gt;"",E172=0),ROW(),"")</f>
        <v/>
      </c>
      <c r="W172">
        <f>IFERROR(VLOOKUP(A172,Opening!$A:$D,4,0),0)</f>
        <v/>
      </c>
    </row>
    <row r="173">
      <c r="A173">
        <f>IF(Transactions!D173="","",UPPER(TRIM(Transactions!D173)))</f>
        <v/>
      </c>
      <c r="B173">
        <f>IF(Transactions!C173="","",UPPER(TRIM(Transactions!C173)))</f>
        <v/>
      </c>
      <c r="C173">
        <f>IF(Transactions!B173="",0,YEAR(Transactions!B173)*100+MONTH(Transactions!B173))</f>
        <v/>
      </c>
      <c r="D173">
        <f>IF(Transactions!A173="",1,IF(COUNTIF(Transactions!$A$1:A172,Transactions!A173)&gt;0,1,0))</f>
        <v/>
      </c>
      <c r="E173">
        <f>IF(D173=1,0,IF(B173="RETURN",IF(COUNTIFS($A$1:A172,A173,$B$1:B172,"SALE",$E$1:E172,1)&gt;0,1,0),1))</f>
        <v/>
      </c>
      <c r="F173">
        <f>IF(E173=1,IF(B173="RECEIPT",Transactions!E173,IF(AND(B173="RETURN",LOWER(TRIM(Transactions!H173))="resellable"),Transactions!E173,0)),0)</f>
        <v/>
      </c>
      <c r="G173">
        <f>IF(F173&gt;0,IF(B173="RECEIPT",Transactions!F173,IF(_xlfn.MAXIFS($H$2:H173,$A$2:A173,A173)&gt;0,INDEX(Transactions!$F:$F,_xlfn.MAXIFS($H$2:H173,$A$2:A173,A173)),W173)),0)</f>
        <v/>
      </c>
      <c r="H173">
        <f>IF(AND(E173=1,B173="RECEIPT"),ROW(),0)</f>
        <v/>
      </c>
      <c r="I173">
        <f>IF(E173=1,IF(OR(B173="SALE",B173="WRITEOFF"),Transactions!E173,0),0)</f>
        <v/>
      </c>
      <c r="J173">
        <f>SUMIFS($F$1:F172,$A$1:A172,A173)</f>
        <v/>
      </c>
      <c r="K173">
        <f>SUMIFS($I$1:I172,$A$1:A172,A173)</f>
        <v/>
      </c>
      <c r="L173">
        <f>IFERROR(VLOOKUP(A173,Opening!$A:$C,3,0),0)</f>
        <v/>
      </c>
      <c r="M173">
        <f>IF(I173=0,0,MAX(0,MIN(INDEX(Month!H$2:H$13,MATCH($A173,Month!$A$2:$A$13,0))-K173,I173)))</f>
        <v/>
      </c>
      <c r="N173">
        <f>IF(I173=0,0,MAX(0,MIN(INDEX(Month!I$2:I$13,MATCH($A173,Month!$A$2:$A$13,0))-K173,I173)))</f>
        <v/>
      </c>
      <c r="O173">
        <f>IF(I173=0,0,MAX(0,MIN(INDEX(Month!J$2:J$13,MATCH($A173,Month!$A$2:$A$13,0))-K173,I173)))</f>
        <v/>
      </c>
      <c r="P173">
        <f>IF(I173=0,0,(MIN(MAX(K173,0),L173)*W173+SUMPRODUCT((Calc!$A$2:$A$1001=A173)*Calc!$G$2:$G$1001*(((K173-(L173+Calc!$J$2:$J$1001))&gt;0)*((K173-(L173+Calc!$J$2:$J$1001))&lt;Calc!$F$2:$F$1001)*(K173-(L173+Calc!$J$2:$J$1001))+((K173-(L173+Calc!$J$2:$J$1001))&gt;=Calc!$F$2:$F$1001)*Calc!$F$2:$F$1001))))</f>
        <v/>
      </c>
      <c r="Q173">
        <f>IF(I173=0,0,(MIN(MAX((K173+M173),0),L173)*W173+SUMPRODUCT((Calc!$A$2:$A$1001=A173)*Calc!$G$2:$G$1001*((((K173+M173)-(L173+Calc!$J$2:$J$1001))&gt;0)*(((K173+M173)-(L173+Calc!$J$2:$J$1001))&lt;Calc!$F$2:$F$1001)*((K173+M173)-(L173+Calc!$J$2:$J$1001))+(((K173+M173)-(L173+Calc!$J$2:$J$1001))&gt;=Calc!$F$2:$F$1001)*Calc!$F$2:$F$1001))))</f>
        <v/>
      </c>
      <c r="R173">
        <f>IF(I173=0,0,(MIN(MAX((K173+N173),0),L173)*W173+SUMPRODUCT((Calc!$A$2:$A$1001=A173)*Calc!$G$2:$G$1001*((((K173+N173)-(L173+Calc!$J$2:$J$1001))&gt;0)*(((K173+N173)-(L173+Calc!$J$2:$J$1001))&lt;Calc!$F$2:$F$1001)*((K173+N173)-(L173+Calc!$J$2:$J$1001))+(((K173+N173)-(L173+Calc!$J$2:$J$1001))&gt;=Calc!$F$2:$F$1001)*Calc!$F$2:$F$1001))))</f>
        <v/>
      </c>
      <c r="S173">
        <f>IF(I173=0,0,(MIN(MAX((K173+O173),0),L173)*W173+SUMPRODUCT((Calc!$A$2:$A$1001=A173)*Calc!$G$2:$G$1001*((((K173+O173)-(L173+Calc!$J$2:$J$1001))&gt;0)*(((K173+O173)-(L173+Calc!$J$2:$J$1001))&lt;Calc!$F$2:$F$1001)*((K173+O173)-(L173+Calc!$J$2:$J$1001))+(((K173+O173)-(L173+Calc!$J$2:$J$1001))&gt;=Calc!$F$2:$F$1001)*Calc!$F$2:$F$1001))))</f>
        <v/>
      </c>
      <c r="T173">
        <f>IF(AND(E173=1,B173="RETURN"),Transactions!E173*Transactions!G173,0)</f>
        <v/>
      </c>
      <c r="U173">
        <f>IF(AND(E173=1,B173="EXPENSE"),Transactions!J173,0)</f>
        <v/>
      </c>
      <c r="V173">
        <f>IF(AND(Transactions!A173&lt;&gt;"",E173=0),ROW(),"")</f>
        <v/>
      </c>
      <c r="W173">
        <f>IFERROR(VLOOKUP(A173,Opening!$A:$D,4,0),0)</f>
        <v/>
      </c>
    </row>
    <row r="174">
      <c r="A174">
        <f>IF(Transactions!D174="","",UPPER(TRIM(Transactions!D174)))</f>
        <v/>
      </c>
      <c r="B174">
        <f>IF(Transactions!C174="","",UPPER(TRIM(Transactions!C174)))</f>
        <v/>
      </c>
      <c r="C174">
        <f>IF(Transactions!B174="",0,YEAR(Transactions!B174)*100+MONTH(Transactions!B174))</f>
        <v/>
      </c>
      <c r="D174">
        <f>IF(Transactions!A174="",1,IF(COUNTIF(Transactions!$A$1:A173,Transactions!A174)&gt;0,1,0))</f>
        <v/>
      </c>
      <c r="E174">
        <f>IF(D174=1,0,IF(B174="RETURN",IF(COUNTIFS($A$1:A173,A174,$B$1:B173,"SALE",$E$1:E173,1)&gt;0,1,0),1))</f>
        <v/>
      </c>
      <c r="F174">
        <f>IF(E174=1,IF(B174="RECEIPT",Transactions!E174,IF(AND(B174="RETURN",LOWER(TRIM(Transactions!H174))="resellable"),Transactions!E174,0)),0)</f>
        <v/>
      </c>
      <c r="G174">
        <f>IF(F174&gt;0,IF(B174="RECEIPT",Transactions!F174,IF(_xlfn.MAXIFS($H$2:H174,$A$2:A174,A174)&gt;0,INDEX(Transactions!$F:$F,_xlfn.MAXIFS($H$2:H174,$A$2:A174,A174)),W174)),0)</f>
        <v/>
      </c>
      <c r="H174">
        <f>IF(AND(E174=1,B174="RECEIPT"),ROW(),0)</f>
        <v/>
      </c>
      <c r="I174">
        <f>IF(E174=1,IF(OR(B174="SALE",B174="WRITEOFF"),Transactions!E174,0),0)</f>
        <v/>
      </c>
      <c r="J174">
        <f>SUMIFS($F$1:F173,$A$1:A173,A174)</f>
        <v/>
      </c>
      <c r="K174">
        <f>SUMIFS($I$1:I173,$A$1:A173,A174)</f>
        <v/>
      </c>
      <c r="L174">
        <f>IFERROR(VLOOKUP(A174,Opening!$A:$C,3,0),0)</f>
        <v/>
      </c>
      <c r="M174">
        <f>IF(I174=0,0,MAX(0,MIN(INDEX(Month!H$2:H$13,MATCH($A174,Month!$A$2:$A$13,0))-K174,I174)))</f>
        <v/>
      </c>
      <c r="N174">
        <f>IF(I174=0,0,MAX(0,MIN(INDEX(Month!I$2:I$13,MATCH($A174,Month!$A$2:$A$13,0))-K174,I174)))</f>
        <v/>
      </c>
      <c r="O174">
        <f>IF(I174=0,0,MAX(0,MIN(INDEX(Month!J$2:J$13,MATCH($A174,Month!$A$2:$A$13,0))-K174,I174)))</f>
        <v/>
      </c>
      <c r="P174">
        <f>IF(I174=0,0,(MIN(MAX(K174,0),L174)*W174+SUMPRODUCT((Calc!$A$2:$A$1001=A174)*Calc!$G$2:$G$1001*(((K174-(L174+Calc!$J$2:$J$1001))&gt;0)*((K174-(L174+Calc!$J$2:$J$1001))&lt;Calc!$F$2:$F$1001)*(K174-(L174+Calc!$J$2:$J$1001))+((K174-(L174+Calc!$J$2:$J$1001))&gt;=Calc!$F$2:$F$1001)*Calc!$F$2:$F$1001))))</f>
        <v/>
      </c>
      <c r="Q174">
        <f>IF(I174=0,0,(MIN(MAX((K174+M174),0),L174)*W174+SUMPRODUCT((Calc!$A$2:$A$1001=A174)*Calc!$G$2:$G$1001*((((K174+M174)-(L174+Calc!$J$2:$J$1001))&gt;0)*(((K174+M174)-(L174+Calc!$J$2:$J$1001))&lt;Calc!$F$2:$F$1001)*((K174+M174)-(L174+Calc!$J$2:$J$1001))+(((K174+M174)-(L174+Calc!$J$2:$J$1001))&gt;=Calc!$F$2:$F$1001)*Calc!$F$2:$F$1001))))</f>
        <v/>
      </c>
      <c r="R174">
        <f>IF(I174=0,0,(MIN(MAX((K174+N174),0),L174)*W174+SUMPRODUCT((Calc!$A$2:$A$1001=A174)*Calc!$G$2:$G$1001*((((K174+N174)-(L174+Calc!$J$2:$J$1001))&gt;0)*(((K174+N174)-(L174+Calc!$J$2:$J$1001))&lt;Calc!$F$2:$F$1001)*((K174+N174)-(L174+Calc!$J$2:$J$1001))+(((K174+N174)-(L174+Calc!$J$2:$J$1001))&gt;=Calc!$F$2:$F$1001)*Calc!$F$2:$F$1001))))</f>
        <v/>
      </c>
      <c r="S174">
        <f>IF(I174=0,0,(MIN(MAX((K174+O174),0),L174)*W174+SUMPRODUCT((Calc!$A$2:$A$1001=A174)*Calc!$G$2:$G$1001*((((K174+O174)-(L174+Calc!$J$2:$J$1001))&gt;0)*(((K174+O174)-(L174+Calc!$J$2:$J$1001))&lt;Calc!$F$2:$F$1001)*((K174+O174)-(L174+Calc!$J$2:$J$1001))+(((K174+O174)-(L174+Calc!$J$2:$J$1001))&gt;=Calc!$F$2:$F$1001)*Calc!$F$2:$F$1001))))</f>
        <v/>
      </c>
      <c r="T174">
        <f>IF(AND(E174=1,B174="RETURN"),Transactions!E174*Transactions!G174,0)</f>
        <v/>
      </c>
      <c r="U174">
        <f>IF(AND(E174=1,B174="EXPENSE"),Transactions!J174,0)</f>
        <v/>
      </c>
      <c r="V174">
        <f>IF(AND(Transactions!A174&lt;&gt;"",E174=0),ROW(),"")</f>
        <v/>
      </c>
      <c r="W174">
        <f>IFERROR(VLOOKUP(A174,Opening!$A:$D,4,0),0)</f>
        <v/>
      </c>
    </row>
    <row r="175">
      <c r="A175">
        <f>IF(Transactions!D175="","",UPPER(TRIM(Transactions!D175)))</f>
        <v/>
      </c>
      <c r="B175">
        <f>IF(Transactions!C175="","",UPPER(TRIM(Transactions!C175)))</f>
        <v/>
      </c>
      <c r="C175">
        <f>IF(Transactions!B175="",0,YEAR(Transactions!B175)*100+MONTH(Transactions!B175))</f>
        <v/>
      </c>
      <c r="D175">
        <f>IF(Transactions!A175="",1,IF(COUNTIF(Transactions!$A$1:A174,Transactions!A175)&gt;0,1,0))</f>
        <v/>
      </c>
      <c r="E175">
        <f>IF(D175=1,0,IF(B175="RETURN",IF(COUNTIFS($A$1:A174,A175,$B$1:B174,"SALE",$E$1:E174,1)&gt;0,1,0),1))</f>
        <v/>
      </c>
      <c r="F175">
        <f>IF(E175=1,IF(B175="RECEIPT",Transactions!E175,IF(AND(B175="RETURN",LOWER(TRIM(Transactions!H175))="resellable"),Transactions!E175,0)),0)</f>
        <v/>
      </c>
      <c r="G175">
        <f>IF(F175&gt;0,IF(B175="RECEIPT",Transactions!F175,IF(_xlfn.MAXIFS($H$2:H175,$A$2:A175,A175)&gt;0,INDEX(Transactions!$F:$F,_xlfn.MAXIFS($H$2:H175,$A$2:A175,A175)),W175)),0)</f>
        <v/>
      </c>
      <c r="H175">
        <f>IF(AND(E175=1,B175="RECEIPT"),ROW(),0)</f>
        <v/>
      </c>
      <c r="I175">
        <f>IF(E175=1,IF(OR(B175="SALE",B175="WRITEOFF"),Transactions!E175,0),0)</f>
        <v/>
      </c>
      <c r="J175">
        <f>SUMIFS($F$1:F174,$A$1:A174,A175)</f>
        <v/>
      </c>
      <c r="K175">
        <f>SUMIFS($I$1:I174,$A$1:A174,A175)</f>
        <v/>
      </c>
      <c r="L175">
        <f>IFERROR(VLOOKUP(A175,Opening!$A:$C,3,0),0)</f>
        <v/>
      </c>
      <c r="M175">
        <f>IF(I175=0,0,MAX(0,MIN(INDEX(Month!H$2:H$13,MATCH($A175,Month!$A$2:$A$13,0))-K175,I175)))</f>
        <v/>
      </c>
      <c r="N175">
        <f>IF(I175=0,0,MAX(0,MIN(INDEX(Month!I$2:I$13,MATCH($A175,Month!$A$2:$A$13,0))-K175,I175)))</f>
        <v/>
      </c>
      <c r="O175">
        <f>IF(I175=0,0,MAX(0,MIN(INDEX(Month!J$2:J$13,MATCH($A175,Month!$A$2:$A$13,0))-K175,I175)))</f>
        <v/>
      </c>
      <c r="P175">
        <f>IF(I175=0,0,(MIN(MAX(K175,0),L175)*W175+SUMPRODUCT((Calc!$A$2:$A$1001=A175)*Calc!$G$2:$G$1001*(((K175-(L175+Calc!$J$2:$J$1001))&gt;0)*((K175-(L175+Calc!$J$2:$J$1001))&lt;Calc!$F$2:$F$1001)*(K175-(L175+Calc!$J$2:$J$1001))+((K175-(L175+Calc!$J$2:$J$1001))&gt;=Calc!$F$2:$F$1001)*Calc!$F$2:$F$1001))))</f>
        <v/>
      </c>
      <c r="Q175">
        <f>IF(I175=0,0,(MIN(MAX((K175+M175),0),L175)*W175+SUMPRODUCT((Calc!$A$2:$A$1001=A175)*Calc!$G$2:$G$1001*((((K175+M175)-(L175+Calc!$J$2:$J$1001))&gt;0)*(((K175+M175)-(L175+Calc!$J$2:$J$1001))&lt;Calc!$F$2:$F$1001)*((K175+M175)-(L175+Calc!$J$2:$J$1001))+(((K175+M175)-(L175+Calc!$J$2:$J$1001))&gt;=Calc!$F$2:$F$1001)*Calc!$F$2:$F$1001))))</f>
        <v/>
      </c>
      <c r="R175">
        <f>IF(I175=0,0,(MIN(MAX((K175+N175),0),L175)*W175+SUMPRODUCT((Calc!$A$2:$A$1001=A175)*Calc!$G$2:$G$1001*((((K175+N175)-(L175+Calc!$J$2:$J$1001))&gt;0)*(((K175+N175)-(L175+Calc!$J$2:$J$1001))&lt;Calc!$F$2:$F$1001)*((K175+N175)-(L175+Calc!$J$2:$J$1001))+(((K175+N175)-(L175+Calc!$J$2:$J$1001))&gt;=Calc!$F$2:$F$1001)*Calc!$F$2:$F$1001))))</f>
        <v/>
      </c>
      <c r="S175">
        <f>IF(I175=0,0,(MIN(MAX((K175+O175),0),L175)*W175+SUMPRODUCT((Calc!$A$2:$A$1001=A175)*Calc!$G$2:$G$1001*((((K175+O175)-(L175+Calc!$J$2:$J$1001))&gt;0)*(((K175+O175)-(L175+Calc!$J$2:$J$1001))&lt;Calc!$F$2:$F$1001)*((K175+O175)-(L175+Calc!$J$2:$J$1001))+(((K175+O175)-(L175+Calc!$J$2:$J$1001))&gt;=Calc!$F$2:$F$1001)*Calc!$F$2:$F$1001))))</f>
        <v/>
      </c>
      <c r="T175">
        <f>IF(AND(E175=1,B175="RETURN"),Transactions!E175*Transactions!G175,0)</f>
        <v/>
      </c>
      <c r="U175">
        <f>IF(AND(E175=1,B175="EXPENSE"),Transactions!J175,0)</f>
        <v/>
      </c>
      <c r="V175">
        <f>IF(AND(Transactions!A175&lt;&gt;"",E175=0),ROW(),"")</f>
        <v/>
      </c>
      <c r="W175">
        <f>IFERROR(VLOOKUP(A175,Opening!$A:$D,4,0),0)</f>
        <v/>
      </c>
    </row>
    <row r="176">
      <c r="A176">
        <f>IF(Transactions!D176="","",UPPER(TRIM(Transactions!D176)))</f>
        <v/>
      </c>
      <c r="B176">
        <f>IF(Transactions!C176="","",UPPER(TRIM(Transactions!C176)))</f>
        <v/>
      </c>
      <c r="C176">
        <f>IF(Transactions!B176="",0,YEAR(Transactions!B176)*100+MONTH(Transactions!B176))</f>
        <v/>
      </c>
      <c r="D176">
        <f>IF(Transactions!A176="",1,IF(COUNTIF(Transactions!$A$1:A175,Transactions!A176)&gt;0,1,0))</f>
        <v/>
      </c>
      <c r="E176">
        <f>IF(D176=1,0,IF(B176="RETURN",IF(COUNTIFS($A$1:A175,A176,$B$1:B175,"SALE",$E$1:E175,1)&gt;0,1,0),1))</f>
        <v/>
      </c>
      <c r="F176">
        <f>IF(E176=1,IF(B176="RECEIPT",Transactions!E176,IF(AND(B176="RETURN",LOWER(TRIM(Transactions!H176))="resellable"),Transactions!E176,0)),0)</f>
        <v/>
      </c>
      <c r="G176">
        <f>IF(F176&gt;0,IF(B176="RECEIPT",Transactions!F176,IF(_xlfn.MAXIFS($H$2:H176,$A$2:A176,A176)&gt;0,INDEX(Transactions!$F:$F,_xlfn.MAXIFS($H$2:H176,$A$2:A176,A176)),W176)),0)</f>
        <v/>
      </c>
      <c r="H176">
        <f>IF(AND(E176=1,B176="RECEIPT"),ROW(),0)</f>
        <v/>
      </c>
      <c r="I176">
        <f>IF(E176=1,IF(OR(B176="SALE",B176="WRITEOFF"),Transactions!E176,0),0)</f>
        <v/>
      </c>
      <c r="J176">
        <f>SUMIFS($F$1:F175,$A$1:A175,A176)</f>
        <v/>
      </c>
      <c r="K176">
        <f>SUMIFS($I$1:I175,$A$1:A175,A176)</f>
        <v/>
      </c>
      <c r="L176">
        <f>IFERROR(VLOOKUP(A176,Opening!$A:$C,3,0),0)</f>
        <v/>
      </c>
      <c r="M176">
        <f>IF(I176=0,0,MAX(0,MIN(INDEX(Month!H$2:H$13,MATCH($A176,Month!$A$2:$A$13,0))-K176,I176)))</f>
        <v/>
      </c>
      <c r="N176">
        <f>IF(I176=0,0,MAX(0,MIN(INDEX(Month!I$2:I$13,MATCH($A176,Month!$A$2:$A$13,0))-K176,I176)))</f>
        <v/>
      </c>
      <c r="O176">
        <f>IF(I176=0,0,MAX(0,MIN(INDEX(Month!J$2:J$13,MATCH($A176,Month!$A$2:$A$13,0))-K176,I176)))</f>
        <v/>
      </c>
      <c r="P176">
        <f>IF(I176=0,0,(MIN(MAX(K176,0),L176)*W176+SUMPRODUCT((Calc!$A$2:$A$1001=A176)*Calc!$G$2:$G$1001*(((K176-(L176+Calc!$J$2:$J$1001))&gt;0)*((K176-(L176+Calc!$J$2:$J$1001))&lt;Calc!$F$2:$F$1001)*(K176-(L176+Calc!$J$2:$J$1001))+((K176-(L176+Calc!$J$2:$J$1001))&gt;=Calc!$F$2:$F$1001)*Calc!$F$2:$F$1001))))</f>
        <v/>
      </c>
      <c r="Q176">
        <f>IF(I176=0,0,(MIN(MAX((K176+M176),0),L176)*W176+SUMPRODUCT((Calc!$A$2:$A$1001=A176)*Calc!$G$2:$G$1001*((((K176+M176)-(L176+Calc!$J$2:$J$1001))&gt;0)*(((K176+M176)-(L176+Calc!$J$2:$J$1001))&lt;Calc!$F$2:$F$1001)*((K176+M176)-(L176+Calc!$J$2:$J$1001))+(((K176+M176)-(L176+Calc!$J$2:$J$1001))&gt;=Calc!$F$2:$F$1001)*Calc!$F$2:$F$1001))))</f>
        <v/>
      </c>
      <c r="R176">
        <f>IF(I176=0,0,(MIN(MAX((K176+N176),0),L176)*W176+SUMPRODUCT((Calc!$A$2:$A$1001=A176)*Calc!$G$2:$G$1001*((((K176+N176)-(L176+Calc!$J$2:$J$1001))&gt;0)*(((K176+N176)-(L176+Calc!$J$2:$J$1001))&lt;Calc!$F$2:$F$1001)*((K176+N176)-(L176+Calc!$J$2:$J$1001))+(((K176+N176)-(L176+Calc!$J$2:$J$1001))&gt;=Calc!$F$2:$F$1001)*Calc!$F$2:$F$1001))))</f>
        <v/>
      </c>
      <c r="S176">
        <f>IF(I176=0,0,(MIN(MAX((K176+O176),0),L176)*W176+SUMPRODUCT((Calc!$A$2:$A$1001=A176)*Calc!$G$2:$G$1001*((((K176+O176)-(L176+Calc!$J$2:$J$1001))&gt;0)*(((K176+O176)-(L176+Calc!$J$2:$J$1001))&lt;Calc!$F$2:$F$1001)*((K176+O176)-(L176+Calc!$J$2:$J$1001))+(((K176+O176)-(L176+Calc!$J$2:$J$1001))&gt;=Calc!$F$2:$F$1001)*Calc!$F$2:$F$1001))))</f>
        <v/>
      </c>
      <c r="T176">
        <f>IF(AND(E176=1,B176="RETURN"),Transactions!E176*Transactions!G176,0)</f>
        <v/>
      </c>
      <c r="U176">
        <f>IF(AND(E176=1,B176="EXPENSE"),Transactions!J176,0)</f>
        <v/>
      </c>
      <c r="V176">
        <f>IF(AND(Transactions!A176&lt;&gt;"",E176=0),ROW(),"")</f>
        <v/>
      </c>
      <c r="W176">
        <f>IFERROR(VLOOKUP(A176,Opening!$A:$D,4,0),0)</f>
        <v/>
      </c>
    </row>
    <row r="177">
      <c r="A177">
        <f>IF(Transactions!D177="","",UPPER(TRIM(Transactions!D177)))</f>
        <v/>
      </c>
      <c r="B177">
        <f>IF(Transactions!C177="","",UPPER(TRIM(Transactions!C177)))</f>
        <v/>
      </c>
      <c r="C177">
        <f>IF(Transactions!B177="",0,YEAR(Transactions!B177)*100+MONTH(Transactions!B177))</f>
        <v/>
      </c>
      <c r="D177">
        <f>IF(Transactions!A177="",1,IF(COUNTIF(Transactions!$A$1:A176,Transactions!A177)&gt;0,1,0))</f>
        <v/>
      </c>
      <c r="E177">
        <f>IF(D177=1,0,IF(B177="RETURN",IF(COUNTIFS($A$1:A176,A177,$B$1:B176,"SALE",$E$1:E176,1)&gt;0,1,0),1))</f>
        <v/>
      </c>
      <c r="F177">
        <f>IF(E177=1,IF(B177="RECEIPT",Transactions!E177,IF(AND(B177="RETURN",LOWER(TRIM(Transactions!H177))="resellable"),Transactions!E177,0)),0)</f>
        <v/>
      </c>
      <c r="G177">
        <f>IF(F177&gt;0,IF(B177="RECEIPT",Transactions!F177,IF(_xlfn.MAXIFS($H$2:H177,$A$2:A177,A177)&gt;0,INDEX(Transactions!$F:$F,_xlfn.MAXIFS($H$2:H177,$A$2:A177,A177)),W177)),0)</f>
        <v/>
      </c>
      <c r="H177">
        <f>IF(AND(E177=1,B177="RECEIPT"),ROW(),0)</f>
        <v/>
      </c>
      <c r="I177">
        <f>IF(E177=1,IF(OR(B177="SALE",B177="WRITEOFF"),Transactions!E177,0),0)</f>
        <v/>
      </c>
      <c r="J177">
        <f>SUMIFS($F$1:F176,$A$1:A176,A177)</f>
        <v/>
      </c>
      <c r="K177">
        <f>SUMIFS($I$1:I176,$A$1:A176,A177)</f>
        <v/>
      </c>
      <c r="L177">
        <f>IFERROR(VLOOKUP(A177,Opening!$A:$C,3,0),0)</f>
        <v/>
      </c>
      <c r="M177">
        <f>IF(I177=0,0,MAX(0,MIN(INDEX(Month!H$2:H$13,MATCH($A177,Month!$A$2:$A$13,0))-K177,I177)))</f>
        <v/>
      </c>
      <c r="N177">
        <f>IF(I177=0,0,MAX(0,MIN(INDEX(Month!I$2:I$13,MATCH($A177,Month!$A$2:$A$13,0))-K177,I177)))</f>
        <v/>
      </c>
      <c r="O177">
        <f>IF(I177=0,0,MAX(0,MIN(INDEX(Month!J$2:J$13,MATCH($A177,Month!$A$2:$A$13,0))-K177,I177)))</f>
        <v/>
      </c>
      <c r="P177">
        <f>IF(I177=0,0,(MIN(MAX(K177,0),L177)*W177+SUMPRODUCT((Calc!$A$2:$A$1001=A177)*Calc!$G$2:$G$1001*(((K177-(L177+Calc!$J$2:$J$1001))&gt;0)*((K177-(L177+Calc!$J$2:$J$1001))&lt;Calc!$F$2:$F$1001)*(K177-(L177+Calc!$J$2:$J$1001))+((K177-(L177+Calc!$J$2:$J$1001))&gt;=Calc!$F$2:$F$1001)*Calc!$F$2:$F$1001))))</f>
        <v/>
      </c>
      <c r="Q177">
        <f>IF(I177=0,0,(MIN(MAX((K177+M177),0),L177)*W177+SUMPRODUCT((Calc!$A$2:$A$1001=A177)*Calc!$G$2:$G$1001*((((K177+M177)-(L177+Calc!$J$2:$J$1001))&gt;0)*(((K177+M177)-(L177+Calc!$J$2:$J$1001))&lt;Calc!$F$2:$F$1001)*((K177+M177)-(L177+Calc!$J$2:$J$1001))+(((K177+M177)-(L177+Calc!$J$2:$J$1001))&gt;=Calc!$F$2:$F$1001)*Calc!$F$2:$F$1001))))</f>
        <v/>
      </c>
      <c r="R177">
        <f>IF(I177=0,0,(MIN(MAX((K177+N177),0),L177)*W177+SUMPRODUCT((Calc!$A$2:$A$1001=A177)*Calc!$G$2:$G$1001*((((K177+N177)-(L177+Calc!$J$2:$J$1001))&gt;0)*(((K177+N177)-(L177+Calc!$J$2:$J$1001))&lt;Calc!$F$2:$F$1001)*((K177+N177)-(L177+Calc!$J$2:$J$1001))+(((K177+N177)-(L177+Calc!$J$2:$J$1001))&gt;=Calc!$F$2:$F$1001)*Calc!$F$2:$F$1001))))</f>
        <v/>
      </c>
      <c r="S177">
        <f>IF(I177=0,0,(MIN(MAX((K177+O177),0),L177)*W177+SUMPRODUCT((Calc!$A$2:$A$1001=A177)*Calc!$G$2:$G$1001*((((K177+O177)-(L177+Calc!$J$2:$J$1001))&gt;0)*(((K177+O177)-(L177+Calc!$J$2:$J$1001))&lt;Calc!$F$2:$F$1001)*((K177+O177)-(L177+Calc!$J$2:$J$1001))+(((K177+O177)-(L177+Calc!$J$2:$J$1001))&gt;=Calc!$F$2:$F$1001)*Calc!$F$2:$F$1001))))</f>
        <v/>
      </c>
      <c r="T177">
        <f>IF(AND(E177=1,B177="RETURN"),Transactions!E177*Transactions!G177,0)</f>
        <v/>
      </c>
      <c r="U177">
        <f>IF(AND(E177=1,B177="EXPENSE"),Transactions!J177,0)</f>
        <v/>
      </c>
      <c r="V177">
        <f>IF(AND(Transactions!A177&lt;&gt;"",E177=0),ROW(),"")</f>
        <v/>
      </c>
      <c r="W177">
        <f>IFERROR(VLOOKUP(A177,Opening!$A:$D,4,0),0)</f>
        <v/>
      </c>
    </row>
    <row r="178">
      <c r="A178">
        <f>IF(Transactions!D178="","",UPPER(TRIM(Transactions!D178)))</f>
        <v/>
      </c>
      <c r="B178">
        <f>IF(Transactions!C178="","",UPPER(TRIM(Transactions!C178)))</f>
        <v/>
      </c>
      <c r="C178">
        <f>IF(Transactions!B178="",0,YEAR(Transactions!B178)*100+MONTH(Transactions!B178))</f>
        <v/>
      </c>
      <c r="D178">
        <f>IF(Transactions!A178="",1,IF(COUNTIF(Transactions!$A$1:A177,Transactions!A178)&gt;0,1,0))</f>
        <v/>
      </c>
      <c r="E178">
        <f>IF(D178=1,0,IF(B178="RETURN",IF(COUNTIFS($A$1:A177,A178,$B$1:B177,"SALE",$E$1:E177,1)&gt;0,1,0),1))</f>
        <v/>
      </c>
      <c r="F178">
        <f>IF(E178=1,IF(B178="RECEIPT",Transactions!E178,IF(AND(B178="RETURN",LOWER(TRIM(Transactions!H178))="resellable"),Transactions!E178,0)),0)</f>
        <v/>
      </c>
      <c r="G178">
        <f>IF(F178&gt;0,IF(B178="RECEIPT",Transactions!F178,IF(_xlfn.MAXIFS($H$2:H178,$A$2:A178,A178)&gt;0,INDEX(Transactions!$F:$F,_xlfn.MAXIFS($H$2:H178,$A$2:A178,A178)),W178)),0)</f>
        <v/>
      </c>
      <c r="H178">
        <f>IF(AND(E178=1,B178="RECEIPT"),ROW(),0)</f>
        <v/>
      </c>
      <c r="I178">
        <f>IF(E178=1,IF(OR(B178="SALE",B178="WRITEOFF"),Transactions!E178,0),0)</f>
        <v/>
      </c>
      <c r="J178">
        <f>SUMIFS($F$1:F177,$A$1:A177,A178)</f>
        <v/>
      </c>
      <c r="K178">
        <f>SUMIFS($I$1:I177,$A$1:A177,A178)</f>
        <v/>
      </c>
      <c r="L178">
        <f>IFERROR(VLOOKUP(A178,Opening!$A:$C,3,0),0)</f>
        <v/>
      </c>
      <c r="M178">
        <f>IF(I178=0,0,MAX(0,MIN(INDEX(Month!H$2:H$13,MATCH($A178,Month!$A$2:$A$13,0))-K178,I178)))</f>
        <v/>
      </c>
      <c r="N178">
        <f>IF(I178=0,0,MAX(0,MIN(INDEX(Month!I$2:I$13,MATCH($A178,Month!$A$2:$A$13,0))-K178,I178)))</f>
        <v/>
      </c>
      <c r="O178">
        <f>IF(I178=0,0,MAX(0,MIN(INDEX(Month!J$2:J$13,MATCH($A178,Month!$A$2:$A$13,0))-K178,I178)))</f>
        <v/>
      </c>
      <c r="P178">
        <f>IF(I178=0,0,(MIN(MAX(K178,0),L178)*W178+SUMPRODUCT((Calc!$A$2:$A$1001=A178)*Calc!$G$2:$G$1001*(((K178-(L178+Calc!$J$2:$J$1001))&gt;0)*((K178-(L178+Calc!$J$2:$J$1001))&lt;Calc!$F$2:$F$1001)*(K178-(L178+Calc!$J$2:$J$1001))+((K178-(L178+Calc!$J$2:$J$1001))&gt;=Calc!$F$2:$F$1001)*Calc!$F$2:$F$1001))))</f>
        <v/>
      </c>
      <c r="Q178">
        <f>IF(I178=0,0,(MIN(MAX((K178+M178),0),L178)*W178+SUMPRODUCT((Calc!$A$2:$A$1001=A178)*Calc!$G$2:$G$1001*((((K178+M178)-(L178+Calc!$J$2:$J$1001))&gt;0)*(((K178+M178)-(L178+Calc!$J$2:$J$1001))&lt;Calc!$F$2:$F$1001)*((K178+M178)-(L178+Calc!$J$2:$J$1001))+(((K178+M178)-(L178+Calc!$J$2:$J$1001))&gt;=Calc!$F$2:$F$1001)*Calc!$F$2:$F$1001))))</f>
        <v/>
      </c>
      <c r="R178">
        <f>IF(I178=0,0,(MIN(MAX((K178+N178),0),L178)*W178+SUMPRODUCT((Calc!$A$2:$A$1001=A178)*Calc!$G$2:$G$1001*((((K178+N178)-(L178+Calc!$J$2:$J$1001))&gt;0)*(((K178+N178)-(L178+Calc!$J$2:$J$1001))&lt;Calc!$F$2:$F$1001)*((K178+N178)-(L178+Calc!$J$2:$J$1001))+(((K178+N178)-(L178+Calc!$J$2:$J$1001))&gt;=Calc!$F$2:$F$1001)*Calc!$F$2:$F$1001))))</f>
        <v/>
      </c>
      <c r="S178">
        <f>IF(I178=0,0,(MIN(MAX((K178+O178),0),L178)*W178+SUMPRODUCT((Calc!$A$2:$A$1001=A178)*Calc!$G$2:$G$1001*((((K178+O178)-(L178+Calc!$J$2:$J$1001))&gt;0)*(((K178+O178)-(L178+Calc!$J$2:$J$1001))&lt;Calc!$F$2:$F$1001)*((K178+O178)-(L178+Calc!$J$2:$J$1001))+(((K178+O178)-(L178+Calc!$J$2:$J$1001))&gt;=Calc!$F$2:$F$1001)*Calc!$F$2:$F$1001))))</f>
        <v/>
      </c>
      <c r="T178">
        <f>IF(AND(E178=1,B178="RETURN"),Transactions!E178*Transactions!G178,0)</f>
        <v/>
      </c>
      <c r="U178">
        <f>IF(AND(E178=1,B178="EXPENSE"),Transactions!J178,0)</f>
        <v/>
      </c>
      <c r="V178">
        <f>IF(AND(Transactions!A178&lt;&gt;"",E178=0),ROW(),"")</f>
        <v/>
      </c>
      <c r="W178">
        <f>IFERROR(VLOOKUP(A178,Opening!$A:$D,4,0),0)</f>
        <v/>
      </c>
    </row>
    <row r="179">
      <c r="A179">
        <f>IF(Transactions!D179="","",UPPER(TRIM(Transactions!D179)))</f>
        <v/>
      </c>
      <c r="B179">
        <f>IF(Transactions!C179="","",UPPER(TRIM(Transactions!C179)))</f>
        <v/>
      </c>
      <c r="C179">
        <f>IF(Transactions!B179="",0,YEAR(Transactions!B179)*100+MONTH(Transactions!B179))</f>
        <v/>
      </c>
      <c r="D179">
        <f>IF(Transactions!A179="",1,IF(COUNTIF(Transactions!$A$1:A178,Transactions!A179)&gt;0,1,0))</f>
        <v/>
      </c>
      <c r="E179">
        <f>IF(D179=1,0,IF(B179="RETURN",IF(COUNTIFS($A$1:A178,A179,$B$1:B178,"SALE",$E$1:E178,1)&gt;0,1,0),1))</f>
        <v/>
      </c>
      <c r="F179">
        <f>IF(E179=1,IF(B179="RECEIPT",Transactions!E179,IF(AND(B179="RETURN",LOWER(TRIM(Transactions!H179))="resellable"),Transactions!E179,0)),0)</f>
        <v/>
      </c>
      <c r="G179">
        <f>IF(F179&gt;0,IF(B179="RECEIPT",Transactions!F179,IF(_xlfn.MAXIFS($H$2:H179,$A$2:A179,A179)&gt;0,INDEX(Transactions!$F:$F,_xlfn.MAXIFS($H$2:H179,$A$2:A179,A179)),W179)),0)</f>
        <v/>
      </c>
      <c r="H179">
        <f>IF(AND(E179=1,B179="RECEIPT"),ROW(),0)</f>
        <v/>
      </c>
      <c r="I179">
        <f>IF(E179=1,IF(OR(B179="SALE",B179="WRITEOFF"),Transactions!E179,0),0)</f>
        <v/>
      </c>
      <c r="J179">
        <f>SUMIFS($F$1:F178,$A$1:A178,A179)</f>
        <v/>
      </c>
      <c r="K179">
        <f>SUMIFS($I$1:I178,$A$1:A178,A179)</f>
        <v/>
      </c>
      <c r="L179">
        <f>IFERROR(VLOOKUP(A179,Opening!$A:$C,3,0),0)</f>
        <v/>
      </c>
      <c r="M179">
        <f>IF(I179=0,0,MAX(0,MIN(INDEX(Month!H$2:H$13,MATCH($A179,Month!$A$2:$A$13,0))-K179,I179)))</f>
        <v/>
      </c>
      <c r="N179">
        <f>IF(I179=0,0,MAX(0,MIN(INDEX(Month!I$2:I$13,MATCH($A179,Month!$A$2:$A$13,0))-K179,I179)))</f>
        <v/>
      </c>
      <c r="O179">
        <f>IF(I179=0,0,MAX(0,MIN(INDEX(Month!J$2:J$13,MATCH($A179,Month!$A$2:$A$13,0))-K179,I179)))</f>
        <v/>
      </c>
      <c r="P179">
        <f>IF(I179=0,0,(MIN(MAX(K179,0),L179)*W179+SUMPRODUCT((Calc!$A$2:$A$1001=A179)*Calc!$G$2:$G$1001*(((K179-(L179+Calc!$J$2:$J$1001))&gt;0)*((K179-(L179+Calc!$J$2:$J$1001))&lt;Calc!$F$2:$F$1001)*(K179-(L179+Calc!$J$2:$J$1001))+((K179-(L179+Calc!$J$2:$J$1001))&gt;=Calc!$F$2:$F$1001)*Calc!$F$2:$F$1001))))</f>
        <v/>
      </c>
      <c r="Q179">
        <f>IF(I179=0,0,(MIN(MAX((K179+M179),0),L179)*W179+SUMPRODUCT((Calc!$A$2:$A$1001=A179)*Calc!$G$2:$G$1001*((((K179+M179)-(L179+Calc!$J$2:$J$1001))&gt;0)*(((K179+M179)-(L179+Calc!$J$2:$J$1001))&lt;Calc!$F$2:$F$1001)*((K179+M179)-(L179+Calc!$J$2:$J$1001))+(((K179+M179)-(L179+Calc!$J$2:$J$1001))&gt;=Calc!$F$2:$F$1001)*Calc!$F$2:$F$1001))))</f>
        <v/>
      </c>
      <c r="R179">
        <f>IF(I179=0,0,(MIN(MAX((K179+N179),0),L179)*W179+SUMPRODUCT((Calc!$A$2:$A$1001=A179)*Calc!$G$2:$G$1001*((((K179+N179)-(L179+Calc!$J$2:$J$1001))&gt;0)*(((K179+N179)-(L179+Calc!$J$2:$J$1001))&lt;Calc!$F$2:$F$1001)*((K179+N179)-(L179+Calc!$J$2:$J$1001))+(((K179+N179)-(L179+Calc!$J$2:$J$1001))&gt;=Calc!$F$2:$F$1001)*Calc!$F$2:$F$1001))))</f>
        <v/>
      </c>
      <c r="S179">
        <f>IF(I179=0,0,(MIN(MAX((K179+O179),0),L179)*W179+SUMPRODUCT((Calc!$A$2:$A$1001=A179)*Calc!$G$2:$G$1001*((((K179+O179)-(L179+Calc!$J$2:$J$1001))&gt;0)*(((K179+O179)-(L179+Calc!$J$2:$J$1001))&lt;Calc!$F$2:$F$1001)*((K179+O179)-(L179+Calc!$J$2:$J$1001))+(((K179+O179)-(L179+Calc!$J$2:$J$1001))&gt;=Calc!$F$2:$F$1001)*Calc!$F$2:$F$1001))))</f>
        <v/>
      </c>
      <c r="T179">
        <f>IF(AND(E179=1,B179="RETURN"),Transactions!E179*Transactions!G179,0)</f>
        <v/>
      </c>
      <c r="U179">
        <f>IF(AND(E179=1,B179="EXPENSE"),Transactions!J179,0)</f>
        <v/>
      </c>
      <c r="V179">
        <f>IF(AND(Transactions!A179&lt;&gt;"",E179=0),ROW(),"")</f>
        <v/>
      </c>
      <c r="W179">
        <f>IFERROR(VLOOKUP(A179,Opening!$A:$D,4,0),0)</f>
        <v/>
      </c>
    </row>
    <row r="180">
      <c r="A180">
        <f>IF(Transactions!D180="","",UPPER(TRIM(Transactions!D180)))</f>
        <v/>
      </c>
      <c r="B180">
        <f>IF(Transactions!C180="","",UPPER(TRIM(Transactions!C180)))</f>
        <v/>
      </c>
      <c r="C180">
        <f>IF(Transactions!B180="",0,YEAR(Transactions!B180)*100+MONTH(Transactions!B180))</f>
        <v/>
      </c>
      <c r="D180">
        <f>IF(Transactions!A180="",1,IF(COUNTIF(Transactions!$A$1:A179,Transactions!A180)&gt;0,1,0))</f>
        <v/>
      </c>
      <c r="E180">
        <f>IF(D180=1,0,IF(B180="RETURN",IF(COUNTIFS($A$1:A179,A180,$B$1:B179,"SALE",$E$1:E179,1)&gt;0,1,0),1))</f>
        <v/>
      </c>
      <c r="F180">
        <f>IF(E180=1,IF(B180="RECEIPT",Transactions!E180,IF(AND(B180="RETURN",LOWER(TRIM(Transactions!H180))="resellable"),Transactions!E180,0)),0)</f>
        <v/>
      </c>
      <c r="G180">
        <f>IF(F180&gt;0,IF(B180="RECEIPT",Transactions!F180,IF(_xlfn.MAXIFS($H$2:H180,$A$2:A180,A180)&gt;0,INDEX(Transactions!$F:$F,_xlfn.MAXIFS($H$2:H180,$A$2:A180,A180)),W180)),0)</f>
        <v/>
      </c>
      <c r="H180">
        <f>IF(AND(E180=1,B180="RECEIPT"),ROW(),0)</f>
        <v/>
      </c>
      <c r="I180">
        <f>IF(E180=1,IF(OR(B180="SALE",B180="WRITEOFF"),Transactions!E180,0),0)</f>
        <v/>
      </c>
      <c r="J180">
        <f>SUMIFS($F$1:F179,$A$1:A179,A180)</f>
        <v/>
      </c>
      <c r="K180">
        <f>SUMIFS($I$1:I179,$A$1:A179,A180)</f>
        <v/>
      </c>
      <c r="L180">
        <f>IFERROR(VLOOKUP(A180,Opening!$A:$C,3,0),0)</f>
        <v/>
      </c>
      <c r="M180">
        <f>IF(I180=0,0,MAX(0,MIN(INDEX(Month!H$2:H$13,MATCH($A180,Month!$A$2:$A$13,0))-K180,I180)))</f>
        <v/>
      </c>
      <c r="N180">
        <f>IF(I180=0,0,MAX(0,MIN(INDEX(Month!I$2:I$13,MATCH($A180,Month!$A$2:$A$13,0))-K180,I180)))</f>
        <v/>
      </c>
      <c r="O180">
        <f>IF(I180=0,0,MAX(0,MIN(INDEX(Month!J$2:J$13,MATCH($A180,Month!$A$2:$A$13,0))-K180,I180)))</f>
        <v/>
      </c>
      <c r="P180">
        <f>IF(I180=0,0,(MIN(MAX(K180,0),L180)*W180+SUMPRODUCT((Calc!$A$2:$A$1001=A180)*Calc!$G$2:$G$1001*(((K180-(L180+Calc!$J$2:$J$1001))&gt;0)*((K180-(L180+Calc!$J$2:$J$1001))&lt;Calc!$F$2:$F$1001)*(K180-(L180+Calc!$J$2:$J$1001))+((K180-(L180+Calc!$J$2:$J$1001))&gt;=Calc!$F$2:$F$1001)*Calc!$F$2:$F$1001))))</f>
        <v/>
      </c>
      <c r="Q180">
        <f>IF(I180=0,0,(MIN(MAX((K180+M180),0),L180)*W180+SUMPRODUCT((Calc!$A$2:$A$1001=A180)*Calc!$G$2:$G$1001*((((K180+M180)-(L180+Calc!$J$2:$J$1001))&gt;0)*(((K180+M180)-(L180+Calc!$J$2:$J$1001))&lt;Calc!$F$2:$F$1001)*((K180+M180)-(L180+Calc!$J$2:$J$1001))+(((K180+M180)-(L180+Calc!$J$2:$J$1001))&gt;=Calc!$F$2:$F$1001)*Calc!$F$2:$F$1001))))</f>
        <v/>
      </c>
      <c r="R180">
        <f>IF(I180=0,0,(MIN(MAX((K180+N180),0),L180)*W180+SUMPRODUCT((Calc!$A$2:$A$1001=A180)*Calc!$G$2:$G$1001*((((K180+N180)-(L180+Calc!$J$2:$J$1001))&gt;0)*(((K180+N180)-(L180+Calc!$J$2:$J$1001))&lt;Calc!$F$2:$F$1001)*((K180+N180)-(L180+Calc!$J$2:$J$1001))+(((K180+N180)-(L180+Calc!$J$2:$J$1001))&gt;=Calc!$F$2:$F$1001)*Calc!$F$2:$F$1001))))</f>
        <v/>
      </c>
      <c r="S180">
        <f>IF(I180=0,0,(MIN(MAX((K180+O180),0),L180)*W180+SUMPRODUCT((Calc!$A$2:$A$1001=A180)*Calc!$G$2:$G$1001*((((K180+O180)-(L180+Calc!$J$2:$J$1001))&gt;0)*(((K180+O180)-(L180+Calc!$J$2:$J$1001))&lt;Calc!$F$2:$F$1001)*((K180+O180)-(L180+Calc!$J$2:$J$1001))+(((K180+O180)-(L180+Calc!$J$2:$J$1001))&gt;=Calc!$F$2:$F$1001)*Calc!$F$2:$F$1001))))</f>
        <v/>
      </c>
      <c r="T180">
        <f>IF(AND(E180=1,B180="RETURN"),Transactions!E180*Transactions!G180,0)</f>
        <v/>
      </c>
      <c r="U180">
        <f>IF(AND(E180=1,B180="EXPENSE"),Transactions!J180,0)</f>
        <v/>
      </c>
      <c r="V180">
        <f>IF(AND(Transactions!A180&lt;&gt;"",E180=0),ROW(),"")</f>
        <v/>
      </c>
      <c r="W180">
        <f>IFERROR(VLOOKUP(A180,Opening!$A:$D,4,0),0)</f>
        <v/>
      </c>
    </row>
    <row r="181">
      <c r="A181">
        <f>IF(Transactions!D181="","",UPPER(TRIM(Transactions!D181)))</f>
        <v/>
      </c>
      <c r="B181">
        <f>IF(Transactions!C181="","",UPPER(TRIM(Transactions!C181)))</f>
        <v/>
      </c>
      <c r="C181">
        <f>IF(Transactions!B181="",0,YEAR(Transactions!B181)*100+MONTH(Transactions!B181))</f>
        <v/>
      </c>
      <c r="D181">
        <f>IF(Transactions!A181="",1,IF(COUNTIF(Transactions!$A$1:A180,Transactions!A181)&gt;0,1,0))</f>
        <v/>
      </c>
      <c r="E181">
        <f>IF(D181=1,0,IF(B181="RETURN",IF(COUNTIFS($A$1:A180,A181,$B$1:B180,"SALE",$E$1:E180,1)&gt;0,1,0),1))</f>
        <v/>
      </c>
      <c r="F181">
        <f>IF(E181=1,IF(B181="RECEIPT",Transactions!E181,IF(AND(B181="RETURN",LOWER(TRIM(Transactions!H181))="resellable"),Transactions!E181,0)),0)</f>
        <v/>
      </c>
      <c r="G181">
        <f>IF(F181&gt;0,IF(B181="RECEIPT",Transactions!F181,IF(_xlfn.MAXIFS($H$2:H181,$A$2:A181,A181)&gt;0,INDEX(Transactions!$F:$F,_xlfn.MAXIFS($H$2:H181,$A$2:A181,A181)),W181)),0)</f>
        <v/>
      </c>
      <c r="H181">
        <f>IF(AND(E181=1,B181="RECEIPT"),ROW(),0)</f>
        <v/>
      </c>
      <c r="I181">
        <f>IF(E181=1,IF(OR(B181="SALE",B181="WRITEOFF"),Transactions!E181,0),0)</f>
        <v/>
      </c>
      <c r="J181">
        <f>SUMIFS($F$1:F180,$A$1:A180,A181)</f>
        <v/>
      </c>
      <c r="K181">
        <f>SUMIFS($I$1:I180,$A$1:A180,A181)</f>
        <v/>
      </c>
      <c r="L181">
        <f>IFERROR(VLOOKUP(A181,Opening!$A:$C,3,0),0)</f>
        <v/>
      </c>
      <c r="M181">
        <f>IF(I181=0,0,MAX(0,MIN(INDEX(Month!H$2:H$13,MATCH($A181,Month!$A$2:$A$13,0))-K181,I181)))</f>
        <v/>
      </c>
      <c r="N181">
        <f>IF(I181=0,0,MAX(0,MIN(INDEX(Month!I$2:I$13,MATCH($A181,Month!$A$2:$A$13,0))-K181,I181)))</f>
        <v/>
      </c>
      <c r="O181">
        <f>IF(I181=0,0,MAX(0,MIN(INDEX(Month!J$2:J$13,MATCH($A181,Month!$A$2:$A$13,0))-K181,I181)))</f>
        <v/>
      </c>
      <c r="P181">
        <f>IF(I181=0,0,(MIN(MAX(K181,0),L181)*W181+SUMPRODUCT((Calc!$A$2:$A$1001=A181)*Calc!$G$2:$G$1001*(((K181-(L181+Calc!$J$2:$J$1001))&gt;0)*((K181-(L181+Calc!$J$2:$J$1001))&lt;Calc!$F$2:$F$1001)*(K181-(L181+Calc!$J$2:$J$1001))+((K181-(L181+Calc!$J$2:$J$1001))&gt;=Calc!$F$2:$F$1001)*Calc!$F$2:$F$1001))))</f>
        <v/>
      </c>
      <c r="Q181">
        <f>IF(I181=0,0,(MIN(MAX((K181+M181),0),L181)*W181+SUMPRODUCT((Calc!$A$2:$A$1001=A181)*Calc!$G$2:$G$1001*((((K181+M181)-(L181+Calc!$J$2:$J$1001))&gt;0)*(((K181+M181)-(L181+Calc!$J$2:$J$1001))&lt;Calc!$F$2:$F$1001)*((K181+M181)-(L181+Calc!$J$2:$J$1001))+(((K181+M181)-(L181+Calc!$J$2:$J$1001))&gt;=Calc!$F$2:$F$1001)*Calc!$F$2:$F$1001))))</f>
        <v/>
      </c>
      <c r="R181">
        <f>IF(I181=0,0,(MIN(MAX((K181+N181),0),L181)*W181+SUMPRODUCT((Calc!$A$2:$A$1001=A181)*Calc!$G$2:$G$1001*((((K181+N181)-(L181+Calc!$J$2:$J$1001))&gt;0)*(((K181+N181)-(L181+Calc!$J$2:$J$1001))&lt;Calc!$F$2:$F$1001)*((K181+N181)-(L181+Calc!$J$2:$J$1001))+(((K181+N181)-(L181+Calc!$J$2:$J$1001))&gt;=Calc!$F$2:$F$1001)*Calc!$F$2:$F$1001))))</f>
        <v/>
      </c>
      <c r="S181">
        <f>IF(I181=0,0,(MIN(MAX((K181+O181),0),L181)*W181+SUMPRODUCT((Calc!$A$2:$A$1001=A181)*Calc!$G$2:$G$1001*((((K181+O181)-(L181+Calc!$J$2:$J$1001))&gt;0)*(((K181+O181)-(L181+Calc!$J$2:$J$1001))&lt;Calc!$F$2:$F$1001)*((K181+O181)-(L181+Calc!$J$2:$J$1001))+(((K181+O181)-(L181+Calc!$J$2:$J$1001))&gt;=Calc!$F$2:$F$1001)*Calc!$F$2:$F$1001))))</f>
        <v/>
      </c>
      <c r="T181">
        <f>IF(AND(E181=1,B181="RETURN"),Transactions!E181*Transactions!G181,0)</f>
        <v/>
      </c>
      <c r="U181">
        <f>IF(AND(E181=1,B181="EXPENSE"),Transactions!J181,0)</f>
        <v/>
      </c>
      <c r="V181">
        <f>IF(AND(Transactions!A181&lt;&gt;"",E181=0),ROW(),"")</f>
        <v/>
      </c>
      <c r="W181">
        <f>IFERROR(VLOOKUP(A181,Opening!$A:$D,4,0),0)</f>
        <v/>
      </c>
    </row>
    <row r="182">
      <c r="A182">
        <f>IF(Transactions!D182="","",UPPER(TRIM(Transactions!D182)))</f>
        <v/>
      </c>
      <c r="B182">
        <f>IF(Transactions!C182="","",UPPER(TRIM(Transactions!C182)))</f>
        <v/>
      </c>
      <c r="C182">
        <f>IF(Transactions!B182="",0,YEAR(Transactions!B182)*100+MONTH(Transactions!B182))</f>
        <v/>
      </c>
      <c r="D182">
        <f>IF(Transactions!A182="",1,IF(COUNTIF(Transactions!$A$1:A181,Transactions!A182)&gt;0,1,0))</f>
        <v/>
      </c>
      <c r="E182">
        <f>IF(D182=1,0,IF(B182="RETURN",IF(COUNTIFS($A$1:A181,A182,$B$1:B181,"SALE",$E$1:E181,1)&gt;0,1,0),1))</f>
        <v/>
      </c>
      <c r="F182">
        <f>IF(E182=1,IF(B182="RECEIPT",Transactions!E182,IF(AND(B182="RETURN",LOWER(TRIM(Transactions!H182))="resellable"),Transactions!E182,0)),0)</f>
        <v/>
      </c>
      <c r="G182">
        <f>IF(F182&gt;0,IF(B182="RECEIPT",Transactions!F182,IF(_xlfn.MAXIFS($H$2:H182,$A$2:A182,A182)&gt;0,INDEX(Transactions!$F:$F,_xlfn.MAXIFS($H$2:H182,$A$2:A182,A182)),W182)),0)</f>
        <v/>
      </c>
      <c r="H182">
        <f>IF(AND(E182=1,B182="RECEIPT"),ROW(),0)</f>
        <v/>
      </c>
      <c r="I182">
        <f>IF(E182=1,IF(OR(B182="SALE",B182="WRITEOFF"),Transactions!E182,0),0)</f>
        <v/>
      </c>
      <c r="J182">
        <f>SUMIFS($F$1:F181,$A$1:A181,A182)</f>
        <v/>
      </c>
      <c r="K182">
        <f>SUMIFS($I$1:I181,$A$1:A181,A182)</f>
        <v/>
      </c>
      <c r="L182">
        <f>IFERROR(VLOOKUP(A182,Opening!$A:$C,3,0),0)</f>
        <v/>
      </c>
      <c r="M182">
        <f>IF(I182=0,0,MAX(0,MIN(INDEX(Month!H$2:H$13,MATCH($A182,Month!$A$2:$A$13,0))-K182,I182)))</f>
        <v/>
      </c>
      <c r="N182">
        <f>IF(I182=0,0,MAX(0,MIN(INDEX(Month!I$2:I$13,MATCH($A182,Month!$A$2:$A$13,0))-K182,I182)))</f>
        <v/>
      </c>
      <c r="O182">
        <f>IF(I182=0,0,MAX(0,MIN(INDEX(Month!J$2:J$13,MATCH($A182,Month!$A$2:$A$13,0))-K182,I182)))</f>
        <v/>
      </c>
      <c r="P182">
        <f>IF(I182=0,0,(MIN(MAX(K182,0),L182)*W182+SUMPRODUCT((Calc!$A$2:$A$1001=A182)*Calc!$G$2:$G$1001*(((K182-(L182+Calc!$J$2:$J$1001))&gt;0)*((K182-(L182+Calc!$J$2:$J$1001))&lt;Calc!$F$2:$F$1001)*(K182-(L182+Calc!$J$2:$J$1001))+((K182-(L182+Calc!$J$2:$J$1001))&gt;=Calc!$F$2:$F$1001)*Calc!$F$2:$F$1001))))</f>
        <v/>
      </c>
      <c r="Q182">
        <f>IF(I182=0,0,(MIN(MAX((K182+M182),0),L182)*W182+SUMPRODUCT((Calc!$A$2:$A$1001=A182)*Calc!$G$2:$G$1001*((((K182+M182)-(L182+Calc!$J$2:$J$1001))&gt;0)*(((K182+M182)-(L182+Calc!$J$2:$J$1001))&lt;Calc!$F$2:$F$1001)*((K182+M182)-(L182+Calc!$J$2:$J$1001))+(((K182+M182)-(L182+Calc!$J$2:$J$1001))&gt;=Calc!$F$2:$F$1001)*Calc!$F$2:$F$1001))))</f>
        <v/>
      </c>
      <c r="R182">
        <f>IF(I182=0,0,(MIN(MAX((K182+N182),0),L182)*W182+SUMPRODUCT((Calc!$A$2:$A$1001=A182)*Calc!$G$2:$G$1001*((((K182+N182)-(L182+Calc!$J$2:$J$1001))&gt;0)*(((K182+N182)-(L182+Calc!$J$2:$J$1001))&lt;Calc!$F$2:$F$1001)*((K182+N182)-(L182+Calc!$J$2:$J$1001))+(((K182+N182)-(L182+Calc!$J$2:$J$1001))&gt;=Calc!$F$2:$F$1001)*Calc!$F$2:$F$1001))))</f>
        <v/>
      </c>
      <c r="S182">
        <f>IF(I182=0,0,(MIN(MAX((K182+O182),0),L182)*W182+SUMPRODUCT((Calc!$A$2:$A$1001=A182)*Calc!$G$2:$G$1001*((((K182+O182)-(L182+Calc!$J$2:$J$1001))&gt;0)*(((K182+O182)-(L182+Calc!$J$2:$J$1001))&lt;Calc!$F$2:$F$1001)*((K182+O182)-(L182+Calc!$J$2:$J$1001))+(((K182+O182)-(L182+Calc!$J$2:$J$1001))&gt;=Calc!$F$2:$F$1001)*Calc!$F$2:$F$1001))))</f>
        <v/>
      </c>
      <c r="T182">
        <f>IF(AND(E182=1,B182="RETURN"),Transactions!E182*Transactions!G182,0)</f>
        <v/>
      </c>
      <c r="U182">
        <f>IF(AND(E182=1,B182="EXPENSE"),Transactions!J182,0)</f>
        <v/>
      </c>
      <c r="V182">
        <f>IF(AND(Transactions!A182&lt;&gt;"",E182=0),ROW(),"")</f>
        <v/>
      </c>
      <c r="W182">
        <f>IFERROR(VLOOKUP(A182,Opening!$A:$D,4,0),0)</f>
        <v/>
      </c>
    </row>
    <row r="183">
      <c r="A183">
        <f>IF(Transactions!D183="","",UPPER(TRIM(Transactions!D183)))</f>
        <v/>
      </c>
      <c r="B183">
        <f>IF(Transactions!C183="","",UPPER(TRIM(Transactions!C183)))</f>
        <v/>
      </c>
      <c r="C183">
        <f>IF(Transactions!B183="",0,YEAR(Transactions!B183)*100+MONTH(Transactions!B183))</f>
        <v/>
      </c>
      <c r="D183">
        <f>IF(Transactions!A183="",1,IF(COUNTIF(Transactions!$A$1:A182,Transactions!A183)&gt;0,1,0))</f>
        <v/>
      </c>
      <c r="E183">
        <f>IF(D183=1,0,IF(B183="RETURN",IF(COUNTIFS($A$1:A182,A183,$B$1:B182,"SALE",$E$1:E182,1)&gt;0,1,0),1))</f>
        <v/>
      </c>
      <c r="F183">
        <f>IF(E183=1,IF(B183="RECEIPT",Transactions!E183,IF(AND(B183="RETURN",LOWER(TRIM(Transactions!H183))="resellable"),Transactions!E183,0)),0)</f>
        <v/>
      </c>
      <c r="G183">
        <f>IF(F183&gt;0,IF(B183="RECEIPT",Transactions!F183,IF(_xlfn.MAXIFS($H$2:H183,$A$2:A183,A183)&gt;0,INDEX(Transactions!$F:$F,_xlfn.MAXIFS($H$2:H183,$A$2:A183,A183)),W183)),0)</f>
        <v/>
      </c>
      <c r="H183">
        <f>IF(AND(E183=1,B183="RECEIPT"),ROW(),0)</f>
        <v/>
      </c>
      <c r="I183">
        <f>IF(E183=1,IF(OR(B183="SALE",B183="WRITEOFF"),Transactions!E183,0),0)</f>
        <v/>
      </c>
      <c r="J183">
        <f>SUMIFS($F$1:F182,$A$1:A182,A183)</f>
        <v/>
      </c>
      <c r="K183">
        <f>SUMIFS($I$1:I182,$A$1:A182,A183)</f>
        <v/>
      </c>
      <c r="L183">
        <f>IFERROR(VLOOKUP(A183,Opening!$A:$C,3,0),0)</f>
        <v/>
      </c>
      <c r="M183">
        <f>IF(I183=0,0,MAX(0,MIN(INDEX(Month!H$2:H$13,MATCH($A183,Month!$A$2:$A$13,0))-K183,I183)))</f>
        <v/>
      </c>
      <c r="N183">
        <f>IF(I183=0,0,MAX(0,MIN(INDEX(Month!I$2:I$13,MATCH($A183,Month!$A$2:$A$13,0))-K183,I183)))</f>
        <v/>
      </c>
      <c r="O183">
        <f>IF(I183=0,0,MAX(0,MIN(INDEX(Month!J$2:J$13,MATCH($A183,Month!$A$2:$A$13,0))-K183,I183)))</f>
        <v/>
      </c>
      <c r="P183">
        <f>IF(I183=0,0,(MIN(MAX(K183,0),L183)*W183+SUMPRODUCT((Calc!$A$2:$A$1001=A183)*Calc!$G$2:$G$1001*(((K183-(L183+Calc!$J$2:$J$1001))&gt;0)*((K183-(L183+Calc!$J$2:$J$1001))&lt;Calc!$F$2:$F$1001)*(K183-(L183+Calc!$J$2:$J$1001))+((K183-(L183+Calc!$J$2:$J$1001))&gt;=Calc!$F$2:$F$1001)*Calc!$F$2:$F$1001))))</f>
        <v/>
      </c>
      <c r="Q183">
        <f>IF(I183=0,0,(MIN(MAX((K183+M183),0),L183)*W183+SUMPRODUCT((Calc!$A$2:$A$1001=A183)*Calc!$G$2:$G$1001*((((K183+M183)-(L183+Calc!$J$2:$J$1001))&gt;0)*(((K183+M183)-(L183+Calc!$J$2:$J$1001))&lt;Calc!$F$2:$F$1001)*((K183+M183)-(L183+Calc!$J$2:$J$1001))+(((K183+M183)-(L183+Calc!$J$2:$J$1001))&gt;=Calc!$F$2:$F$1001)*Calc!$F$2:$F$1001))))</f>
        <v/>
      </c>
      <c r="R183">
        <f>IF(I183=0,0,(MIN(MAX((K183+N183),0),L183)*W183+SUMPRODUCT((Calc!$A$2:$A$1001=A183)*Calc!$G$2:$G$1001*((((K183+N183)-(L183+Calc!$J$2:$J$1001))&gt;0)*(((K183+N183)-(L183+Calc!$J$2:$J$1001))&lt;Calc!$F$2:$F$1001)*((K183+N183)-(L183+Calc!$J$2:$J$1001))+(((K183+N183)-(L183+Calc!$J$2:$J$1001))&gt;=Calc!$F$2:$F$1001)*Calc!$F$2:$F$1001))))</f>
        <v/>
      </c>
      <c r="S183">
        <f>IF(I183=0,0,(MIN(MAX((K183+O183),0),L183)*W183+SUMPRODUCT((Calc!$A$2:$A$1001=A183)*Calc!$G$2:$G$1001*((((K183+O183)-(L183+Calc!$J$2:$J$1001))&gt;0)*(((K183+O183)-(L183+Calc!$J$2:$J$1001))&lt;Calc!$F$2:$F$1001)*((K183+O183)-(L183+Calc!$J$2:$J$1001))+(((K183+O183)-(L183+Calc!$J$2:$J$1001))&gt;=Calc!$F$2:$F$1001)*Calc!$F$2:$F$1001))))</f>
        <v/>
      </c>
      <c r="T183">
        <f>IF(AND(E183=1,B183="RETURN"),Transactions!E183*Transactions!G183,0)</f>
        <v/>
      </c>
      <c r="U183">
        <f>IF(AND(E183=1,B183="EXPENSE"),Transactions!J183,0)</f>
        <v/>
      </c>
      <c r="V183">
        <f>IF(AND(Transactions!A183&lt;&gt;"",E183=0),ROW(),"")</f>
        <v/>
      </c>
      <c r="W183">
        <f>IFERROR(VLOOKUP(A183,Opening!$A:$D,4,0),0)</f>
        <v/>
      </c>
    </row>
    <row r="184">
      <c r="A184">
        <f>IF(Transactions!D184="","",UPPER(TRIM(Transactions!D184)))</f>
        <v/>
      </c>
      <c r="B184">
        <f>IF(Transactions!C184="","",UPPER(TRIM(Transactions!C184)))</f>
        <v/>
      </c>
      <c r="C184">
        <f>IF(Transactions!B184="",0,YEAR(Transactions!B184)*100+MONTH(Transactions!B184))</f>
        <v/>
      </c>
      <c r="D184">
        <f>IF(Transactions!A184="",1,IF(COUNTIF(Transactions!$A$1:A183,Transactions!A184)&gt;0,1,0))</f>
        <v/>
      </c>
      <c r="E184">
        <f>IF(D184=1,0,IF(B184="RETURN",IF(COUNTIFS($A$1:A183,A184,$B$1:B183,"SALE",$E$1:E183,1)&gt;0,1,0),1))</f>
        <v/>
      </c>
      <c r="F184">
        <f>IF(E184=1,IF(B184="RECEIPT",Transactions!E184,IF(AND(B184="RETURN",LOWER(TRIM(Transactions!H184))="resellable"),Transactions!E184,0)),0)</f>
        <v/>
      </c>
      <c r="G184">
        <f>IF(F184&gt;0,IF(B184="RECEIPT",Transactions!F184,IF(_xlfn.MAXIFS($H$2:H184,$A$2:A184,A184)&gt;0,INDEX(Transactions!$F:$F,_xlfn.MAXIFS($H$2:H184,$A$2:A184,A184)),W184)),0)</f>
        <v/>
      </c>
      <c r="H184">
        <f>IF(AND(E184=1,B184="RECEIPT"),ROW(),0)</f>
        <v/>
      </c>
      <c r="I184">
        <f>IF(E184=1,IF(OR(B184="SALE",B184="WRITEOFF"),Transactions!E184,0),0)</f>
        <v/>
      </c>
      <c r="J184">
        <f>SUMIFS($F$1:F183,$A$1:A183,A184)</f>
        <v/>
      </c>
      <c r="K184">
        <f>SUMIFS($I$1:I183,$A$1:A183,A184)</f>
        <v/>
      </c>
      <c r="L184">
        <f>IFERROR(VLOOKUP(A184,Opening!$A:$C,3,0),0)</f>
        <v/>
      </c>
      <c r="M184">
        <f>IF(I184=0,0,MAX(0,MIN(INDEX(Month!H$2:H$13,MATCH($A184,Month!$A$2:$A$13,0))-K184,I184)))</f>
        <v/>
      </c>
      <c r="N184">
        <f>IF(I184=0,0,MAX(0,MIN(INDEX(Month!I$2:I$13,MATCH($A184,Month!$A$2:$A$13,0))-K184,I184)))</f>
        <v/>
      </c>
      <c r="O184">
        <f>IF(I184=0,0,MAX(0,MIN(INDEX(Month!J$2:J$13,MATCH($A184,Month!$A$2:$A$13,0))-K184,I184)))</f>
        <v/>
      </c>
      <c r="P184">
        <f>IF(I184=0,0,(MIN(MAX(K184,0),L184)*W184+SUMPRODUCT((Calc!$A$2:$A$1001=A184)*Calc!$G$2:$G$1001*(((K184-(L184+Calc!$J$2:$J$1001))&gt;0)*((K184-(L184+Calc!$J$2:$J$1001))&lt;Calc!$F$2:$F$1001)*(K184-(L184+Calc!$J$2:$J$1001))+((K184-(L184+Calc!$J$2:$J$1001))&gt;=Calc!$F$2:$F$1001)*Calc!$F$2:$F$1001))))</f>
        <v/>
      </c>
      <c r="Q184">
        <f>IF(I184=0,0,(MIN(MAX((K184+M184),0),L184)*W184+SUMPRODUCT((Calc!$A$2:$A$1001=A184)*Calc!$G$2:$G$1001*((((K184+M184)-(L184+Calc!$J$2:$J$1001))&gt;0)*(((K184+M184)-(L184+Calc!$J$2:$J$1001))&lt;Calc!$F$2:$F$1001)*((K184+M184)-(L184+Calc!$J$2:$J$1001))+(((K184+M184)-(L184+Calc!$J$2:$J$1001))&gt;=Calc!$F$2:$F$1001)*Calc!$F$2:$F$1001))))</f>
        <v/>
      </c>
      <c r="R184">
        <f>IF(I184=0,0,(MIN(MAX((K184+N184),0),L184)*W184+SUMPRODUCT((Calc!$A$2:$A$1001=A184)*Calc!$G$2:$G$1001*((((K184+N184)-(L184+Calc!$J$2:$J$1001))&gt;0)*(((K184+N184)-(L184+Calc!$J$2:$J$1001))&lt;Calc!$F$2:$F$1001)*((K184+N184)-(L184+Calc!$J$2:$J$1001))+(((K184+N184)-(L184+Calc!$J$2:$J$1001))&gt;=Calc!$F$2:$F$1001)*Calc!$F$2:$F$1001))))</f>
        <v/>
      </c>
      <c r="S184">
        <f>IF(I184=0,0,(MIN(MAX((K184+O184),0),L184)*W184+SUMPRODUCT((Calc!$A$2:$A$1001=A184)*Calc!$G$2:$G$1001*((((K184+O184)-(L184+Calc!$J$2:$J$1001))&gt;0)*(((K184+O184)-(L184+Calc!$J$2:$J$1001))&lt;Calc!$F$2:$F$1001)*((K184+O184)-(L184+Calc!$J$2:$J$1001))+(((K184+O184)-(L184+Calc!$J$2:$J$1001))&gt;=Calc!$F$2:$F$1001)*Calc!$F$2:$F$1001))))</f>
        <v/>
      </c>
      <c r="T184">
        <f>IF(AND(E184=1,B184="RETURN"),Transactions!E184*Transactions!G184,0)</f>
        <v/>
      </c>
      <c r="U184">
        <f>IF(AND(E184=1,B184="EXPENSE"),Transactions!J184,0)</f>
        <v/>
      </c>
      <c r="V184">
        <f>IF(AND(Transactions!A184&lt;&gt;"",E184=0),ROW(),"")</f>
        <v/>
      </c>
      <c r="W184">
        <f>IFERROR(VLOOKUP(A184,Opening!$A:$D,4,0),0)</f>
        <v/>
      </c>
    </row>
    <row r="185">
      <c r="A185">
        <f>IF(Transactions!D185="","",UPPER(TRIM(Transactions!D185)))</f>
        <v/>
      </c>
      <c r="B185">
        <f>IF(Transactions!C185="","",UPPER(TRIM(Transactions!C185)))</f>
        <v/>
      </c>
      <c r="C185">
        <f>IF(Transactions!B185="",0,YEAR(Transactions!B185)*100+MONTH(Transactions!B185))</f>
        <v/>
      </c>
      <c r="D185">
        <f>IF(Transactions!A185="",1,IF(COUNTIF(Transactions!$A$1:A184,Transactions!A185)&gt;0,1,0))</f>
        <v/>
      </c>
      <c r="E185">
        <f>IF(D185=1,0,IF(B185="RETURN",IF(COUNTIFS($A$1:A184,A185,$B$1:B184,"SALE",$E$1:E184,1)&gt;0,1,0),1))</f>
        <v/>
      </c>
      <c r="F185">
        <f>IF(E185=1,IF(B185="RECEIPT",Transactions!E185,IF(AND(B185="RETURN",LOWER(TRIM(Transactions!H185))="resellable"),Transactions!E185,0)),0)</f>
        <v/>
      </c>
      <c r="G185">
        <f>IF(F185&gt;0,IF(B185="RECEIPT",Transactions!F185,IF(_xlfn.MAXIFS($H$2:H185,$A$2:A185,A185)&gt;0,INDEX(Transactions!$F:$F,_xlfn.MAXIFS($H$2:H185,$A$2:A185,A185)),W185)),0)</f>
        <v/>
      </c>
      <c r="H185">
        <f>IF(AND(E185=1,B185="RECEIPT"),ROW(),0)</f>
        <v/>
      </c>
      <c r="I185">
        <f>IF(E185=1,IF(OR(B185="SALE",B185="WRITEOFF"),Transactions!E185,0),0)</f>
        <v/>
      </c>
      <c r="J185">
        <f>SUMIFS($F$1:F184,$A$1:A184,A185)</f>
        <v/>
      </c>
      <c r="K185">
        <f>SUMIFS($I$1:I184,$A$1:A184,A185)</f>
        <v/>
      </c>
      <c r="L185">
        <f>IFERROR(VLOOKUP(A185,Opening!$A:$C,3,0),0)</f>
        <v/>
      </c>
      <c r="M185">
        <f>IF(I185=0,0,MAX(0,MIN(INDEX(Month!H$2:H$13,MATCH($A185,Month!$A$2:$A$13,0))-K185,I185)))</f>
        <v/>
      </c>
      <c r="N185">
        <f>IF(I185=0,0,MAX(0,MIN(INDEX(Month!I$2:I$13,MATCH($A185,Month!$A$2:$A$13,0))-K185,I185)))</f>
        <v/>
      </c>
      <c r="O185">
        <f>IF(I185=0,0,MAX(0,MIN(INDEX(Month!J$2:J$13,MATCH($A185,Month!$A$2:$A$13,0))-K185,I185)))</f>
        <v/>
      </c>
      <c r="P185">
        <f>IF(I185=0,0,(MIN(MAX(K185,0),L185)*W185+SUMPRODUCT((Calc!$A$2:$A$1001=A185)*Calc!$G$2:$G$1001*(((K185-(L185+Calc!$J$2:$J$1001))&gt;0)*((K185-(L185+Calc!$J$2:$J$1001))&lt;Calc!$F$2:$F$1001)*(K185-(L185+Calc!$J$2:$J$1001))+((K185-(L185+Calc!$J$2:$J$1001))&gt;=Calc!$F$2:$F$1001)*Calc!$F$2:$F$1001))))</f>
        <v/>
      </c>
      <c r="Q185">
        <f>IF(I185=0,0,(MIN(MAX((K185+M185),0),L185)*W185+SUMPRODUCT((Calc!$A$2:$A$1001=A185)*Calc!$G$2:$G$1001*((((K185+M185)-(L185+Calc!$J$2:$J$1001))&gt;0)*(((K185+M185)-(L185+Calc!$J$2:$J$1001))&lt;Calc!$F$2:$F$1001)*((K185+M185)-(L185+Calc!$J$2:$J$1001))+(((K185+M185)-(L185+Calc!$J$2:$J$1001))&gt;=Calc!$F$2:$F$1001)*Calc!$F$2:$F$1001))))</f>
        <v/>
      </c>
      <c r="R185">
        <f>IF(I185=0,0,(MIN(MAX((K185+N185),0),L185)*W185+SUMPRODUCT((Calc!$A$2:$A$1001=A185)*Calc!$G$2:$G$1001*((((K185+N185)-(L185+Calc!$J$2:$J$1001))&gt;0)*(((K185+N185)-(L185+Calc!$J$2:$J$1001))&lt;Calc!$F$2:$F$1001)*((K185+N185)-(L185+Calc!$J$2:$J$1001))+(((K185+N185)-(L185+Calc!$J$2:$J$1001))&gt;=Calc!$F$2:$F$1001)*Calc!$F$2:$F$1001))))</f>
        <v/>
      </c>
      <c r="S185">
        <f>IF(I185=0,0,(MIN(MAX((K185+O185),0),L185)*W185+SUMPRODUCT((Calc!$A$2:$A$1001=A185)*Calc!$G$2:$G$1001*((((K185+O185)-(L185+Calc!$J$2:$J$1001))&gt;0)*(((K185+O185)-(L185+Calc!$J$2:$J$1001))&lt;Calc!$F$2:$F$1001)*((K185+O185)-(L185+Calc!$J$2:$J$1001))+(((K185+O185)-(L185+Calc!$J$2:$J$1001))&gt;=Calc!$F$2:$F$1001)*Calc!$F$2:$F$1001))))</f>
        <v/>
      </c>
      <c r="T185">
        <f>IF(AND(E185=1,B185="RETURN"),Transactions!E185*Transactions!G185,0)</f>
        <v/>
      </c>
      <c r="U185">
        <f>IF(AND(E185=1,B185="EXPENSE"),Transactions!J185,0)</f>
        <v/>
      </c>
      <c r="V185">
        <f>IF(AND(Transactions!A185&lt;&gt;"",E185=0),ROW(),"")</f>
        <v/>
      </c>
      <c r="W185">
        <f>IFERROR(VLOOKUP(A185,Opening!$A:$D,4,0),0)</f>
        <v/>
      </c>
    </row>
    <row r="186">
      <c r="A186">
        <f>IF(Transactions!D186="","",UPPER(TRIM(Transactions!D186)))</f>
        <v/>
      </c>
      <c r="B186">
        <f>IF(Transactions!C186="","",UPPER(TRIM(Transactions!C186)))</f>
        <v/>
      </c>
      <c r="C186">
        <f>IF(Transactions!B186="",0,YEAR(Transactions!B186)*100+MONTH(Transactions!B186))</f>
        <v/>
      </c>
      <c r="D186">
        <f>IF(Transactions!A186="",1,IF(COUNTIF(Transactions!$A$1:A185,Transactions!A186)&gt;0,1,0))</f>
        <v/>
      </c>
      <c r="E186">
        <f>IF(D186=1,0,IF(B186="RETURN",IF(COUNTIFS($A$1:A185,A186,$B$1:B185,"SALE",$E$1:E185,1)&gt;0,1,0),1))</f>
        <v/>
      </c>
      <c r="F186">
        <f>IF(E186=1,IF(B186="RECEIPT",Transactions!E186,IF(AND(B186="RETURN",LOWER(TRIM(Transactions!H186))="resellable"),Transactions!E186,0)),0)</f>
        <v/>
      </c>
      <c r="G186">
        <f>IF(F186&gt;0,IF(B186="RECEIPT",Transactions!F186,IF(_xlfn.MAXIFS($H$2:H186,$A$2:A186,A186)&gt;0,INDEX(Transactions!$F:$F,_xlfn.MAXIFS($H$2:H186,$A$2:A186,A186)),W186)),0)</f>
        <v/>
      </c>
      <c r="H186">
        <f>IF(AND(E186=1,B186="RECEIPT"),ROW(),0)</f>
        <v/>
      </c>
      <c r="I186">
        <f>IF(E186=1,IF(OR(B186="SALE",B186="WRITEOFF"),Transactions!E186,0),0)</f>
        <v/>
      </c>
      <c r="J186">
        <f>SUMIFS($F$1:F185,$A$1:A185,A186)</f>
        <v/>
      </c>
      <c r="K186">
        <f>SUMIFS($I$1:I185,$A$1:A185,A186)</f>
        <v/>
      </c>
      <c r="L186">
        <f>IFERROR(VLOOKUP(A186,Opening!$A:$C,3,0),0)</f>
        <v/>
      </c>
      <c r="M186">
        <f>IF(I186=0,0,MAX(0,MIN(INDEX(Month!H$2:H$13,MATCH($A186,Month!$A$2:$A$13,0))-K186,I186)))</f>
        <v/>
      </c>
      <c r="N186">
        <f>IF(I186=0,0,MAX(0,MIN(INDEX(Month!I$2:I$13,MATCH($A186,Month!$A$2:$A$13,0))-K186,I186)))</f>
        <v/>
      </c>
      <c r="O186">
        <f>IF(I186=0,0,MAX(0,MIN(INDEX(Month!J$2:J$13,MATCH($A186,Month!$A$2:$A$13,0))-K186,I186)))</f>
        <v/>
      </c>
      <c r="P186">
        <f>IF(I186=0,0,(MIN(MAX(K186,0),L186)*W186+SUMPRODUCT((Calc!$A$2:$A$1001=A186)*Calc!$G$2:$G$1001*(((K186-(L186+Calc!$J$2:$J$1001))&gt;0)*((K186-(L186+Calc!$J$2:$J$1001))&lt;Calc!$F$2:$F$1001)*(K186-(L186+Calc!$J$2:$J$1001))+((K186-(L186+Calc!$J$2:$J$1001))&gt;=Calc!$F$2:$F$1001)*Calc!$F$2:$F$1001))))</f>
        <v/>
      </c>
      <c r="Q186">
        <f>IF(I186=0,0,(MIN(MAX((K186+M186),0),L186)*W186+SUMPRODUCT((Calc!$A$2:$A$1001=A186)*Calc!$G$2:$G$1001*((((K186+M186)-(L186+Calc!$J$2:$J$1001))&gt;0)*(((K186+M186)-(L186+Calc!$J$2:$J$1001))&lt;Calc!$F$2:$F$1001)*((K186+M186)-(L186+Calc!$J$2:$J$1001))+(((K186+M186)-(L186+Calc!$J$2:$J$1001))&gt;=Calc!$F$2:$F$1001)*Calc!$F$2:$F$1001))))</f>
        <v/>
      </c>
      <c r="R186">
        <f>IF(I186=0,0,(MIN(MAX((K186+N186),0),L186)*W186+SUMPRODUCT((Calc!$A$2:$A$1001=A186)*Calc!$G$2:$G$1001*((((K186+N186)-(L186+Calc!$J$2:$J$1001))&gt;0)*(((K186+N186)-(L186+Calc!$J$2:$J$1001))&lt;Calc!$F$2:$F$1001)*((K186+N186)-(L186+Calc!$J$2:$J$1001))+(((K186+N186)-(L186+Calc!$J$2:$J$1001))&gt;=Calc!$F$2:$F$1001)*Calc!$F$2:$F$1001))))</f>
        <v/>
      </c>
      <c r="S186">
        <f>IF(I186=0,0,(MIN(MAX((K186+O186),0),L186)*W186+SUMPRODUCT((Calc!$A$2:$A$1001=A186)*Calc!$G$2:$G$1001*((((K186+O186)-(L186+Calc!$J$2:$J$1001))&gt;0)*(((K186+O186)-(L186+Calc!$J$2:$J$1001))&lt;Calc!$F$2:$F$1001)*((K186+O186)-(L186+Calc!$J$2:$J$1001))+(((K186+O186)-(L186+Calc!$J$2:$J$1001))&gt;=Calc!$F$2:$F$1001)*Calc!$F$2:$F$1001))))</f>
        <v/>
      </c>
      <c r="T186">
        <f>IF(AND(E186=1,B186="RETURN"),Transactions!E186*Transactions!G186,0)</f>
        <v/>
      </c>
      <c r="U186">
        <f>IF(AND(E186=1,B186="EXPENSE"),Transactions!J186,0)</f>
        <v/>
      </c>
      <c r="V186">
        <f>IF(AND(Transactions!A186&lt;&gt;"",E186=0),ROW(),"")</f>
        <v/>
      </c>
      <c r="W186">
        <f>IFERROR(VLOOKUP(A186,Opening!$A:$D,4,0),0)</f>
        <v/>
      </c>
    </row>
    <row r="187">
      <c r="A187">
        <f>IF(Transactions!D187="","",UPPER(TRIM(Transactions!D187)))</f>
        <v/>
      </c>
      <c r="B187">
        <f>IF(Transactions!C187="","",UPPER(TRIM(Transactions!C187)))</f>
        <v/>
      </c>
      <c r="C187">
        <f>IF(Transactions!B187="",0,YEAR(Transactions!B187)*100+MONTH(Transactions!B187))</f>
        <v/>
      </c>
      <c r="D187">
        <f>IF(Transactions!A187="",1,IF(COUNTIF(Transactions!$A$1:A186,Transactions!A187)&gt;0,1,0))</f>
        <v/>
      </c>
      <c r="E187">
        <f>IF(D187=1,0,IF(B187="RETURN",IF(COUNTIFS($A$1:A186,A187,$B$1:B186,"SALE",$E$1:E186,1)&gt;0,1,0),1))</f>
        <v/>
      </c>
      <c r="F187">
        <f>IF(E187=1,IF(B187="RECEIPT",Transactions!E187,IF(AND(B187="RETURN",LOWER(TRIM(Transactions!H187))="resellable"),Transactions!E187,0)),0)</f>
        <v/>
      </c>
      <c r="G187">
        <f>IF(F187&gt;0,IF(B187="RECEIPT",Transactions!F187,IF(_xlfn.MAXIFS($H$2:H187,$A$2:A187,A187)&gt;0,INDEX(Transactions!$F:$F,_xlfn.MAXIFS($H$2:H187,$A$2:A187,A187)),W187)),0)</f>
        <v/>
      </c>
      <c r="H187">
        <f>IF(AND(E187=1,B187="RECEIPT"),ROW(),0)</f>
        <v/>
      </c>
      <c r="I187">
        <f>IF(E187=1,IF(OR(B187="SALE",B187="WRITEOFF"),Transactions!E187,0),0)</f>
        <v/>
      </c>
      <c r="J187">
        <f>SUMIFS($F$1:F186,$A$1:A186,A187)</f>
        <v/>
      </c>
      <c r="K187">
        <f>SUMIFS($I$1:I186,$A$1:A186,A187)</f>
        <v/>
      </c>
      <c r="L187">
        <f>IFERROR(VLOOKUP(A187,Opening!$A:$C,3,0),0)</f>
        <v/>
      </c>
      <c r="M187">
        <f>IF(I187=0,0,MAX(0,MIN(INDEX(Month!H$2:H$13,MATCH($A187,Month!$A$2:$A$13,0))-K187,I187)))</f>
        <v/>
      </c>
      <c r="N187">
        <f>IF(I187=0,0,MAX(0,MIN(INDEX(Month!I$2:I$13,MATCH($A187,Month!$A$2:$A$13,0))-K187,I187)))</f>
        <v/>
      </c>
      <c r="O187">
        <f>IF(I187=0,0,MAX(0,MIN(INDEX(Month!J$2:J$13,MATCH($A187,Month!$A$2:$A$13,0))-K187,I187)))</f>
        <v/>
      </c>
      <c r="P187">
        <f>IF(I187=0,0,(MIN(MAX(K187,0),L187)*W187+SUMPRODUCT((Calc!$A$2:$A$1001=A187)*Calc!$G$2:$G$1001*(((K187-(L187+Calc!$J$2:$J$1001))&gt;0)*((K187-(L187+Calc!$J$2:$J$1001))&lt;Calc!$F$2:$F$1001)*(K187-(L187+Calc!$J$2:$J$1001))+((K187-(L187+Calc!$J$2:$J$1001))&gt;=Calc!$F$2:$F$1001)*Calc!$F$2:$F$1001))))</f>
        <v/>
      </c>
      <c r="Q187">
        <f>IF(I187=0,0,(MIN(MAX((K187+M187),0),L187)*W187+SUMPRODUCT((Calc!$A$2:$A$1001=A187)*Calc!$G$2:$G$1001*((((K187+M187)-(L187+Calc!$J$2:$J$1001))&gt;0)*(((K187+M187)-(L187+Calc!$J$2:$J$1001))&lt;Calc!$F$2:$F$1001)*((K187+M187)-(L187+Calc!$J$2:$J$1001))+(((K187+M187)-(L187+Calc!$J$2:$J$1001))&gt;=Calc!$F$2:$F$1001)*Calc!$F$2:$F$1001))))</f>
        <v/>
      </c>
      <c r="R187">
        <f>IF(I187=0,0,(MIN(MAX((K187+N187),0),L187)*W187+SUMPRODUCT((Calc!$A$2:$A$1001=A187)*Calc!$G$2:$G$1001*((((K187+N187)-(L187+Calc!$J$2:$J$1001))&gt;0)*(((K187+N187)-(L187+Calc!$J$2:$J$1001))&lt;Calc!$F$2:$F$1001)*((K187+N187)-(L187+Calc!$J$2:$J$1001))+(((K187+N187)-(L187+Calc!$J$2:$J$1001))&gt;=Calc!$F$2:$F$1001)*Calc!$F$2:$F$1001))))</f>
        <v/>
      </c>
      <c r="S187">
        <f>IF(I187=0,0,(MIN(MAX((K187+O187),0),L187)*W187+SUMPRODUCT((Calc!$A$2:$A$1001=A187)*Calc!$G$2:$G$1001*((((K187+O187)-(L187+Calc!$J$2:$J$1001))&gt;0)*(((K187+O187)-(L187+Calc!$J$2:$J$1001))&lt;Calc!$F$2:$F$1001)*((K187+O187)-(L187+Calc!$J$2:$J$1001))+(((K187+O187)-(L187+Calc!$J$2:$J$1001))&gt;=Calc!$F$2:$F$1001)*Calc!$F$2:$F$1001))))</f>
        <v/>
      </c>
      <c r="T187">
        <f>IF(AND(E187=1,B187="RETURN"),Transactions!E187*Transactions!G187,0)</f>
        <v/>
      </c>
      <c r="U187">
        <f>IF(AND(E187=1,B187="EXPENSE"),Transactions!J187,0)</f>
        <v/>
      </c>
      <c r="V187">
        <f>IF(AND(Transactions!A187&lt;&gt;"",E187=0),ROW(),"")</f>
        <v/>
      </c>
      <c r="W187">
        <f>IFERROR(VLOOKUP(A187,Opening!$A:$D,4,0),0)</f>
        <v/>
      </c>
    </row>
    <row r="188">
      <c r="A188">
        <f>IF(Transactions!D188="","",UPPER(TRIM(Transactions!D188)))</f>
        <v/>
      </c>
      <c r="B188">
        <f>IF(Transactions!C188="","",UPPER(TRIM(Transactions!C188)))</f>
        <v/>
      </c>
      <c r="C188">
        <f>IF(Transactions!B188="",0,YEAR(Transactions!B188)*100+MONTH(Transactions!B188))</f>
        <v/>
      </c>
      <c r="D188">
        <f>IF(Transactions!A188="",1,IF(COUNTIF(Transactions!$A$1:A187,Transactions!A188)&gt;0,1,0))</f>
        <v/>
      </c>
      <c r="E188">
        <f>IF(D188=1,0,IF(B188="RETURN",IF(COUNTIFS($A$1:A187,A188,$B$1:B187,"SALE",$E$1:E187,1)&gt;0,1,0),1))</f>
        <v/>
      </c>
      <c r="F188">
        <f>IF(E188=1,IF(B188="RECEIPT",Transactions!E188,IF(AND(B188="RETURN",LOWER(TRIM(Transactions!H188))="resellable"),Transactions!E188,0)),0)</f>
        <v/>
      </c>
      <c r="G188">
        <f>IF(F188&gt;0,IF(B188="RECEIPT",Transactions!F188,IF(_xlfn.MAXIFS($H$2:H188,$A$2:A188,A188)&gt;0,INDEX(Transactions!$F:$F,_xlfn.MAXIFS($H$2:H188,$A$2:A188,A188)),W188)),0)</f>
        <v/>
      </c>
      <c r="H188">
        <f>IF(AND(E188=1,B188="RECEIPT"),ROW(),0)</f>
        <v/>
      </c>
      <c r="I188">
        <f>IF(E188=1,IF(OR(B188="SALE",B188="WRITEOFF"),Transactions!E188,0),0)</f>
        <v/>
      </c>
      <c r="J188">
        <f>SUMIFS($F$1:F187,$A$1:A187,A188)</f>
        <v/>
      </c>
      <c r="K188">
        <f>SUMIFS($I$1:I187,$A$1:A187,A188)</f>
        <v/>
      </c>
      <c r="L188">
        <f>IFERROR(VLOOKUP(A188,Opening!$A:$C,3,0),0)</f>
        <v/>
      </c>
      <c r="M188">
        <f>IF(I188=0,0,MAX(0,MIN(INDEX(Month!H$2:H$13,MATCH($A188,Month!$A$2:$A$13,0))-K188,I188)))</f>
        <v/>
      </c>
      <c r="N188">
        <f>IF(I188=0,0,MAX(0,MIN(INDEX(Month!I$2:I$13,MATCH($A188,Month!$A$2:$A$13,0))-K188,I188)))</f>
        <v/>
      </c>
      <c r="O188">
        <f>IF(I188=0,0,MAX(0,MIN(INDEX(Month!J$2:J$13,MATCH($A188,Month!$A$2:$A$13,0))-K188,I188)))</f>
        <v/>
      </c>
      <c r="P188">
        <f>IF(I188=0,0,(MIN(MAX(K188,0),L188)*W188+SUMPRODUCT((Calc!$A$2:$A$1001=A188)*Calc!$G$2:$G$1001*(((K188-(L188+Calc!$J$2:$J$1001))&gt;0)*((K188-(L188+Calc!$J$2:$J$1001))&lt;Calc!$F$2:$F$1001)*(K188-(L188+Calc!$J$2:$J$1001))+((K188-(L188+Calc!$J$2:$J$1001))&gt;=Calc!$F$2:$F$1001)*Calc!$F$2:$F$1001))))</f>
        <v/>
      </c>
      <c r="Q188">
        <f>IF(I188=0,0,(MIN(MAX((K188+M188),0),L188)*W188+SUMPRODUCT((Calc!$A$2:$A$1001=A188)*Calc!$G$2:$G$1001*((((K188+M188)-(L188+Calc!$J$2:$J$1001))&gt;0)*(((K188+M188)-(L188+Calc!$J$2:$J$1001))&lt;Calc!$F$2:$F$1001)*((K188+M188)-(L188+Calc!$J$2:$J$1001))+(((K188+M188)-(L188+Calc!$J$2:$J$1001))&gt;=Calc!$F$2:$F$1001)*Calc!$F$2:$F$1001))))</f>
        <v/>
      </c>
      <c r="R188">
        <f>IF(I188=0,0,(MIN(MAX((K188+N188),0),L188)*W188+SUMPRODUCT((Calc!$A$2:$A$1001=A188)*Calc!$G$2:$G$1001*((((K188+N188)-(L188+Calc!$J$2:$J$1001))&gt;0)*(((K188+N188)-(L188+Calc!$J$2:$J$1001))&lt;Calc!$F$2:$F$1001)*((K188+N188)-(L188+Calc!$J$2:$J$1001))+(((K188+N188)-(L188+Calc!$J$2:$J$1001))&gt;=Calc!$F$2:$F$1001)*Calc!$F$2:$F$1001))))</f>
        <v/>
      </c>
      <c r="S188">
        <f>IF(I188=0,0,(MIN(MAX((K188+O188),0),L188)*W188+SUMPRODUCT((Calc!$A$2:$A$1001=A188)*Calc!$G$2:$G$1001*((((K188+O188)-(L188+Calc!$J$2:$J$1001))&gt;0)*(((K188+O188)-(L188+Calc!$J$2:$J$1001))&lt;Calc!$F$2:$F$1001)*((K188+O188)-(L188+Calc!$J$2:$J$1001))+(((K188+O188)-(L188+Calc!$J$2:$J$1001))&gt;=Calc!$F$2:$F$1001)*Calc!$F$2:$F$1001))))</f>
        <v/>
      </c>
      <c r="T188">
        <f>IF(AND(E188=1,B188="RETURN"),Transactions!E188*Transactions!G188,0)</f>
        <v/>
      </c>
      <c r="U188">
        <f>IF(AND(E188=1,B188="EXPENSE"),Transactions!J188,0)</f>
        <v/>
      </c>
      <c r="V188">
        <f>IF(AND(Transactions!A188&lt;&gt;"",E188=0),ROW(),"")</f>
        <v/>
      </c>
      <c r="W188">
        <f>IFERROR(VLOOKUP(A188,Opening!$A:$D,4,0),0)</f>
        <v/>
      </c>
    </row>
    <row r="189">
      <c r="A189">
        <f>IF(Transactions!D189="","",UPPER(TRIM(Transactions!D189)))</f>
        <v/>
      </c>
      <c r="B189">
        <f>IF(Transactions!C189="","",UPPER(TRIM(Transactions!C189)))</f>
        <v/>
      </c>
      <c r="C189">
        <f>IF(Transactions!B189="",0,YEAR(Transactions!B189)*100+MONTH(Transactions!B189))</f>
        <v/>
      </c>
      <c r="D189">
        <f>IF(Transactions!A189="",1,IF(COUNTIF(Transactions!$A$1:A188,Transactions!A189)&gt;0,1,0))</f>
        <v/>
      </c>
      <c r="E189">
        <f>IF(D189=1,0,IF(B189="RETURN",IF(COUNTIFS($A$1:A188,A189,$B$1:B188,"SALE",$E$1:E188,1)&gt;0,1,0),1))</f>
        <v/>
      </c>
      <c r="F189">
        <f>IF(E189=1,IF(B189="RECEIPT",Transactions!E189,IF(AND(B189="RETURN",LOWER(TRIM(Transactions!H189))="resellable"),Transactions!E189,0)),0)</f>
        <v/>
      </c>
      <c r="G189">
        <f>IF(F189&gt;0,IF(B189="RECEIPT",Transactions!F189,IF(_xlfn.MAXIFS($H$2:H189,$A$2:A189,A189)&gt;0,INDEX(Transactions!$F:$F,_xlfn.MAXIFS($H$2:H189,$A$2:A189,A189)),W189)),0)</f>
        <v/>
      </c>
      <c r="H189">
        <f>IF(AND(E189=1,B189="RECEIPT"),ROW(),0)</f>
        <v/>
      </c>
      <c r="I189">
        <f>IF(E189=1,IF(OR(B189="SALE",B189="WRITEOFF"),Transactions!E189,0),0)</f>
        <v/>
      </c>
      <c r="J189">
        <f>SUMIFS($F$1:F188,$A$1:A188,A189)</f>
        <v/>
      </c>
      <c r="K189">
        <f>SUMIFS($I$1:I188,$A$1:A188,A189)</f>
        <v/>
      </c>
      <c r="L189">
        <f>IFERROR(VLOOKUP(A189,Opening!$A:$C,3,0),0)</f>
        <v/>
      </c>
      <c r="M189">
        <f>IF(I189=0,0,MAX(0,MIN(INDEX(Month!H$2:H$13,MATCH($A189,Month!$A$2:$A$13,0))-K189,I189)))</f>
        <v/>
      </c>
      <c r="N189">
        <f>IF(I189=0,0,MAX(0,MIN(INDEX(Month!I$2:I$13,MATCH($A189,Month!$A$2:$A$13,0))-K189,I189)))</f>
        <v/>
      </c>
      <c r="O189">
        <f>IF(I189=0,0,MAX(0,MIN(INDEX(Month!J$2:J$13,MATCH($A189,Month!$A$2:$A$13,0))-K189,I189)))</f>
        <v/>
      </c>
      <c r="P189">
        <f>IF(I189=0,0,(MIN(MAX(K189,0),L189)*W189+SUMPRODUCT((Calc!$A$2:$A$1001=A189)*Calc!$G$2:$G$1001*(((K189-(L189+Calc!$J$2:$J$1001))&gt;0)*((K189-(L189+Calc!$J$2:$J$1001))&lt;Calc!$F$2:$F$1001)*(K189-(L189+Calc!$J$2:$J$1001))+((K189-(L189+Calc!$J$2:$J$1001))&gt;=Calc!$F$2:$F$1001)*Calc!$F$2:$F$1001))))</f>
        <v/>
      </c>
      <c r="Q189">
        <f>IF(I189=0,0,(MIN(MAX((K189+M189),0),L189)*W189+SUMPRODUCT((Calc!$A$2:$A$1001=A189)*Calc!$G$2:$G$1001*((((K189+M189)-(L189+Calc!$J$2:$J$1001))&gt;0)*(((K189+M189)-(L189+Calc!$J$2:$J$1001))&lt;Calc!$F$2:$F$1001)*((K189+M189)-(L189+Calc!$J$2:$J$1001))+(((K189+M189)-(L189+Calc!$J$2:$J$1001))&gt;=Calc!$F$2:$F$1001)*Calc!$F$2:$F$1001))))</f>
        <v/>
      </c>
      <c r="R189">
        <f>IF(I189=0,0,(MIN(MAX((K189+N189),0),L189)*W189+SUMPRODUCT((Calc!$A$2:$A$1001=A189)*Calc!$G$2:$G$1001*((((K189+N189)-(L189+Calc!$J$2:$J$1001))&gt;0)*(((K189+N189)-(L189+Calc!$J$2:$J$1001))&lt;Calc!$F$2:$F$1001)*((K189+N189)-(L189+Calc!$J$2:$J$1001))+(((K189+N189)-(L189+Calc!$J$2:$J$1001))&gt;=Calc!$F$2:$F$1001)*Calc!$F$2:$F$1001))))</f>
        <v/>
      </c>
      <c r="S189">
        <f>IF(I189=0,0,(MIN(MAX((K189+O189),0),L189)*W189+SUMPRODUCT((Calc!$A$2:$A$1001=A189)*Calc!$G$2:$G$1001*((((K189+O189)-(L189+Calc!$J$2:$J$1001))&gt;0)*(((K189+O189)-(L189+Calc!$J$2:$J$1001))&lt;Calc!$F$2:$F$1001)*((K189+O189)-(L189+Calc!$J$2:$J$1001))+(((K189+O189)-(L189+Calc!$J$2:$J$1001))&gt;=Calc!$F$2:$F$1001)*Calc!$F$2:$F$1001))))</f>
        <v/>
      </c>
      <c r="T189">
        <f>IF(AND(E189=1,B189="RETURN"),Transactions!E189*Transactions!G189,0)</f>
        <v/>
      </c>
      <c r="U189">
        <f>IF(AND(E189=1,B189="EXPENSE"),Transactions!J189,0)</f>
        <v/>
      </c>
      <c r="V189">
        <f>IF(AND(Transactions!A189&lt;&gt;"",E189=0),ROW(),"")</f>
        <v/>
      </c>
      <c r="W189">
        <f>IFERROR(VLOOKUP(A189,Opening!$A:$D,4,0),0)</f>
        <v/>
      </c>
    </row>
    <row r="190">
      <c r="A190">
        <f>IF(Transactions!D190="","",UPPER(TRIM(Transactions!D190)))</f>
        <v/>
      </c>
      <c r="B190">
        <f>IF(Transactions!C190="","",UPPER(TRIM(Transactions!C190)))</f>
        <v/>
      </c>
      <c r="C190">
        <f>IF(Transactions!B190="",0,YEAR(Transactions!B190)*100+MONTH(Transactions!B190))</f>
        <v/>
      </c>
      <c r="D190">
        <f>IF(Transactions!A190="",1,IF(COUNTIF(Transactions!$A$1:A189,Transactions!A190)&gt;0,1,0))</f>
        <v/>
      </c>
      <c r="E190">
        <f>IF(D190=1,0,IF(B190="RETURN",IF(COUNTIFS($A$1:A189,A190,$B$1:B189,"SALE",$E$1:E189,1)&gt;0,1,0),1))</f>
        <v/>
      </c>
      <c r="F190">
        <f>IF(E190=1,IF(B190="RECEIPT",Transactions!E190,IF(AND(B190="RETURN",LOWER(TRIM(Transactions!H190))="resellable"),Transactions!E190,0)),0)</f>
        <v/>
      </c>
      <c r="G190">
        <f>IF(F190&gt;0,IF(B190="RECEIPT",Transactions!F190,IF(_xlfn.MAXIFS($H$2:H190,$A$2:A190,A190)&gt;0,INDEX(Transactions!$F:$F,_xlfn.MAXIFS($H$2:H190,$A$2:A190,A190)),W190)),0)</f>
        <v/>
      </c>
      <c r="H190">
        <f>IF(AND(E190=1,B190="RECEIPT"),ROW(),0)</f>
        <v/>
      </c>
      <c r="I190">
        <f>IF(E190=1,IF(OR(B190="SALE",B190="WRITEOFF"),Transactions!E190,0),0)</f>
        <v/>
      </c>
      <c r="J190">
        <f>SUMIFS($F$1:F189,$A$1:A189,A190)</f>
        <v/>
      </c>
      <c r="K190">
        <f>SUMIFS($I$1:I189,$A$1:A189,A190)</f>
        <v/>
      </c>
      <c r="L190">
        <f>IFERROR(VLOOKUP(A190,Opening!$A:$C,3,0),0)</f>
        <v/>
      </c>
      <c r="M190">
        <f>IF(I190=0,0,MAX(0,MIN(INDEX(Month!H$2:H$13,MATCH($A190,Month!$A$2:$A$13,0))-K190,I190)))</f>
        <v/>
      </c>
      <c r="N190">
        <f>IF(I190=0,0,MAX(0,MIN(INDEX(Month!I$2:I$13,MATCH($A190,Month!$A$2:$A$13,0))-K190,I190)))</f>
        <v/>
      </c>
      <c r="O190">
        <f>IF(I190=0,0,MAX(0,MIN(INDEX(Month!J$2:J$13,MATCH($A190,Month!$A$2:$A$13,0))-K190,I190)))</f>
        <v/>
      </c>
      <c r="P190">
        <f>IF(I190=0,0,(MIN(MAX(K190,0),L190)*W190+SUMPRODUCT((Calc!$A$2:$A$1001=A190)*Calc!$G$2:$G$1001*(((K190-(L190+Calc!$J$2:$J$1001))&gt;0)*((K190-(L190+Calc!$J$2:$J$1001))&lt;Calc!$F$2:$F$1001)*(K190-(L190+Calc!$J$2:$J$1001))+((K190-(L190+Calc!$J$2:$J$1001))&gt;=Calc!$F$2:$F$1001)*Calc!$F$2:$F$1001))))</f>
        <v/>
      </c>
      <c r="Q190">
        <f>IF(I190=0,0,(MIN(MAX((K190+M190),0),L190)*W190+SUMPRODUCT((Calc!$A$2:$A$1001=A190)*Calc!$G$2:$G$1001*((((K190+M190)-(L190+Calc!$J$2:$J$1001))&gt;0)*(((K190+M190)-(L190+Calc!$J$2:$J$1001))&lt;Calc!$F$2:$F$1001)*((K190+M190)-(L190+Calc!$J$2:$J$1001))+(((K190+M190)-(L190+Calc!$J$2:$J$1001))&gt;=Calc!$F$2:$F$1001)*Calc!$F$2:$F$1001))))</f>
        <v/>
      </c>
      <c r="R190">
        <f>IF(I190=0,0,(MIN(MAX((K190+N190),0),L190)*W190+SUMPRODUCT((Calc!$A$2:$A$1001=A190)*Calc!$G$2:$G$1001*((((K190+N190)-(L190+Calc!$J$2:$J$1001))&gt;0)*(((K190+N190)-(L190+Calc!$J$2:$J$1001))&lt;Calc!$F$2:$F$1001)*((K190+N190)-(L190+Calc!$J$2:$J$1001))+(((K190+N190)-(L190+Calc!$J$2:$J$1001))&gt;=Calc!$F$2:$F$1001)*Calc!$F$2:$F$1001))))</f>
        <v/>
      </c>
      <c r="S190">
        <f>IF(I190=0,0,(MIN(MAX((K190+O190),0),L190)*W190+SUMPRODUCT((Calc!$A$2:$A$1001=A190)*Calc!$G$2:$G$1001*((((K190+O190)-(L190+Calc!$J$2:$J$1001))&gt;0)*(((K190+O190)-(L190+Calc!$J$2:$J$1001))&lt;Calc!$F$2:$F$1001)*((K190+O190)-(L190+Calc!$J$2:$J$1001))+(((K190+O190)-(L190+Calc!$J$2:$J$1001))&gt;=Calc!$F$2:$F$1001)*Calc!$F$2:$F$1001))))</f>
        <v/>
      </c>
      <c r="T190">
        <f>IF(AND(E190=1,B190="RETURN"),Transactions!E190*Transactions!G190,0)</f>
        <v/>
      </c>
      <c r="U190">
        <f>IF(AND(E190=1,B190="EXPENSE"),Transactions!J190,0)</f>
        <v/>
      </c>
      <c r="V190">
        <f>IF(AND(Transactions!A190&lt;&gt;"",E190=0),ROW(),"")</f>
        <v/>
      </c>
      <c r="W190">
        <f>IFERROR(VLOOKUP(A190,Opening!$A:$D,4,0),0)</f>
        <v/>
      </c>
    </row>
    <row r="191">
      <c r="A191">
        <f>IF(Transactions!D191="","",UPPER(TRIM(Transactions!D191)))</f>
        <v/>
      </c>
      <c r="B191">
        <f>IF(Transactions!C191="","",UPPER(TRIM(Transactions!C191)))</f>
        <v/>
      </c>
      <c r="C191">
        <f>IF(Transactions!B191="",0,YEAR(Transactions!B191)*100+MONTH(Transactions!B191))</f>
        <v/>
      </c>
      <c r="D191">
        <f>IF(Transactions!A191="",1,IF(COUNTIF(Transactions!$A$1:A190,Transactions!A191)&gt;0,1,0))</f>
        <v/>
      </c>
      <c r="E191">
        <f>IF(D191=1,0,IF(B191="RETURN",IF(COUNTIFS($A$1:A190,A191,$B$1:B190,"SALE",$E$1:E190,1)&gt;0,1,0),1))</f>
        <v/>
      </c>
      <c r="F191">
        <f>IF(E191=1,IF(B191="RECEIPT",Transactions!E191,IF(AND(B191="RETURN",LOWER(TRIM(Transactions!H191))="resellable"),Transactions!E191,0)),0)</f>
        <v/>
      </c>
      <c r="G191">
        <f>IF(F191&gt;0,IF(B191="RECEIPT",Transactions!F191,IF(_xlfn.MAXIFS($H$2:H191,$A$2:A191,A191)&gt;0,INDEX(Transactions!$F:$F,_xlfn.MAXIFS($H$2:H191,$A$2:A191,A191)),W191)),0)</f>
        <v/>
      </c>
      <c r="H191">
        <f>IF(AND(E191=1,B191="RECEIPT"),ROW(),0)</f>
        <v/>
      </c>
      <c r="I191">
        <f>IF(E191=1,IF(OR(B191="SALE",B191="WRITEOFF"),Transactions!E191,0),0)</f>
        <v/>
      </c>
      <c r="J191">
        <f>SUMIFS($F$1:F190,$A$1:A190,A191)</f>
        <v/>
      </c>
      <c r="K191">
        <f>SUMIFS($I$1:I190,$A$1:A190,A191)</f>
        <v/>
      </c>
      <c r="L191">
        <f>IFERROR(VLOOKUP(A191,Opening!$A:$C,3,0),0)</f>
        <v/>
      </c>
      <c r="M191">
        <f>IF(I191=0,0,MAX(0,MIN(INDEX(Month!H$2:H$13,MATCH($A191,Month!$A$2:$A$13,0))-K191,I191)))</f>
        <v/>
      </c>
      <c r="N191">
        <f>IF(I191=0,0,MAX(0,MIN(INDEX(Month!I$2:I$13,MATCH($A191,Month!$A$2:$A$13,0))-K191,I191)))</f>
        <v/>
      </c>
      <c r="O191">
        <f>IF(I191=0,0,MAX(0,MIN(INDEX(Month!J$2:J$13,MATCH($A191,Month!$A$2:$A$13,0))-K191,I191)))</f>
        <v/>
      </c>
      <c r="P191">
        <f>IF(I191=0,0,(MIN(MAX(K191,0),L191)*W191+SUMPRODUCT((Calc!$A$2:$A$1001=A191)*Calc!$G$2:$G$1001*(((K191-(L191+Calc!$J$2:$J$1001))&gt;0)*((K191-(L191+Calc!$J$2:$J$1001))&lt;Calc!$F$2:$F$1001)*(K191-(L191+Calc!$J$2:$J$1001))+((K191-(L191+Calc!$J$2:$J$1001))&gt;=Calc!$F$2:$F$1001)*Calc!$F$2:$F$1001))))</f>
        <v/>
      </c>
      <c r="Q191">
        <f>IF(I191=0,0,(MIN(MAX((K191+M191),0),L191)*W191+SUMPRODUCT((Calc!$A$2:$A$1001=A191)*Calc!$G$2:$G$1001*((((K191+M191)-(L191+Calc!$J$2:$J$1001))&gt;0)*(((K191+M191)-(L191+Calc!$J$2:$J$1001))&lt;Calc!$F$2:$F$1001)*((K191+M191)-(L191+Calc!$J$2:$J$1001))+(((K191+M191)-(L191+Calc!$J$2:$J$1001))&gt;=Calc!$F$2:$F$1001)*Calc!$F$2:$F$1001))))</f>
        <v/>
      </c>
      <c r="R191">
        <f>IF(I191=0,0,(MIN(MAX((K191+N191),0),L191)*W191+SUMPRODUCT((Calc!$A$2:$A$1001=A191)*Calc!$G$2:$G$1001*((((K191+N191)-(L191+Calc!$J$2:$J$1001))&gt;0)*(((K191+N191)-(L191+Calc!$J$2:$J$1001))&lt;Calc!$F$2:$F$1001)*((K191+N191)-(L191+Calc!$J$2:$J$1001))+(((K191+N191)-(L191+Calc!$J$2:$J$1001))&gt;=Calc!$F$2:$F$1001)*Calc!$F$2:$F$1001))))</f>
        <v/>
      </c>
      <c r="S191">
        <f>IF(I191=0,0,(MIN(MAX((K191+O191),0),L191)*W191+SUMPRODUCT((Calc!$A$2:$A$1001=A191)*Calc!$G$2:$G$1001*((((K191+O191)-(L191+Calc!$J$2:$J$1001))&gt;0)*(((K191+O191)-(L191+Calc!$J$2:$J$1001))&lt;Calc!$F$2:$F$1001)*((K191+O191)-(L191+Calc!$J$2:$J$1001))+(((K191+O191)-(L191+Calc!$J$2:$J$1001))&gt;=Calc!$F$2:$F$1001)*Calc!$F$2:$F$1001))))</f>
        <v/>
      </c>
      <c r="T191">
        <f>IF(AND(E191=1,B191="RETURN"),Transactions!E191*Transactions!G191,0)</f>
        <v/>
      </c>
      <c r="U191">
        <f>IF(AND(E191=1,B191="EXPENSE"),Transactions!J191,0)</f>
        <v/>
      </c>
      <c r="V191">
        <f>IF(AND(Transactions!A191&lt;&gt;"",E191=0),ROW(),"")</f>
        <v/>
      </c>
      <c r="W191">
        <f>IFERROR(VLOOKUP(A191,Opening!$A:$D,4,0),0)</f>
        <v/>
      </c>
    </row>
    <row r="192">
      <c r="A192">
        <f>IF(Transactions!D192="","",UPPER(TRIM(Transactions!D192)))</f>
        <v/>
      </c>
      <c r="B192">
        <f>IF(Transactions!C192="","",UPPER(TRIM(Transactions!C192)))</f>
        <v/>
      </c>
      <c r="C192">
        <f>IF(Transactions!B192="",0,YEAR(Transactions!B192)*100+MONTH(Transactions!B192))</f>
        <v/>
      </c>
      <c r="D192">
        <f>IF(Transactions!A192="",1,IF(COUNTIF(Transactions!$A$1:A191,Transactions!A192)&gt;0,1,0))</f>
        <v/>
      </c>
      <c r="E192">
        <f>IF(D192=1,0,IF(B192="RETURN",IF(COUNTIFS($A$1:A191,A192,$B$1:B191,"SALE",$E$1:E191,1)&gt;0,1,0),1))</f>
        <v/>
      </c>
      <c r="F192">
        <f>IF(E192=1,IF(B192="RECEIPT",Transactions!E192,IF(AND(B192="RETURN",LOWER(TRIM(Transactions!H192))="resellable"),Transactions!E192,0)),0)</f>
        <v/>
      </c>
      <c r="G192">
        <f>IF(F192&gt;0,IF(B192="RECEIPT",Transactions!F192,IF(_xlfn.MAXIFS($H$2:H192,$A$2:A192,A192)&gt;0,INDEX(Transactions!$F:$F,_xlfn.MAXIFS($H$2:H192,$A$2:A192,A192)),W192)),0)</f>
        <v/>
      </c>
      <c r="H192">
        <f>IF(AND(E192=1,B192="RECEIPT"),ROW(),0)</f>
        <v/>
      </c>
      <c r="I192">
        <f>IF(E192=1,IF(OR(B192="SALE",B192="WRITEOFF"),Transactions!E192,0),0)</f>
        <v/>
      </c>
      <c r="J192">
        <f>SUMIFS($F$1:F191,$A$1:A191,A192)</f>
        <v/>
      </c>
      <c r="K192">
        <f>SUMIFS($I$1:I191,$A$1:A191,A192)</f>
        <v/>
      </c>
      <c r="L192">
        <f>IFERROR(VLOOKUP(A192,Opening!$A:$C,3,0),0)</f>
        <v/>
      </c>
      <c r="M192">
        <f>IF(I192=0,0,MAX(0,MIN(INDEX(Month!H$2:H$13,MATCH($A192,Month!$A$2:$A$13,0))-K192,I192)))</f>
        <v/>
      </c>
      <c r="N192">
        <f>IF(I192=0,0,MAX(0,MIN(INDEX(Month!I$2:I$13,MATCH($A192,Month!$A$2:$A$13,0))-K192,I192)))</f>
        <v/>
      </c>
      <c r="O192">
        <f>IF(I192=0,0,MAX(0,MIN(INDEX(Month!J$2:J$13,MATCH($A192,Month!$A$2:$A$13,0))-K192,I192)))</f>
        <v/>
      </c>
      <c r="P192">
        <f>IF(I192=0,0,(MIN(MAX(K192,0),L192)*W192+SUMPRODUCT((Calc!$A$2:$A$1001=A192)*Calc!$G$2:$G$1001*(((K192-(L192+Calc!$J$2:$J$1001))&gt;0)*((K192-(L192+Calc!$J$2:$J$1001))&lt;Calc!$F$2:$F$1001)*(K192-(L192+Calc!$J$2:$J$1001))+((K192-(L192+Calc!$J$2:$J$1001))&gt;=Calc!$F$2:$F$1001)*Calc!$F$2:$F$1001))))</f>
        <v/>
      </c>
      <c r="Q192">
        <f>IF(I192=0,0,(MIN(MAX((K192+M192),0),L192)*W192+SUMPRODUCT((Calc!$A$2:$A$1001=A192)*Calc!$G$2:$G$1001*((((K192+M192)-(L192+Calc!$J$2:$J$1001))&gt;0)*(((K192+M192)-(L192+Calc!$J$2:$J$1001))&lt;Calc!$F$2:$F$1001)*((K192+M192)-(L192+Calc!$J$2:$J$1001))+(((K192+M192)-(L192+Calc!$J$2:$J$1001))&gt;=Calc!$F$2:$F$1001)*Calc!$F$2:$F$1001))))</f>
        <v/>
      </c>
      <c r="R192">
        <f>IF(I192=0,0,(MIN(MAX((K192+N192),0),L192)*W192+SUMPRODUCT((Calc!$A$2:$A$1001=A192)*Calc!$G$2:$G$1001*((((K192+N192)-(L192+Calc!$J$2:$J$1001))&gt;0)*(((K192+N192)-(L192+Calc!$J$2:$J$1001))&lt;Calc!$F$2:$F$1001)*((K192+N192)-(L192+Calc!$J$2:$J$1001))+(((K192+N192)-(L192+Calc!$J$2:$J$1001))&gt;=Calc!$F$2:$F$1001)*Calc!$F$2:$F$1001))))</f>
        <v/>
      </c>
      <c r="S192">
        <f>IF(I192=0,0,(MIN(MAX((K192+O192),0),L192)*W192+SUMPRODUCT((Calc!$A$2:$A$1001=A192)*Calc!$G$2:$G$1001*((((K192+O192)-(L192+Calc!$J$2:$J$1001))&gt;0)*(((K192+O192)-(L192+Calc!$J$2:$J$1001))&lt;Calc!$F$2:$F$1001)*((K192+O192)-(L192+Calc!$J$2:$J$1001))+(((K192+O192)-(L192+Calc!$J$2:$J$1001))&gt;=Calc!$F$2:$F$1001)*Calc!$F$2:$F$1001))))</f>
        <v/>
      </c>
      <c r="T192">
        <f>IF(AND(E192=1,B192="RETURN"),Transactions!E192*Transactions!G192,0)</f>
        <v/>
      </c>
      <c r="U192">
        <f>IF(AND(E192=1,B192="EXPENSE"),Transactions!J192,0)</f>
        <v/>
      </c>
      <c r="V192">
        <f>IF(AND(Transactions!A192&lt;&gt;"",E192=0),ROW(),"")</f>
        <v/>
      </c>
      <c r="W192">
        <f>IFERROR(VLOOKUP(A192,Opening!$A:$D,4,0),0)</f>
        <v/>
      </c>
    </row>
    <row r="193">
      <c r="A193">
        <f>IF(Transactions!D193="","",UPPER(TRIM(Transactions!D193)))</f>
        <v/>
      </c>
      <c r="B193">
        <f>IF(Transactions!C193="","",UPPER(TRIM(Transactions!C193)))</f>
        <v/>
      </c>
      <c r="C193">
        <f>IF(Transactions!B193="",0,YEAR(Transactions!B193)*100+MONTH(Transactions!B193))</f>
        <v/>
      </c>
      <c r="D193">
        <f>IF(Transactions!A193="",1,IF(COUNTIF(Transactions!$A$1:A192,Transactions!A193)&gt;0,1,0))</f>
        <v/>
      </c>
      <c r="E193">
        <f>IF(D193=1,0,IF(B193="RETURN",IF(COUNTIFS($A$1:A192,A193,$B$1:B192,"SALE",$E$1:E192,1)&gt;0,1,0),1))</f>
        <v/>
      </c>
      <c r="F193">
        <f>IF(E193=1,IF(B193="RECEIPT",Transactions!E193,IF(AND(B193="RETURN",LOWER(TRIM(Transactions!H193))="resellable"),Transactions!E193,0)),0)</f>
        <v/>
      </c>
      <c r="G193">
        <f>IF(F193&gt;0,IF(B193="RECEIPT",Transactions!F193,IF(_xlfn.MAXIFS($H$2:H193,$A$2:A193,A193)&gt;0,INDEX(Transactions!$F:$F,_xlfn.MAXIFS($H$2:H193,$A$2:A193,A193)),W193)),0)</f>
        <v/>
      </c>
      <c r="H193">
        <f>IF(AND(E193=1,B193="RECEIPT"),ROW(),0)</f>
        <v/>
      </c>
      <c r="I193">
        <f>IF(E193=1,IF(OR(B193="SALE",B193="WRITEOFF"),Transactions!E193,0),0)</f>
        <v/>
      </c>
      <c r="J193">
        <f>SUMIFS($F$1:F192,$A$1:A192,A193)</f>
        <v/>
      </c>
      <c r="K193">
        <f>SUMIFS($I$1:I192,$A$1:A192,A193)</f>
        <v/>
      </c>
      <c r="L193">
        <f>IFERROR(VLOOKUP(A193,Opening!$A:$C,3,0),0)</f>
        <v/>
      </c>
      <c r="M193">
        <f>IF(I193=0,0,MAX(0,MIN(INDEX(Month!H$2:H$13,MATCH($A193,Month!$A$2:$A$13,0))-K193,I193)))</f>
        <v/>
      </c>
      <c r="N193">
        <f>IF(I193=0,0,MAX(0,MIN(INDEX(Month!I$2:I$13,MATCH($A193,Month!$A$2:$A$13,0))-K193,I193)))</f>
        <v/>
      </c>
      <c r="O193">
        <f>IF(I193=0,0,MAX(0,MIN(INDEX(Month!J$2:J$13,MATCH($A193,Month!$A$2:$A$13,0))-K193,I193)))</f>
        <v/>
      </c>
      <c r="P193">
        <f>IF(I193=0,0,(MIN(MAX(K193,0),L193)*W193+SUMPRODUCT((Calc!$A$2:$A$1001=A193)*Calc!$G$2:$G$1001*(((K193-(L193+Calc!$J$2:$J$1001))&gt;0)*((K193-(L193+Calc!$J$2:$J$1001))&lt;Calc!$F$2:$F$1001)*(K193-(L193+Calc!$J$2:$J$1001))+((K193-(L193+Calc!$J$2:$J$1001))&gt;=Calc!$F$2:$F$1001)*Calc!$F$2:$F$1001))))</f>
        <v/>
      </c>
      <c r="Q193">
        <f>IF(I193=0,0,(MIN(MAX((K193+M193),0),L193)*W193+SUMPRODUCT((Calc!$A$2:$A$1001=A193)*Calc!$G$2:$G$1001*((((K193+M193)-(L193+Calc!$J$2:$J$1001))&gt;0)*(((K193+M193)-(L193+Calc!$J$2:$J$1001))&lt;Calc!$F$2:$F$1001)*((K193+M193)-(L193+Calc!$J$2:$J$1001))+(((K193+M193)-(L193+Calc!$J$2:$J$1001))&gt;=Calc!$F$2:$F$1001)*Calc!$F$2:$F$1001))))</f>
        <v/>
      </c>
      <c r="R193">
        <f>IF(I193=0,0,(MIN(MAX((K193+N193),0),L193)*W193+SUMPRODUCT((Calc!$A$2:$A$1001=A193)*Calc!$G$2:$G$1001*((((K193+N193)-(L193+Calc!$J$2:$J$1001))&gt;0)*(((K193+N193)-(L193+Calc!$J$2:$J$1001))&lt;Calc!$F$2:$F$1001)*((K193+N193)-(L193+Calc!$J$2:$J$1001))+(((K193+N193)-(L193+Calc!$J$2:$J$1001))&gt;=Calc!$F$2:$F$1001)*Calc!$F$2:$F$1001))))</f>
        <v/>
      </c>
      <c r="S193">
        <f>IF(I193=0,0,(MIN(MAX((K193+O193),0),L193)*W193+SUMPRODUCT((Calc!$A$2:$A$1001=A193)*Calc!$G$2:$G$1001*((((K193+O193)-(L193+Calc!$J$2:$J$1001))&gt;0)*(((K193+O193)-(L193+Calc!$J$2:$J$1001))&lt;Calc!$F$2:$F$1001)*((K193+O193)-(L193+Calc!$J$2:$J$1001))+(((K193+O193)-(L193+Calc!$J$2:$J$1001))&gt;=Calc!$F$2:$F$1001)*Calc!$F$2:$F$1001))))</f>
        <v/>
      </c>
      <c r="T193">
        <f>IF(AND(E193=1,B193="RETURN"),Transactions!E193*Transactions!G193,0)</f>
        <v/>
      </c>
      <c r="U193">
        <f>IF(AND(E193=1,B193="EXPENSE"),Transactions!J193,0)</f>
        <v/>
      </c>
      <c r="V193">
        <f>IF(AND(Transactions!A193&lt;&gt;"",E193=0),ROW(),"")</f>
        <v/>
      </c>
      <c r="W193">
        <f>IFERROR(VLOOKUP(A193,Opening!$A:$D,4,0),0)</f>
        <v/>
      </c>
    </row>
    <row r="194">
      <c r="A194">
        <f>IF(Transactions!D194="","",UPPER(TRIM(Transactions!D194)))</f>
        <v/>
      </c>
      <c r="B194">
        <f>IF(Transactions!C194="","",UPPER(TRIM(Transactions!C194)))</f>
        <v/>
      </c>
      <c r="C194">
        <f>IF(Transactions!B194="",0,YEAR(Transactions!B194)*100+MONTH(Transactions!B194))</f>
        <v/>
      </c>
      <c r="D194">
        <f>IF(Transactions!A194="",1,IF(COUNTIF(Transactions!$A$1:A193,Transactions!A194)&gt;0,1,0))</f>
        <v/>
      </c>
      <c r="E194">
        <f>IF(D194=1,0,IF(B194="RETURN",IF(COUNTIFS($A$1:A193,A194,$B$1:B193,"SALE",$E$1:E193,1)&gt;0,1,0),1))</f>
        <v/>
      </c>
      <c r="F194">
        <f>IF(E194=1,IF(B194="RECEIPT",Transactions!E194,IF(AND(B194="RETURN",LOWER(TRIM(Transactions!H194))="resellable"),Transactions!E194,0)),0)</f>
        <v/>
      </c>
      <c r="G194">
        <f>IF(F194&gt;0,IF(B194="RECEIPT",Transactions!F194,IF(_xlfn.MAXIFS($H$2:H194,$A$2:A194,A194)&gt;0,INDEX(Transactions!$F:$F,_xlfn.MAXIFS($H$2:H194,$A$2:A194,A194)),W194)),0)</f>
        <v/>
      </c>
      <c r="H194">
        <f>IF(AND(E194=1,B194="RECEIPT"),ROW(),0)</f>
        <v/>
      </c>
      <c r="I194">
        <f>IF(E194=1,IF(OR(B194="SALE",B194="WRITEOFF"),Transactions!E194,0),0)</f>
        <v/>
      </c>
      <c r="J194">
        <f>SUMIFS($F$1:F193,$A$1:A193,A194)</f>
        <v/>
      </c>
      <c r="K194">
        <f>SUMIFS($I$1:I193,$A$1:A193,A194)</f>
        <v/>
      </c>
      <c r="L194">
        <f>IFERROR(VLOOKUP(A194,Opening!$A:$C,3,0),0)</f>
        <v/>
      </c>
      <c r="M194">
        <f>IF(I194=0,0,MAX(0,MIN(INDEX(Month!H$2:H$13,MATCH($A194,Month!$A$2:$A$13,0))-K194,I194)))</f>
        <v/>
      </c>
      <c r="N194">
        <f>IF(I194=0,0,MAX(0,MIN(INDEX(Month!I$2:I$13,MATCH($A194,Month!$A$2:$A$13,0))-K194,I194)))</f>
        <v/>
      </c>
      <c r="O194">
        <f>IF(I194=0,0,MAX(0,MIN(INDEX(Month!J$2:J$13,MATCH($A194,Month!$A$2:$A$13,0))-K194,I194)))</f>
        <v/>
      </c>
      <c r="P194">
        <f>IF(I194=0,0,(MIN(MAX(K194,0),L194)*W194+SUMPRODUCT((Calc!$A$2:$A$1001=A194)*Calc!$G$2:$G$1001*(((K194-(L194+Calc!$J$2:$J$1001))&gt;0)*((K194-(L194+Calc!$J$2:$J$1001))&lt;Calc!$F$2:$F$1001)*(K194-(L194+Calc!$J$2:$J$1001))+((K194-(L194+Calc!$J$2:$J$1001))&gt;=Calc!$F$2:$F$1001)*Calc!$F$2:$F$1001))))</f>
        <v/>
      </c>
      <c r="Q194">
        <f>IF(I194=0,0,(MIN(MAX((K194+M194),0),L194)*W194+SUMPRODUCT((Calc!$A$2:$A$1001=A194)*Calc!$G$2:$G$1001*((((K194+M194)-(L194+Calc!$J$2:$J$1001))&gt;0)*(((K194+M194)-(L194+Calc!$J$2:$J$1001))&lt;Calc!$F$2:$F$1001)*((K194+M194)-(L194+Calc!$J$2:$J$1001))+(((K194+M194)-(L194+Calc!$J$2:$J$1001))&gt;=Calc!$F$2:$F$1001)*Calc!$F$2:$F$1001))))</f>
        <v/>
      </c>
      <c r="R194">
        <f>IF(I194=0,0,(MIN(MAX((K194+N194),0),L194)*W194+SUMPRODUCT((Calc!$A$2:$A$1001=A194)*Calc!$G$2:$G$1001*((((K194+N194)-(L194+Calc!$J$2:$J$1001))&gt;0)*(((K194+N194)-(L194+Calc!$J$2:$J$1001))&lt;Calc!$F$2:$F$1001)*((K194+N194)-(L194+Calc!$J$2:$J$1001))+(((K194+N194)-(L194+Calc!$J$2:$J$1001))&gt;=Calc!$F$2:$F$1001)*Calc!$F$2:$F$1001))))</f>
        <v/>
      </c>
      <c r="S194">
        <f>IF(I194=0,0,(MIN(MAX((K194+O194),0),L194)*W194+SUMPRODUCT((Calc!$A$2:$A$1001=A194)*Calc!$G$2:$G$1001*((((K194+O194)-(L194+Calc!$J$2:$J$1001))&gt;0)*(((K194+O194)-(L194+Calc!$J$2:$J$1001))&lt;Calc!$F$2:$F$1001)*((K194+O194)-(L194+Calc!$J$2:$J$1001))+(((K194+O194)-(L194+Calc!$J$2:$J$1001))&gt;=Calc!$F$2:$F$1001)*Calc!$F$2:$F$1001))))</f>
        <v/>
      </c>
      <c r="T194">
        <f>IF(AND(E194=1,B194="RETURN"),Transactions!E194*Transactions!G194,0)</f>
        <v/>
      </c>
      <c r="U194">
        <f>IF(AND(E194=1,B194="EXPENSE"),Transactions!J194,0)</f>
        <v/>
      </c>
      <c r="V194">
        <f>IF(AND(Transactions!A194&lt;&gt;"",E194=0),ROW(),"")</f>
        <v/>
      </c>
      <c r="W194">
        <f>IFERROR(VLOOKUP(A194,Opening!$A:$D,4,0),0)</f>
        <v/>
      </c>
    </row>
    <row r="195">
      <c r="A195">
        <f>IF(Transactions!D195="","",UPPER(TRIM(Transactions!D195)))</f>
        <v/>
      </c>
      <c r="B195">
        <f>IF(Transactions!C195="","",UPPER(TRIM(Transactions!C195)))</f>
        <v/>
      </c>
      <c r="C195">
        <f>IF(Transactions!B195="",0,YEAR(Transactions!B195)*100+MONTH(Transactions!B195))</f>
        <v/>
      </c>
      <c r="D195">
        <f>IF(Transactions!A195="",1,IF(COUNTIF(Transactions!$A$1:A194,Transactions!A195)&gt;0,1,0))</f>
        <v/>
      </c>
      <c r="E195">
        <f>IF(D195=1,0,IF(B195="RETURN",IF(COUNTIFS($A$1:A194,A195,$B$1:B194,"SALE",$E$1:E194,1)&gt;0,1,0),1))</f>
        <v/>
      </c>
      <c r="F195">
        <f>IF(E195=1,IF(B195="RECEIPT",Transactions!E195,IF(AND(B195="RETURN",LOWER(TRIM(Transactions!H195))="resellable"),Transactions!E195,0)),0)</f>
        <v/>
      </c>
      <c r="G195">
        <f>IF(F195&gt;0,IF(B195="RECEIPT",Transactions!F195,IF(_xlfn.MAXIFS($H$2:H195,$A$2:A195,A195)&gt;0,INDEX(Transactions!$F:$F,_xlfn.MAXIFS($H$2:H195,$A$2:A195,A195)),W195)),0)</f>
        <v/>
      </c>
      <c r="H195">
        <f>IF(AND(E195=1,B195="RECEIPT"),ROW(),0)</f>
        <v/>
      </c>
      <c r="I195">
        <f>IF(E195=1,IF(OR(B195="SALE",B195="WRITEOFF"),Transactions!E195,0),0)</f>
        <v/>
      </c>
      <c r="J195">
        <f>SUMIFS($F$1:F194,$A$1:A194,A195)</f>
        <v/>
      </c>
      <c r="K195">
        <f>SUMIFS($I$1:I194,$A$1:A194,A195)</f>
        <v/>
      </c>
      <c r="L195">
        <f>IFERROR(VLOOKUP(A195,Opening!$A:$C,3,0),0)</f>
        <v/>
      </c>
      <c r="M195">
        <f>IF(I195=0,0,MAX(0,MIN(INDEX(Month!H$2:H$13,MATCH($A195,Month!$A$2:$A$13,0))-K195,I195)))</f>
        <v/>
      </c>
      <c r="N195">
        <f>IF(I195=0,0,MAX(0,MIN(INDEX(Month!I$2:I$13,MATCH($A195,Month!$A$2:$A$13,0))-K195,I195)))</f>
        <v/>
      </c>
      <c r="O195">
        <f>IF(I195=0,0,MAX(0,MIN(INDEX(Month!J$2:J$13,MATCH($A195,Month!$A$2:$A$13,0))-K195,I195)))</f>
        <v/>
      </c>
      <c r="P195">
        <f>IF(I195=0,0,(MIN(MAX(K195,0),L195)*W195+SUMPRODUCT((Calc!$A$2:$A$1001=A195)*Calc!$G$2:$G$1001*(((K195-(L195+Calc!$J$2:$J$1001))&gt;0)*((K195-(L195+Calc!$J$2:$J$1001))&lt;Calc!$F$2:$F$1001)*(K195-(L195+Calc!$J$2:$J$1001))+((K195-(L195+Calc!$J$2:$J$1001))&gt;=Calc!$F$2:$F$1001)*Calc!$F$2:$F$1001))))</f>
        <v/>
      </c>
      <c r="Q195">
        <f>IF(I195=0,0,(MIN(MAX((K195+M195),0),L195)*W195+SUMPRODUCT((Calc!$A$2:$A$1001=A195)*Calc!$G$2:$G$1001*((((K195+M195)-(L195+Calc!$J$2:$J$1001))&gt;0)*(((K195+M195)-(L195+Calc!$J$2:$J$1001))&lt;Calc!$F$2:$F$1001)*((K195+M195)-(L195+Calc!$J$2:$J$1001))+(((K195+M195)-(L195+Calc!$J$2:$J$1001))&gt;=Calc!$F$2:$F$1001)*Calc!$F$2:$F$1001))))</f>
        <v/>
      </c>
      <c r="R195">
        <f>IF(I195=0,0,(MIN(MAX((K195+N195),0),L195)*W195+SUMPRODUCT((Calc!$A$2:$A$1001=A195)*Calc!$G$2:$G$1001*((((K195+N195)-(L195+Calc!$J$2:$J$1001))&gt;0)*(((K195+N195)-(L195+Calc!$J$2:$J$1001))&lt;Calc!$F$2:$F$1001)*((K195+N195)-(L195+Calc!$J$2:$J$1001))+(((K195+N195)-(L195+Calc!$J$2:$J$1001))&gt;=Calc!$F$2:$F$1001)*Calc!$F$2:$F$1001))))</f>
        <v/>
      </c>
      <c r="S195">
        <f>IF(I195=0,0,(MIN(MAX((K195+O195),0),L195)*W195+SUMPRODUCT((Calc!$A$2:$A$1001=A195)*Calc!$G$2:$G$1001*((((K195+O195)-(L195+Calc!$J$2:$J$1001))&gt;0)*(((K195+O195)-(L195+Calc!$J$2:$J$1001))&lt;Calc!$F$2:$F$1001)*((K195+O195)-(L195+Calc!$J$2:$J$1001))+(((K195+O195)-(L195+Calc!$J$2:$J$1001))&gt;=Calc!$F$2:$F$1001)*Calc!$F$2:$F$1001))))</f>
        <v/>
      </c>
      <c r="T195">
        <f>IF(AND(E195=1,B195="RETURN"),Transactions!E195*Transactions!G195,0)</f>
        <v/>
      </c>
      <c r="U195">
        <f>IF(AND(E195=1,B195="EXPENSE"),Transactions!J195,0)</f>
        <v/>
      </c>
      <c r="V195">
        <f>IF(AND(Transactions!A195&lt;&gt;"",E195=0),ROW(),"")</f>
        <v/>
      </c>
      <c r="W195">
        <f>IFERROR(VLOOKUP(A195,Opening!$A:$D,4,0),0)</f>
        <v/>
      </c>
    </row>
    <row r="196">
      <c r="A196">
        <f>IF(Transactions!D196="","",UPPER(TRIM(Transactions!D196)))</f>
        <v/>
      </c>
      <c r="B196">
        <f>IF(Transactions!C196="","",UPPER(TRIM(Transactions!C196)))</f>
        <v/>
      </c>
      <c r="C196">
        <f>IF(Transactions!B196="",0,YEAR(Transactions!B196)*100+MONTH(Transactions!B196))</f>
        <v/>
      </c>
      <c r="D196">
        <f>IF(Transactions!A196="",1,IF(COUNTIF(Transactions!$A$1:A195,Transactions!A196)&gt;0,1,0))</f>
        <v/>
      </c>
      <c r="E196">
        <f>IF(D196=1,0,IF(B196="RETURN",IF(COUNTIFS($A$1:A195,A196,$B$1:B195,"SALE",$E$1:E195,1)&gt;0,1,0),1))</f>
        <v/>
      </c>
      <c r="F196">
        <f>IF(E196=1,IF(B196="RECEIPT",Transactions!E196,IF(AND(B196="RETURN",LOWER(TRIM(Transactions!H196))="resellable"),Transactions!E196,0)),0)</f>
        <v/>
      </c>
      <c r="G196">
        <f>IF(F196&gt;0,IF(B196="RECEIPT",Transactions!F196,IF(_xlfn.MAXIFS($H$2:H196,$A$2:A196,A196)&gt;0,INDEX(Transactions!$F:$F,_xlfn.MAXIFS($H$2:H196,$A$2:A196,A196)),W196)),0)</f>
        <v/>
      </c>
      <c r="H196">
        <f>IF(AND(E196=1,B196="RECEIPT"),ROW(),0)</f>
        <v/>
      </c>
      <c r="I196">
        <f>IF(E196=1,IF(OR(B196="SALE",B196="WRITEOFF"),Transactions!E196,0),0)</f>
        <v/>
      </c>
      <c r="J196">
        <f>SUMIFS($F$1:F195,$A$1:A195,A196)</f>
        <v/>
      </c>
      <c r="K196">
        <f>SUMIFS($I$1:I195,$A$1:A195,A196)</f>
        <v/>
      </c>
      <c r="L196">
        <f>IFERROR(VLOOKUP(A196,Opening!$A:$C,3,0),0)</f>
        <v/>
      </c>
      <c r="M196">
        <f>IF(I196=0,0,MAX(0,MIN(INDEX(Month!H$2:H$13,MATCH($A196,Month!$A$2:$A$13,0))-K196,I196)))</f>
        <v/>
      </c>
      <c r="N196">
        <f>IF(I196=0,0,MAX(0,MIN(INDEX(Month!I$2:I$13,MATCH($A196,Month!$A$2:$A$13,0))-K196,I196)))</f>
        <v/>
      </c>
      <c r="O196">
        <f>IF(I196=0,0,MAX(0,MIN(INDEX(Month!J$2:J$13,MATCH($A196,Month!$A$2:$A$13,0))-K196,I196)))</f>
        <v/>
      </c>
      <c r="P196">
        <f>IF(I196=0,0,(MIN(MAX(K196,0),L196)*W196+SUMPRODUCT((Calc!$A$2:$A$1001=A196)*Calc!$G$2:$G$1001*(((K196-(L196+Calc!$J$2:$J$1001))&gt;0)*((K196-(L196+Calc!$J$2:$J$1001))&lt;Calc!$F$2:$F$1001)*(K196-(L196+Calc!$J$2:$J$1001))+((K196-(L196+Calc!$J$2:$J$1001))&gt;=Calc!$F$2:$F$1001)*Calc!$F$2:$F$1001))))</f>
        <v/>
      </c>
      <c r="Q196">
        <f>IF(I196=0,0,(MIN(MAX((K196+M196),0),L196)*W196+SUMPRODUCT((Calc!$A$2:$A$1001=A196)*Calc!$G$2:$G$1001*((((K196+M196)-(L196+Calc!$J$2:$J$1001))&gt;0)*(((K196+M196)-(L196+Calc!$J$2:$J$1001))&lt;Calc!$F$2:$F$1001)*((K196+M196)-(L196+Calc!$J$2:$J$1001))+(((K196+M196)-(L196+Calc!$J$2:$J$1001))&gt;=Calc!$F$2:$F$1001)*Calc!$F$2:$F$1001))))</f>
        <v/>
      </c>
      <c r="R196">
        <f>IF(I196=0,0,(MIN(MAX((K196+N196),0),L196)*W196+SUMPRODUCT((Calc!$A$2:$A$1001=A196)*Calc!$G$2:$G$1001*((((K196+N196)-(L196+Calc!$J$2:$J$1001))&gt;0)*(((K196+N196)-(L196+Calc!$J$2:$J$1001))&lt;Calc!$F$2:$F$1001)*((K196+N196)-(L196+Calc!$J$2:$J$1001))+(((K196+N196)-(L196+Calc!$J$2:$J$1001))&gt;=Calc!$F$2:$F$1001)*Calc!$F$2:$F$1001))))</f>
        <v/>
      </c>
      <c r="S196">
        <f>IF(I196=0,0,(MIN(MAX((K196+O196),0),L196)*W196+SUMPRODUCT((Calc!$A$2:$A$1001=A196)*Calc!$G$2:$G$1001*((((K196+O196)-(L196+Calc!$J$2:$J$1001))&gt;0)*(((K196+O196)-(L196+Calc!$J$2:$J$1001))&lt;Calc!$F$2:$F$1001)*((K196+O196)-(L196+Calc!$J$2:$J$1001))+(((K196+O196)-(L196+Calc!$J$2:$J$1001))&gt;=Calc!$F$2:$F$1001)*Calc!$F$2:$F$1001))))</f>
        <v/>
      </c>
      <c r="T196">
        <f>IF(AND(E196=1,B196="RETURN"),Transactions!E196*Transactions!G196,0)</f>
        <v/>
      </c>
      <c r="U196">
        <f>IF(AND(E196=1,B196="EXPENSE"),Transactions!J196,0)</f>
        <v/>
      </c>
      <c r="V196">
        <f>IF(AND(Transactions!A196&lt;&gt;"",E196=0),ROW(),"")</f>
        <v/>
      </c>
      <c r="W196">
        <f>IFERROR(VLOOKUP(A196,Opening!$A:$D,4,0),0)</f>
        <v/>
      </c>
    </row>
    <row r="197">
      <c r="A197">
        <f>IF(Transactions!D197="","",UPPER(TRIM(Transactions!D197)))</f>
        <v/>
      </c>
      <c r="B197">
        <f>IF(Transactions!C197="","",UPPER(TRIM(Transactions!C197)))</f>
        <v/>
      </c>
      <c r="C197">
        <f>IF(Transactions!B197="",0,YEAR(Transactions!B197)*100+MONTH(Transactions!B197))</f>
        <v/>
      </c>
      <c r="D197">
        <f>IF(Transactions!A197="",1,IF(COUNTIF(Transactions!$A$1:A196,Transactions!A197)&gt;0,1,0))</f>
        <v/>
      </c>
      <c r="E197">
        <f>IF(D197=1,0,IF(B197="RETURN",IF(COUNTIFS($A$1:A196,A197,$B$1:B196,"SALE",$E$1:E196,1)&gt;0,1,0),1))</f>
        <v/>
      </c>
      <c r="F197">
        <f>IF(E197=1,IF(B197="RECEIPT",Transactions!E197,IF(AND(B197="RETURN",LOWER(TRIM(Transactions!H197))="resellable"),Transactions!E197,0)),0)</f>
        <v/>
      </c>
      <c r="G197">
        <f>IF(F197&gt;0,IF(B197="RECEIPT",Transactions!F197,IF(_xlfn.MAXIFS($H$2:H197,$A$2:A197,A197)&gt;0,INDEX(Transactions!$F:$F,_xlfn.MAXIFS($H$2:H197,$A$2:A197,A197)),W197)),0)</f>
        <v/>
      </c>
      <c r="H197">
        <f>IF(AND(E197=1,B197="RECEIPT"),ROW(),0)</f>
        <v/>
      </c>
      <c r="I197">
        <f>IF(E197=1,IF(OR(B197="SALE",B197="WRITEOFF"),Transactions!E197,0),0)</f>
        <v/>
      </c>
      <c r="J197">
        <f>SUMIFS($F$1:F196,$A$1:A196,A197)</f>
        <v/>
      </c>
      <c r="K197">
        <f>SUMIFS($I$1:I196,$A$1:A196,A197)</f>
        <v/>
      </c>
      <c r="L197">
        <f>IFERROR(VLOOKUP(A197,Opening!$A:$C,3,0),0)</f>
        <v/>
      </c>
      <c r="M197">
        <f>IF(I197=0,0,MAX(0,MIN(INDEX(Month!H$2:H$13,MATCH($A197,Month!$A$2:$A$13,0))-K197,I197)))</f>
        <v/>
      </c>
      <c r="N197">
        <f>IF(I197=0,0,MAX(0,MIN(INDEX(Month!I$2:I$13,MATCH($A197,Month!$A$2:$A$13,0))-K197,I197)))</f>
        <v/>
      </c>
      <c r="O197">
        <f>IF(I197=0,0,MAX(0,MIN(INDEX(Month!J$2:J$13,MATCH($A197,Month!$A$2:$A$13,0))-K197,I197)))</f>
        <v/>
      </c>
      <c r="P197">
        <f>IF(I197=0,0,(MIN(MAX(K197,0),L197)*W197+SUMPRODUCT((Calc!$A$2:$A$1001=A197)*Calc!$G$2:$G$1001*(((K197-(L197+Calc!$J$2:$J$1001))&gt;0)*((K197-(L197+Calc!$J$2:$J$1001))&lt;Calc!$F$2:$F$1001)*(K197-(L197+Calc!$J$2:$J$1001))+((K197-(L197+Calc!$J$2:$J$1001))&gt;=Calc!$F$2:$F$1001)*Calc!$F$2:$F$1001))))</f>
        <v/>
      </c>
      <c r="Q197">
        <f>IF(I197=0,0,(MIN(MAX((K197+M197),0),L197)*W197+SUMPRODUCT((Calc!$A$2:$A$1001=A197)*Calc!$G$2:$G$1001*((((K197+M197)-(L197+Calc!$J$2:$J$1001))&gt;0)*(((K197+M197)-(L197+Calc!$J$2:$J$1001))&lt;Calc!$F$2:$F$1001)*((K197+M197)-(L197+Calc!$J$2:$J$1001))+(((K197+M197)-(L197+Calc!$J$2:$J$1001))&gt;=Calc!$F$2:$F$1001)*Calc!$F$2:$F$1001))))</f>
        <v/>
      </c>
      <c r="R197">
        <f>IF(I197=0,0,(MIN(MAX((K197+N197),0),L197)*W197+SUMPRODUCT((Calc!$A$2:$A$1001=A197)*Calc!$G$2:$G$1001*((((K197+N197)-(L197+Calc!$J$2:$J$1001))&gt;0)*(((K197+N197)-(L197+Calc!$J$2:$J$1001))&lt;Calc!$F$2:$F$1001)*((K197+N197)-(L197+Calc!$J$2:$J$1001))+(((K197+N197)-(L197+Calc!$J$2:$J$1001))&gt;=Calc!$F$2:$F$1001)*Calc!$F$2:$F$1001))))</f>
        <v/>
      </c>
      <c r="S197">
        <f>IF(I197=0,0,(MIN(MAX((K197+O197),0),L197)*W197+SUMPRODUCT((Calc!$A$2:$A$1001=A197)*Calc!$G$2:$G$1001*((((K197+O197)-(L197+Calc!$J$2:$J$1001))&gt;0)*(((K197+O197)-(L197+Calc!$J$2:$J$1001))&lt;Calc!$F$2:$F$1001)*((K197+O197)-(L197+Calc!$J$2:$J$1001))+(((K197+O197)-(L197+Calc!$J$2:$J$1001))&gt;=Calc!$F$2:$F$1001)*Calc!$F$2:$F$1001))))</f>
        <v/>
      </c>
      <c r="T197">
        <f>IF(AND(E197=1,B197="RETURN"),Transactions!E197*Transactions!G197,0)</f>
        <v/>
      </c>
      <c r="U197">
        <f>IF(AND(E197=1,B197="EXPENSE"),Transactions!J197,0)</f>
        <v/>
      </c>
      <c r="V197">
        <f>IF(AND(Transactions!A197&lt;&gt;"",E197=0),ROW(),"")</f>
        <v/>
      </c>
      <c r="W197">
        <f>IFERROR(VLOOKUP(A197,Opening!$A:$D,4,0),0)</f>
        <v/>
      </c>
    </row>
    <row r="198">
      <c r="A198">
        <f>IF(Transactions!D198="","",UPPER(TRIM(Transactions!D198)))</f>
        <v/>
      </c>
      <c r="B198">
        <f>IF(Transactions!C198="","",UPPER(TRIM(Transactions!C198)))</f>
        <v/>
      </c>
      <c r="C198">
        <f>IF(Transactions!B198="",0,YEAR(Transactions!B198)*100+MONTH(Transactions!B198))</f>
        <v/>
      </c>
      <c r="D198">
        <f>IF(Transactions!A198="",1,IF(COUNTIF(Transactions!$A$1:A197,Transactions!A198)&gt;0,1,0))</f>
        <v/>
      </c>
      <c r="E198">
        <f>IF(D198=1,0,IF(B198="RETURN",IF(COUNTIFS($A$1:A197,A198,$B$1:B197,"SALE",$E$1:E197,1)&gt;0,1,0),1))</f>
        <v/>
      </c>
      <c r="F198">
        <f>IF(E198=1,IF(B198="RECEIPT",Transactions!E198,IF(AND(B198="RETURN",LOWER(TRIM(Transactions!H198))="resellable"),Transactions!E198,0)),0)</f>
        <v/>
      </c>
      <c r="G198">
        <f>IF(F198&gt;0,IF(B198="RECEIPT",Transactions!F198,IF(_xlfn.MAXIFS($H$2:H198,$A$2:A198,A198)&gt;0,INDEX(Transactions!$F:$F,_xlfn.MAXIFS($H$2:H198,$A$2:A198,A198)),W198)),0)</f>
        <v/>
      </c>
      <c r="H198">
        <f>IF(AND(E198=1,B198="RECEIPT"),ROW(),0)</f>
        <v/>
      </c>
      <c r="I198">
        <f>IF(E198=1,IF(OR(B198="SALE",B198="WRITEOFF"),Transactions!E198,0),0)</f>
        <v/>
      </c>
      <c r="J198">
        <f>SUMIFS($F$1:F197,$A$1:A197,A198)</f>
        <v/>
      </c>
      <c r="K198">
        <f>SUMIFS($I$1:I197,$A$1:A197,A198)</f>
        <v/>
      </c>
      <c r="L198">
        <f>IFERROR(VLOOKUP(A198,Opening!$A:$C,3,0),0)</f>
        <v/>
      </c>
      <c r="M198">
        <f>IF(I198=0,0,MAX(0,MIN(INDEX(Month!H$2:H$13,MATCH($A198,Month!$A$2:$A$13,0))-K198,I198)))</f>
        <v/>
      </c>
      <c r="N198">
        <f>IF(I198=0,0,MAX(0,MIN(INDEX(Month!I$2:I$13,MATCH($A198,Month!$A$2:$A$13,0))-K198,I198)))</f>
        <v/>
      </c>
      <c r="O198">
        <f>IF(I198=0,0,MAX(0,MIN(INDEX(Month!J$2:J$13,MATCH($A198,Month!$A$2:$A$13,0))-K198,I198)))</f>
        <v/>
      </c>
      <c r="P198">
        <f>IF(I198=0,0,(MIN(MAX(K198,0),L198)*W198+SUMPRODUCT((Calc!$A$2:$A$1001=A198)*Calc!$G$2:$G$1001*(((K198-(L198+Calc!$J$2:$J$1001))&gt;0)*((K198-(L198+Calc!$J$2:$J$1001))&lt;Calc!$F$2:$F$1001)*(K198-(L198+Calc!$J$2:$J$1001))+((K198-(L198+Calc!$J$2:$J$1001))&gt;=Calc!$F$2:$F$1001)*Calc!$F$2:$F$1001))))</f>
        <v/>
      </c>
      <c r="Q198">
        <f>IF(I198=0,0,(MIN(MAX((K198+M198),0),L198)*W198+SUMPRODUCT((Calc!$A$2:$A$1001=A198)*Calc!$G$2:$G$1001*((((K198+M198)-(L198+Calc!$J$2:$J$1001))&gt;0)*(((K198+M198)-(L198+Calc!$J$2:$J$1001))&lt;Calc!$F$2:$F$1001)*((K198+M198)-(L198+Calc!$J$2:$J$1001))+(((K198+M198)-(L198+Calc!$J$2:$J$1001))&gt;=Calc!$F$2:$F$1001)*Calc!$F$2:$F$1001))))</f>
        <v/>
      </c>
      <c r="R198">
        <f>IF(I198=0,0,(MIN(MAX((K198+N198),0),L198)*W198+SUMPRODUCT((Calc!$A$2:$A$1001=A198)*Calc!$G$2:$G$1001*((((K198+N198)-(L198+Calc!$J$2:$J$1001))&gt;0)*(((K198+N198)-(L198+Calc!$J$2:$J$1001))&lt;Calc!$F$2:$F$1001)*((K198+N198)-(L198+Calc!$J$2:$J$1001))+(((K198+N198)-(L198+Calc!$J$2:$J$1001))&gt;=Calc!$F$2:$F$1001)*Calc!$F$2:$F$1001))))</f>
        <v/>
      </c>
      <c r="S198">
        <f>IF(I198=0,0,(MIN(MAX((K198+O198),0),L198)*W198+SUMPRODUCT((Calc!$A$2:$A$1001=A198)*Calc!$G$2:$G$1001*((((K198+O198)-(L198+Calc!$J$2:$J$1001))&gt;0)*(((K198+O198)-(L198+Calc!$J$2:$J$1001))&lt;Calc!$F$2:$F$1001)*((K198+O198)-(L198+Calc!$J$2:$J$1001))+(((K198+O198)-(L198+Calc!$J$2:$J$1001))&gt;=Calc!$F$2:$F$1001)*Calc!$F$2:$F$1001))))</f>
        <v/>
      </c>
      <c r="T198">
        <f>IF(AND(E198=1,B198="RETURN"),Transactions!E198*Transactions!G198,0)</f>
        <v/>
      </c>
      <c r="U198">
        <f>IF(AND(E198=1,B198="EXPENSE"),Transactions!J198,0)</f>
        <v/>
      </c>
      <c r="V198">
        <f>IF(AND(Transactions!A198&lt;&gt;"",E198=0),ROW(),"")</f>
        <v/>
      </c>
      <c r="W198">
        <f>IFERROR(VLOOKUP(A198,Opening!$A:$D,4,0),0)</f>
        <v/>
      </c>
    </row>
    <row r="199">
      <c r="A199">
        <f>IF(Transactions!D199="","",UPPER(TRIM(Transactions!D199)))</f>
        <v/>
      </c>
      <c r="B199">
        <f>IF(Transactions!C199="","",UPPER(TRIM(Transactions!C199)))</f>
        <v/>
      </c>
      <c r="C199">
        <f>IF(Transactions!B199="",0,YEAR(Transactions!B199)*100+MONTH(Transactions!B199))</f>
        <v/>
      </c>
      <c r="D199">
        <f>IF(Transactions!A199="",1,IF(COUNTIF(Transactions!$A$1:A198,Transactions!A199)&gt;0,1,0))</f>
        <v/>
      </c>
      <c r="E199">
        <f>IF(D199=1,0,IF(B199="RETURN",IF(COUNTIFS($A$1:A198,A199,$B$1:B198,"SALE",$E$1:E198,1)&gt;0,1,0),1))</f>
        <v/>
      </c>
      <c r="F199">
        <f>IF(E199=1,IF(B199="RECEIPT",Transactions!E199,IF(AND(B199="RETURN",LOWER(TRIM(Transactions!H199))="resellable"),Transactions!E199,0)),0)</f>
        <v/>
      </c>
      <c r="G199">
        <f>IF(F199&gt;0,IF(B199="RECEIPT",Transactions!F199,IF(_xlfn.MAXIFS($H$2:H199,$A$2:A199,A199)&gt;0,INDEX(Transactions!$F:$F,_xlfn.MAXIFS($H$2:H199,$A$2:A199,A199)),W199)),0)</f>
        <v/>
      </c>
      <c r="H199">
        <f>IF(AND(E199=1,B199="RECEIPT"),ROW(),0)</f>
        <v/>
      </c>
      <c r="I199">
        <f>IF(E199=1,IF(OR(B199="SALE",B199="WRITEOFF"),Transactions!E199,0),0)</f>
        <v/>
      </c>
      <c r="J199">
        <f>SUMIFS($F$1:F198,$A$1:A198,A199)</f>
        <v/>
      </c>
      <c r="K199">
        <f>SUMIFS($I$1:I198,$A$1:A198,A199)</f>
        <v/>
      </c>
      <c r="L199">
        <f>IFERROR(VLOOKUP(A199,Opening!$A:$C,3,0),0)</f>
        <v/>
      </c>
      <c r="M199">
        <f>IF(I199=0,0,MAX(0,MIN(INDEX(Month!H$2:H$13,MATCH($A199,Month!$A$2:$A$13,0))-K199,I199)))</f>
        <v/>
      </c>
      <c r="N199">
        <f>IF(I199=0,0,MAX(0,MIN(INDEX(Month!I$2:I$13,MATCH($A199,Month!$A$2:$A$13,0))-K199,I199)))</f>
        <v/>
      </c>
      <c r="O199">
        <f>IF(I199=0,0,MAX(0,MIN(INDEX(Month!J$2:J$13,MATCH($A199,Month!$A$2:$A$13,0))-K199,I199)))</f>
        <v/>
      </c>
      <c r="P199">
        <f>IF(I199=0,0,(MIN(MAX(K199,0),L199)*W199+SUMPRODUCT((Calc!$A$2:$A$1001=A199)*Calc!$G$2:$G$1001*(((K199-(L199+Calc!$J$2:$J$1001))&gt;0)*((K199-(L199+Calc!$J$2:$J$1001))&lt;Calc!$F$2:$F$1001)*(K199-(L199+Calc!$J$2:$J$1001))+((K199-(L199+Calc!$J$2:$J$1001))&gt;=Calc!$F$2:$F$1001)*Calc!$F$2:$F$1001))))</f>
        <v/>
      </c>
      <c r="Q199">
        <f>IF(I199=0,0,(MIN(MAX((K199+M199),0),L199)*W199+SUMPRODUCT((Calc!$A$2:$A$1001=A199)*Calc!$G$2:$G$1001*((((K199+M199)-(L199+Calc!$J$2:$J$1001))&gt;0)*(((K199+M199)-(L199+Calc!$J$2:$J$1001))&lt;Calc!$F$2:$F$1001)*((K199+M199)-(L199+Calc!$J$2:$J$1001))+(((K199+M199)-(L199+Calc!$J$2:$J$1001))&gt;=Calc!$F$2:$F$1001)*Calc!$F$2:$F$1001))))</f>
        <v/>
      </c>
      <c r="R199">
        <f>IF(I199=0,0,(MIN(MAX((K199+N199),0),L199)*W199+SUMPRODUCT((Calc!$A$2:$A$1001=A199)*Calc!$G$2:$G$1001*((((K199+N199)-(L199+Calc!$J$2:$J$1001))&gt;0)*(((K199+N199)-(L199+Calc!$J$2:$J$1001))&lt;Calc!$F$2:$F$1001)*((K199+N199)-(L199+Calc!$J$2:$J$1001))+(((K199+N199)-(L199+Calc!$J$2:$J$1001))&gt;=Calc!$F$2:$F$1001)*Calc!$F$2:$F$1001))))</f>
        <v/>
      </c>
      <c r="S199">
        <f>IF(I199=0,0,(MIN(MAX((K199+O199),0),L199)*W199+SUMPRODUCT((Calc!$A$2:$A$1001=A199)*Calc!$G$2:$G$1001*((((K199+O199)-(L199+Calc!$J$2:$J$1001))&gt;0)*(((K199+O199)-(L199+Calc!$J$2:$J$1001))&lt;Calc!$F$2:$F$1001)*((K199+O199)-(L199+Calc!$J$2:$J$1001))+(((K199+O199)-(L199+Calc!$J$2:$J$1001))&gt;=Calc!$F$2:$F$1001)*Calc!$F$2:$F$1001))))</f>
        <v/>
      </c>
      <c r="T199">
        <f>IF(AND(E199=1,B199="RETURN"),Transactions!E199*Transactions!G199,0)</f>
        <v/>
      </c>
      <c r="U199">
        <f>IF(AND(E199=1,B199="EXPENSE"),Transactions!J199,0)</f>
        <v/>
      </c>
      <c r="V199">
        <f>IF(AND(Transactions!A199&lt;&gt;"",E199=0),ROW(),"")</f>
        <v/>
      </c>
      <c r="W199">
        <f>IFERROR(VLOOKUP(A199,Opening!$A:$D,4,0),0)</f>
        <v/>
      </c>
    </row>
    <row r="200">
      <c r="A200">
        <f>IF(Transactions!D200="","",UPPER(TRIM(Transactions!D200)))</f>
        <v/>
      </c>
      <c r="B200">
        <f>IF(Transactions!C200="","",UPPER(TRIM(Transactions!C200)))</f>
        <v/>
      </c>
      <c r="C200">
        <f>IF(Transactions!B200="",0,YEAR(Transactions!B200)*100+MONTH(Transactions!B200))</f>
        <v/>
      </c>
      <c r="D200">
        <f>IF(Transactions!A200="",1,IF(COUNTIF(Transactions!$A$1:A199,Transactions!A200)&gt;0,1,0))</f>
        <v/>
      </c>
      <c r="E200">
        <f>IF(D200=1,0,IF(B200="RETURN",IF(COUNTIFS($A$1:A199,A200,$B$1:B199,"SALE",$E$1:E199,1)&gt;0,1,0),1))</f>
        <v/>
      </c>
      <c r="F200">
        <f>IF(E200=1,IF(B200="RECEIPT",Transactions!E200,IF(AND(B200="RETURN",LOWER(TRIM(Transactions!H200))="resellable"),Transactions!E200,0)),0)</f>
        <v/>
      </c>
      <c r="G200">
        <f>IF(F200&gt;0,IF(B200="RECEIPT",Transactions!F200,IF(_xlfn.MAXIFS($H$2:H200,$A$2:A200,A200)&gt;0,INDEX(Transactions!$F:$F,_xlfn.MAXIFS($H$2:H200,$A$2:A200,A200)),W200)),0)</f>
        <v/>
      </c>
      <c r="H200">
        <f>IF(AND(E200=1,B200="RECEIPT"),ROW(),0)</f>
        <v/>
      </c>
      <c r="I200">
        <f>IF(E200=1,IF(OR(B200="SALE",B200="WRITEOFF"),Transactions!E200,0),0)</f>
        <v/>
      </c>
      <c r="J200">
        <f>SUMIFS($F$1:F199,$A$1:A199,A200)</f>
        <v/>
      </c>
      <c r="K200">
        <f>SUMIFS($I$1:I199,$A$1:A199,A200)</f>
        <v/>
      </c>
      <c r="L200">
        <f>IFERROR(VLOOKUP(A200,Opening!$A:$C,3,0),0)</f>
        <v/>
      </c>
      <c r="M200">
        <f>IF(I200=0,0,MAX(0,MIN(INDEX(Month!H$2:H$13,MATCH($A200,Month!$A$2:$A$13,0))-K200,I200)))</f>
        <v/>
      </c>
      <c r="N200">
        <f>IF(I200=0,0,MAX(0,MIN(INDEX(Month!I$2:I$13,MATCH($A200,Month!$A$2:$A$13,0))-K200,I200)))</f>
        <v/>
      </c>
      <c r="O200">
        <f>IF(I200=0,0,MAX(0,MIN(INDEX(Month!J$2:J$13,MATCH($A200,Month!$A$2:$A$13,0))-K200,I200)))</f>
        <v/>
      </c>
      <c r="P200">
        <f>IF(I200=0,0,(MIN(MAX(K200,0),L200)*W200+SUMPRODUCT((Calc!$A$2:$A$1001=A200)*Calc!$G$2:$G$1001*(((K200-(L200+Calc!$J$2:$J$1001))&gt;0)*((K200-(L200+Calc!$J$2:$J$1001))&lt;Calc!$F$2:$F$1001)*(K200-(L200+Calc!$J$2:$J$1001))+((K200-(L200+Calc!$J$2:$J$1001))&gt;=Calc!$F$2:$F$1001)*Calc!$F$2:$F$1001))))</f>
        <v/>
      </c>
      <c r="Q200">
        <f>IF(I200=0,0,(MIN(MAX((K200+M200),0),L200)*W200+SUMPRODUCT((Calc!$A$2:$A$1001=A200)*Calc!$G$2:$G$1001*((((K200+M200)-(L200+Calc!$J$2:$J$1001))&gt;0)*(((K200+M200)-(L200+Calc!$J$2:$J$1001))&lt;Calc!$F$2:$F$1001)*((K200+M200)-(L200+Calc!$J$2:$J$1001))+(((K200+M200)-(L200+Calc!$J$2:$J$1001))&gt;=Calc!$F$2:$F$1001)*Calc!$F$2:$F$1001))))</f>
        <v/>
      </c>
      <c r="R200">
        <f>IF(I200=0,0,(MIN(MAX((K200+N200),0),L200)*W200+SUMPRODUCT((Calc!$A$2:$A$1001=A200)*Calc!$G$2:$G$1001*((((K200+N200)-(L200+Calc!$J$2:$J$1001))&gt;0)*(((K200+N200)-(L200+Calc!$J$2:$J$1001))&lt;Calc!$F$2:$F$1001)*((K200+N200)-(L200+Calc!$J$2:$J$1001))+(((K200+N200)-(L200+Calc!$J$2:$J$1001))&gt;=Calc!$F$2:$F$1001)*Calc!$F$2:$F$1001))))</f>
        <v/>
      </c>
      <c r="S200">
        <f>IF(I200=0,0,(MIN(MAX((K200+O200),0),L200)*W200+SUMPRODUCT((Calc!$A$2:$A$1001=A200)*Calc!$G$2:$G$1001*((((K200+O200)-(L200+Calc!$J$2:$J$1001))&gt;0)*(((K200+O200)-(L200+Calc!$J$2:$J$1001))&lt;Calc!$F$2:$F$1001)*((K200+O200)-(L200+Calc!$J$2:$J$1001))+(((K200+O200)-(L200+Calc!$J$2:$J$1001))&gt;=Calc!$F$2:$F$1001)*Calc!$F$2:$F$1001))))</f>
        <v/>
      </c>
      <c r="T200">
        <f>IF(AND(E200=1,B200="RETURN"),Transactions!E200*Transactions!G200,0)</f>
        <v/>
      </c>
      <c r="U200">
        <f>IF(AND(E200=1,B200="EXPENSE"),Transactions!J200,0)</f>
        <v/>
      </c>
      <c r="V200">
        <f>IF(AND(Transactions!A200&lt;&gt;"",E200=0),ROW(),"")</f>
        <v/>
      </c>
      <c r="W200">
        <f>IFERROR(VLOOKUP(A200,Opening!$A:$D,4,0),0)</f>
        <v/>
      </c>
    </row>
    <row r="201">
      <c r="A201">
        <f>IF(Transactions!D201="","",UPPER(TRIM(Transactions!D201)))</f>
        <v/>
      </c>
      <c r="B201">
        <f>IF(Transactions!C201="","",UPPER(TRIM(Transactions!C201)))</f>
        <v/>
      </c>
      <c r="C201">
        <f>IF(Transactions!B201="",0,YEAR(Transactions!B201)*100+MONTH(Transactions!B201))</f>
        <v/>
      </c>
      <c r="D201">
        <f>IF(Transactions!A201="",1,IF(COUNTIF(Transactions!$A$1:A200,Transactions!A201)&gt;0,1,0))</f>
        <v/>
      </c>
      <c r="E201">
        <f>IF(D201=1,0,IF(B201="RETURN",IF(COUNTIFS($A$1:A200,A201,$B$1:B200,"SALE",$E$1:E200,1)&gt;0,1,0),1))</f>
        <v/>
      </c>
      <c r="F201">
        <f>IF(E201=1,IF(B201="RECEIPT",Transactions!E201,IF(AND(B201="RETURN",LOWER(TRIM(Transactions!H201))="resellable"),Transactions!E201,0)),0)</f>
        <v/>
      </c>
      <c r="G201">
        <f>IF(F201&gt;0,IF(B201="RECEIPT",Transactions!F201,IF(_xlfn.MAXIFS($H$2:H201,$A$2:A201,A201)&gt;0,INDEX(Transactions!$F:$F,_xlfn.MAXIFS($H$2:H201,$A$2:A201,A201)),W201)),0)</f>
        <v/>
      </c>
      <c r="H201">
        <f>IF(AND(E201=1,B201="RECEIPT"),ROW(),0)</f>
        <v/>
      </c>
      <c r="I201">
        <f>IF(E201=1,IF(OR(B201="SALE",B201="WRITEOFF"),Transactions!E201,0),0)</f>
        <v/>
      </c>
      <c r="J201">
        <f>SUMIFS($F$1:F200,$A$1:A200,A201)</f>
        <v/>
      </c>
      <c r="K201">
        <f>SUMIFS($I$1:I200,$A$1:A200,A201)</f>
        <v/>
      </c>
      <c r="L201">
        <f>IFERROR(VLOOKUP(A201,Opening!$A:$C,3,0),0)</f>
        <v/>
      </c>
      <c r="M201">
        <f>IF(I201=0,0,MAX(0,MIN(INDEX(Month!H$2:H$13,MATCH($A201,Month!$A$2:$A$13,0))-K201,I201)))</f>
        <v/>
      </c>
      <c r="N201">
        <f>IF(I201=0,0,MAX(0,MIN(INDEX(Month!I$2:I$13,MATCH($A201,Month!$A$2:$A$13,0))-K201,I201)))</f>
        <v/>
      </c>
      <c r="O201">
        <f>IF(I201=0,0,MAX(0,MIN(INDEX(Month!J$2:J$13,MATCH($A201,Month!$A$2:$A$13,0))-K201,I201)))</f>
        <v/>
      </c>
      <c r="P201">
        <f>IF(I201=0,0,(MIN(MAX(K201,0),L201)*W201+SUMPRODUCT((Calc!$A$2:$A$1001=A201)*Calc!$G$2:$G$1001*(((K201-(L201+Calc!$J$2:$J$1001))&gt;0)*((K201-(L201+Calc!$J$2:$J$1001))&lt;Calc!$F$2:$F$1001)*(K201-(L201+Calc!$J$2:$J$1001))+((K201-(L201+Calc!$J$2:$J$1001))&gt;=Calc!$F$2:$F$1001)*Calc!$F$2:$F$1001))))</f>
        <v/>
      </c>
      <c r="Q201">
        <f>IF(I201=0,0,(MIN(MAX((K201+M201),0),L201)*W201+SUMPRODUCT((Calc!$A$2:$A$1001=A201)*Calc!$G$2:$G$1001*((((K201+M201)-(L201+Calc!$J$2:$J$1001))&gt;0)*(((K201+M201)-(L201+Calc!$J$2:$J$1001))&lt;Calc!$F$2:$F$1001)*((K201+M201)-(L201+Calc!$J$2:$J$1001))+(((K201+M201)-(L201+Calc!$J$2:$J$1001))&gt;=Calc!$F$2:$F$1001)*Calc!$F$2:$F$1001))))</f>
        <v/>
      </c>
      <c r="R201">
        <f>IF(I201=0,0,(MIN(MAX((K201+N201),0),L201)*W201+SUMPRODUCT((Calc!$A$2:$A$1001=A201)*Calc!$G$2:$G$1001*((((K201+N201)-(L201+Calc!$J$2:$J$1001))&gt;0)*(((K201+N201)-(L201+Calc!$J$2:$J$1001))&lt;Calc!$F$2:$F$1001)*((K201+N201)-(L201+Calc!$J$2:$J$1001))+(((K201+N201)-(L201+Calc!$J$2:$J$1001))&gt;=Calc!$F$2:$F$1001)*Calc!$F$2:$F$1001))))</f>
        <v/>
      </c>
      <c r="S201">
        <f>IF(I201=0,0,(MIN(MAX((K201+O201),0),L201)*W201+SUMPRODUCT((Calc!$A$2:$A$1001=A201)*Calc!$G$2:$G$1001*((((K201+O201)-(L201+Calc!$J$2:$J$1001))&gt;0)*(((K201+O201)-(L201+Calc!$J$2:$J$1001))&lt;Calc!$F$2:$F$1001)*((K201+O201)-(L201+Calc!$J$2:$J$1001))+(((K201+O201)-(L201+Calc!$J$2:$J$1001))&gt;=Calc!$F$2:$F$1001)*Calc!$F$2:$F$1001))))</f>
        <v/>
      </c>
      <c r="T201">
        <f>IF(AND(E201=1,B201="RETURN"),Transactions!E201*Transactions!G201,0)</f>
        <v/>
      </c>
      <c r="U201">
        <f>IF(AND(E201=1,B201="EXPENSE"),Transactions!J201,0)</f>
        <v/>
      </c>
      <c r="V201">
        <f>IF(AND(Transactions!A201&lt;&gt;"",E201=0),ROW(),"")</f>
        <v/>
      </c>
      <c r="W201">
        <f>IFERROR(VLOOKUP(A201,Opening!$A:$D,4,0),0)</f>
        <v/>
      </c>
    </row>
    <row r="202">
      <c r="A202">
        <f>IF(Transactions!D202="","",UPPER(TRIM(Transactions!D202)))</f>
        <v/>
      </c>
      <c r="B202">
        <f>IF(Transactions!C202="","",UPPER(TRIM(Transactions!C202)))</f>
        <v/>
      </c>
      <c r="C202">
        <f>IF(Transactions!B202="",0,YEAR(Transactions!B202)*100+MONTH(Transactions!B202))</f>
        <v/>
      </c>
      <c r="D202">
        <f>IF(Transactions!A202="",1,IF(COUNTIF(Transactions!$A$1:A201,Transactions!A202)&gt;0,1,0))</f>
        <v/>
      </c>
      <c r="E202">
        <f>IF(D202=1,0,IF(B202="RETURN",IF(COUNTIFS($A$1:A201,A202,$B$1:B201,"SALE",$E$1:E201,1)&gt;0,1,0),1))</f>
        <v/>
      </c>
      <c r="F202">
        <f>IF(E202=1,IF(B202="RECEIPT",Transactions!E202,IF(AND(B202="RETURN",LOWER(TRIM(Transactions!H202))="resellable"),Transactions!E202,0)),0)</f>
        <v/>
      </c>
      <c r="G202">
        <f>IF(F202&gt;0,IF(B202="RECEIPT",Transactions!F202,IF(_xlfn.MAXIFS($H$2:H202,$A$2:A202,A202)&gt;0,INDEX(Transactions!$F:$F,_xlfn.MAXIFS($H$2:H202,$A$2:A202,A202)),W202)),0)</f>
        <v/>
      </c>
      <c r="H202">
        <f>IF(AND(E202=1,B202="RECEIPT"),ROW(),0)</f>
        <v/>
      </c>
      <c r="I202">
        <f>IF(E202=1,IF(OR(B202="SALE",B202="WRITEOFF"),Transactions!E202,0),0)</f>
        <v/>
      </c>
      <c r="J202">
        <f>SUMIFS($F$1:F201,$A$1:A201,A202)</f>
        <v/>
      </c>
      <c r="K202">
        <f>SUMIFS($I$1:I201,$A$1:A201,A202)</f>
        <v/>
      </c>
      <c r="L202">
        <f>IFERROR(VLOOKUP(A202,Opening!$A:$C,3,0),0)</f>
        <v/>
      </c>
      <c r="M202">
        <f>IF(I202=0,0,MAX(0,MIN(INDEX(Month!H$2:H$13,MATCH($A202,Month!$A$2:$A$13,0))-K202,I202)))</f>
        <v/>
      </c>
      <c r="N202">
        <f>IF(I202=0,0,MAX(0,MIN(INDEX(Month!I$2:I$13,MATCH($A202,Month!$A$2:$A$13,0))-K202,I202)))</f>
        <v/>
      </c>
      <c r="O202">
        <f>IF(I202=0,0,MAX(0,MIN(INDEX(Month!J$2:J$13,MATCH($A202,Month!$A$2:$A$13,0))-K202,I202)))</f>
        <v/>
      </c>
      <c r="P202">
        <f>IF(I202=0,0,(MIN(MAX(K202,0),L202)*W202+SUMPRODUCT((Calc!$A$2:$A$1001=A202)*Calc!$G$2:$G$1001*(((K202-(L202+Calc!$J$2:$J$1001))&gt;0)*((K202-(L202+Calc!$J$2:$J$1001))&lt;Calc!$F$2:$F$1001)*(K202-(L202+Calc!$J$2:$J$1001))+((K202-(L202+Calc!$J$2:$J$1001))&gt;=Calc!$F$2:$F$1001)*Calc!$F$2:$F$1001))))</f>
        <v/>
      </c>
      <c r="Q202">
        <f>IF(I202=0,0,(MIN(MAX((K202+M202),0),L202)*W202+SUMPRODUCT((Calc!$A$2:$A$1001=A202)*Calc!$G$2:$G$1001*((((K202+M202)-(L202+Calc!$J$2:$J$1001))&gt;0)*(((K202+M202)-(L202+Calc!$J$2:$J$1001))&lt;Calc!$F$2:$F$1001)*((K202+M202)-(L202+Calc!$J$2:$J$1001))+(((K202+M202)-(L202+Calc!$J$2:$J$1001))&gt;=Calc!$F$2:$F$1001)*Calc!$F$2:$F$1001))))</f>
        <v/>
      </c>
      <c r="R202">
        <f>IF(I202=0,0,(MIN(MAX((K202+N202),0),L202)*W202+SUMPRODUCT((Calc!$A$2:$A$1001=A202)*Calc!$G$2:$G$1001*((((K202+N202)-(L202+Calc!$J$2:$J$1001))&gt;0)*(((K202+N202)-(L202+Calc!$J$2:$J$1001))&lt;Calc!$F$2:$F$1001)*((K202+N202)-(L202+Calc!$J$2:$J$1001))+(((K202+N202)-(L202+Calc!$J$2:$J$1001))&gt;=Calc!$F$2:$F$1001)*Calc!$F$2:$F$1001))))</f>
        <v/>
      </c>
      <c r="S202">
        <f>IF(I202=0,0,(MIN(MAX((K202+O202),0),L202)*W202+SUMPRODUCT((Calc!$A$2:$A$1001=A202)*Calc!$G$2:$G$1001*((((K202+O202)-(L202+Calc!$J$2:$J$1001))&gt;0)*(((K202+O202)-(L202+Calc!$J$2:$J$1001))&lt;Calc!$F$2:$F$1001)*((K202+O202)-(L202+Calc!$J$2:$J$1001))+(((K202+O202)-(L202+Calc!$J$2:$J$1001))&gt;=Calc!$F$2:$F$1001)*Calc!$F$2:$F$1001))))</f>
        <v/>
      </c>
      <c r="T202">
        <f>IF(AND(E202=1,B202="RETURN"),Transactions!E202*Transactions!G202,0)</f>
        <v/>
      </c>
      <c r="U202">
        <f>IF(AND(E202=1,B202="EXPENSE"),Transactions!J202,0)</f>
        <v/>
      </c>
      <c r="V202">
        <f>IF(AND(Transactions!A202&lt;&gt;"",E202=0),ROW(),"")</f>
        <v/>
      </c>
      <c r="W202">
        <f>IFERROR(VLOOKUP(A202,Opening!$A:$D,4,0),0)</f>
        <v/>
      </c>
    </row>
    <row r="203">
      <c r="A203">
        <f>IF(Transactions!D203="","",UPPER(TRIM(Transactions!D203)))</f>
        <v/>
      </c>
      <c r="B203">
        <f>IF(Transactions!C203="","",UPPER(TRIM(Transactions!C203)))</f>
        <v/>
      </c>
      <c r="C203">
        <f>IF(Transactions!B203="",0,YEAR(Transactions!B203)*100+MONTH(Transactions!B203))</f>
        <v/>
      </c>
      <c r="D203">
        <f>IF(Transactions!A203="",1,IF(COUNTIF(Transactions!$A$1:A202,Transactions!A203)&gt;0,1,0))</f>
        <v/>
      </c>
      <c r="E203">
        <f>IF(D203=1,0,IF(B203="RETURN",IF(COUNTIFS($A$1:A202,A203,$B$1:B202,"SALE",$E$1:E202,1)&gt;0,1,0),1))</f>
        <v/>
      </c>
      <c r="F203">
        <f>IF(E203=1,IF(B203="RECEIPT",Transactions!E203,IF(AND(B203="RETURN",LOWER(TRIM(Transactions!H203))="resellable"),Transactions!E203,0)),0)</f>
        <v/>
      </c>
      <c r="G203">
        <f>IF(F203&gt;0,IF(B203="RECEIPT",Transactions!F203,IF(_xlfn.MAXIFS($H$2:H203,$A$2:A203,A203)&gt;0,INDEX(Transactions!$F:$F,_xlfn.MAXIFS($H$2:H203,$A$2:A203,A203)),W203)),0)</f>
        <v/>
      </c>
      <c r="H203">
        <f>IF(AND(E203=1,B203="RECEIPT"),ROW(),0)</f>
        <v/>
      </c>
      <c r="I203">
        <f>IF(E203=1,IF(OR(B203="SALE",B203="WRITEOFF"),Transactions!E203,0),0)</f>
        <v/>
      </c>
      <c r="J203">
        <f>SUMIFS($F$1:F202,$A$1:A202,A203)</f>
        <v/>
      </c>
      <c r="K203">
        <f>SUMIFS($I$1:I202,$A$1:A202,A203)</f>
        <v/>
      </c>
      <c r="L203">
        <f>IFERROR(VLOOKUP(A203,Opening!$A:$C,3,0),0)</f>
        <v/>
      </c>
      <c r="M203">
        <f>IF(I203=0,0,MAX(0,MIN(INDEX(Month!H$2:H$13,MATCH($A203,Month!$A$2:$A$13,0))-K203,I203)))</f>
        <v/>
      </c>
      <c r="N203">
        <f>IF(I203=0,0,MAX(0,MIN(INDEX(Month!I$2:I$13,MATCH($A203,Month!$A$2:$A$13,0))-K203,I203)))</f>
        <v/>
      </c>
      <c r="O203">
        <f>IF(I203=0,0,MAX(0,MIN(INDEX(Month!J$2:J$13,MATCH($A203,Month!$A$2:$A$13,0))-K203,I203)))</f>
        <v/>
      </c>
      <c r="P203">
        <f>IF(I203=0,0,(MIN(MAX(K203,0),L203)*W203+SUMPRODUCT((Calc!$A$2:$A$1001=A203)*Calc!$G$2:$G$1001*(((K203-(L203+Calc!$J$2:$J$1001))&gt;0)*((K203-(L203+Calc!$J$2:$J$1001))&lt;Calc!$F$2:$F$1001)*(K203-(L203+Calc!$J$2:$J$1001))+((K203-(L203+Calc!$J$2:$J$1001))&gt;=Calc!$F$2:$F$1001)*Calc!$F$2:$F$1001))))</f>
        <v/>
      </c>
      <c r="Q203">
        <f>IF(I203=0,0,(MIN(MAX((K203+M203),0),L203)*W203+SUMPRODUCT((Calc!$A$2:$A$1001=A203)*Calc!$G$2:$G$1001*((((K203+M203)-(L203+Calc!$J$2:$J$1001))&gt;0)*(((K203+M203)-(L203+Calc!$J$2:$J$1001))&lt;Calc!$F$2:$F$1001)*((K203+M203)-(L203+Calc!$J$2:$J$1001))+(((K203+M203)-(L203+Calc!$J$2:$J$1001))&gt;=Calc!$F$2:$F$1001)*Calc!$F$2:$F$1001))))</f>
        <v/>
      </c>
      <c r="R203">
        <f>IF(I203=0,0,(MIN(MAX((K203+N203),0),L203)*W203+SUMPRODUCT((Calc!$A$2:$A$1001=A203)*Calc!$G$2:$G$1001*((((K203+N203)-(L203+Calc!$J$2:$J$1001))&gt;0)*(((K203+N203)-(L203+Calc!$J$2:$J$1001))&lt;Calc!$F$2:$F$1001)*((K203+N203)-(L203+Calc!$J$2:$J$1001))+(((K203+N203)-(L203+Calc!$J$2:$J$1001))&gt;=Calc!$F$2:$F$1001)*Calc!$F$2:$F$1001))))</f>
        <v/>
      </c>
      <c r="S203">
        <f>IF(I203=0,0,(MIN(MAX((K203+O203),0),L203)*W203+SUMPRODUCT((Calc!$A$2:$A$1001=A203)*Calc!$G$2:$G$1001*((((K203+O203)-(L203+Calc!$J$2:$J$1001))&gt;0)*(((K203+O203)-(L203+Calc!$J$2:$J$1001))&lt;Calc!$F$2:$F$1001)*((K203+O203)-(L203+Calc!$J$2:$J$1001))+(((K203+O203)-(L203+Calc!$J$2:$J$1001))&gt;=Calc!$F$2:$F$1001)*Calc!$F$2:$F$1001))))</f>
        <v/>
      </c>
      <c r="T203">
        <f>IF(AND(E203=1,B203="RETURN"),Transactions!E203*Transactions!G203,0)</f>
        <v/>
      </c>
      <c r="U203">
        <f>IF(AND(E203=1,B203="EXPENSE"),Transactions!J203,0)</f>
        <v/>
      </c>
      <c r="V203">
        <f>IF(AND(Transactions!A203&lt;&gt;"",E203=0),ROW(),"")</f>
        <v/>
      </c>
      <c r="W203">
        <f>IFERROR(VLOOKUP(A203,Opening!$A:$D,4,0),0)</f>
        <v/>
      </c>
    </row>
    <row r="204">
      <c r="A204">
        <f>IF(Transactions!D204="","",UPPER(TRIM(Transactions!D204)))</f>
        <v/>
      </c>
      <c r="B204">
        <f>IF(Transactions!C204="","",UPPER(TRIM(Transactions!C204)))</f>
        <v/>
      </c>
      <c r="C204">
        <f>IF(Transactions!B204="",0,YEAR(Transactions!B204)*100+MONTH(Transactions!B204))</f>
        <v/>
      </c>
      <c r="D204">
        <f>IF(Transactions!A204="",1,IF(COUNTIF(Transactions!$A$1:A203,Transactions!A204)&gt;0,1,0))</f>
        <v/>
      </c>
      <c r="E204">
        <f>IF(D204=1,0,IF(B204="RETURN",IF(COUNTIFS($A$1:A203,A204,$B$1:B203,"SALE",$E$1:E203,1)&gt;0,1,0),1))</f>
        <v/>
      </c>
      <c r="F204">
        <f>IF(E204=1,IF(B204="RECEIPT",Transactions!E204,IF(AND(B204="RETURN",LOWER(TRIM(Transactions!H204))="resellable"),Transactions!E204,0)),0)</f>
        <v/>
      </c>
      <c r="G204">
        <f>IF(F204&gt;0,IF(B204="RECEIPT",Transactions!F204,IF(_xlfn.MAXIFS($H$2:H204,$A$2:A204,A204)&gt;0,INDEX(Transactions!$F:$F,_xlfn.MAXIFS($H$2:H204,$A$2:A204,A204)),W204)),0)</f>
        <v/>
      </c>
      <c r="H204">
        <f>IF(AND(E204=1,B204="RECEIPT"),ROW(),0)</f>
        <v/>
      </c>
      <c r="I204">
        <f>IF(E204=1,IF(OR(B204="SALE",B204="WRITEOFF"),Transactions!E204,0),0)</f>
        <v/>
      </c>
      <c r="J204">
        <f>SUMIFS($F$1:F203,$A$1:A203,A204)</f>
        <v/>
      </c>
      <c r="K204">
        <f>SUMIFS($I$1:I203,$A$1:A203,A204)</f>
        <v/>
      </c>
      <c r="L204">
        <f>IFERROR(VLOOKUP(A204,Opening!$A:$C,3,0),0)</f>
        <v/>
      </c>
      <c r="M204">
        <f>IF(I204=0,0,MAX(0,MIN(INDEX(Month!H$2:H$13,MATCH($A204,Month!$A$2:$A$13,0))-K204,I204)))</f>
        <v/>
      </c>
      <c r="N204">
        <f>IF(I204=0,0,MAX(0,MIN(INDEX(Month!I$2:I$13,MATCH($A204,Month!$A$2:$A$13,0))-K204,I204)))</f>
        <v/>
      </c>
      <c r="O204">
        <f>IF(I204=0,0,MAX(0,MIN(INDEX(Month!J$2:J$13,MATCH($A204,Month!$A$2:$A$13,0))-K204,I204)))</f>
        <v/>
      </c>
      <c r="P204">
        <f>IF(I204=0,0,(MIN(MAX(K204,0),L204)*W204+SUMPRODUCT((Calc!$A$2:$A$1001=A204)*Calc!$G$2:$G$1001*(((K204-(L204+Calc!$J$2:$J$1001))&gt;0)*((K204-(L204+Calc!$J$2:$J$1001))&lt;Calc!$F$2:$F$1001)*(K204-(L204+Calc!$J$2:$J$1001))+((K204-(L204+Calc!$J$2:$J$1001))&gt;=Calc!$F$2:$F$1001)*Calc!$F$2:$F$1001))))</f>
        <v/>
      </c>
      <c r="Q204">
        <f>IF(I204=0,0,(MIN(MAX((K204+M204),0),L204)*W204+SUMPRODUCT((Calc!$A$2:$A$1001=A204)*Calc!$G$2:$G$1001*((((K204+M204)-(L204+Calc!$J$2:$J$1001))&gt;0)*(((K204+M204)-(L204+Calc!$J$2:$J$1001))&lt;Calc!$F$2:$F$1001)*((K204+M204)-(L204+Calc!$J$2:$J$1001))+(((K204+M204)-(L204+Calc!$J$2:$J$1001))&gt;=Calc!$F$2:$F$1001)*Calc!$F$2:$F$1001))))</f>
        <v/>
      </c>
      <c r="R204">
        <f>IF(I204=0,0,(MIN(MAX((K204+N204),0),L204)*W204+SUMPRODUCT((Calc!$A$2:$A$1001=A204)*Calc!$G$2:$G$1001*((((K204+N204)-(L204+Calc!$J$2:$J$1001))&gt;0)*(((K204+N204)-(L204+Calc!$J$2:$J$1001))&lt;Calc!$F$2:$F$1001)*((K204+N204)-(L204+Calc!$J$2:$J$1001))+(((K204+N204)-(L204+Calc!$J$2:$J$1001))&gt;=Calc!$F$2:$F$1001)*Calc!$F$2:$F$1001))))</f>
        <v/>
      </c>
      <c r="S204">
        <f>IF(I204=0,0,(MIN(MAX((K204+O204),0),L204)*W204+SUMPRODUCT((Calc!$A$2:$A$1001=A204)*Calc!$G$2:$G$1001*((((K204+O204)-(L204+Calc!$J$2:$J$1001))&gt;0)*(((K204+O204)-(L204+Calc!$J$2:$J$1001))&lt;Calc!$F$2:$F$1001)*((K204+O204)-(L204+Calc!$J$2:$J$1001))+(((K204+O204)-(L204+Calc!$J$2:$J$1001))&gt;=Calc!$F$2:$F$1001)*Calc!$F$2:$F$1001))))</f>
        <v/>
      </c>
      <c r="T204">
        <f>IF(AND(E204=1,B204="RETURN"),Transactions!E204*Transactions!G204,0)</f>
        <v/>
      </c>
      <c r="U204">
        <f>IF(AND(E204=1,B204="EXPENSE"),Transactions!J204,0)</f>
        <v/>
      </c>
      <c r="V204">
        <f>IF(AND(Transactions!A204&lt;&gt;"",E204=0),ROW(),"")</f>
        <v/>
      </c>
      <c r="W204">
        <f>IFERROR(VLOOKUP(A204,Opening!$A:$D,4,0),0)</f>
        <v/>
      </c>
    </row>
    <row r="205">
      <c r="A205">
        <f>IF(Transactions!D205="","",UPPER(TRIM(Transactions!D205)))</f>
        <v/>
      </c>
      <c r="B205">
        <f>IF(Transactions!C205="","",UPPER(TRIM(Transactions!C205)))</f>
        <v/>
      </c>
      <c r="C205">
        <f>IF(Transactions!B205="",0,YEAR(Transactions!B205)*100+MONTH(Transactions!B205))</f>
        <v/>
      </c>
      <c r="D205">
        <f>IF(Transactions!A205="",1,IF(COUNTIF(Transactions!$A$1:A204,Transactions!A205)&gt;0,1,0))</f>
        <v/>
      </c>
      <c r="E205">
        <f>IF(D205=1,0,IF(B205="RETURN",IF(COUNTIFS($A$1:A204,A205,$B$1:B204,"SALE",$E$1:E204,1)&gt;0,1,0),1))</f>
        <v/>
      </c>
      <c r="F205">
        <f>IF(E205=1,IF(B205="RECEIPT",Transactions!E205,IF(AND(B205="RETURN",LOWER(TRIM(Transactions!H205))="resellable"),Transactions!E205,0)),0)</f>
        <v/>
      </c>
      <c r="G205">
        <f>IF(F205&gt;0,IF(B205="RECEIPT",Transactions!F205,IF(_xlfn.MAXIFS($H$2:H205,$A$2:A205,A205)&gt;0,INDEX(Transactions!$F:$F,_xlfn.MAXIFS($H$2:H205,$A$2:A205,A205)),W205)),0)</f>
        <v/>
      </c>
      <c r="H205">
        <f>IF(AND(E205=1,B205="RECEIPT"),ROW(),0)</f>
        <v/>
      </c>
      <c r="I205">
        <f>IF(E205=1,IF(OR(B205="SALE",B205="WRITEOFF"),Transactions!E205,0),0)</f>
        <v/>
      </c>
      <c r="J205">
        <f>SUMIFS($F$1:F204,$A$1:A204,A205)</f>
        <v/>
      </c>
      <c r="K205">
        <f>SUMIFS($I$1:I204,$A$1:A204,A205)</f>
        <v/>
      </c>
      <c r="L205">
        <f>IFERROR(VLOOKUP(A205,Opening!$A:$C,3,0),0)</f>
        <v/>
      </c>
      <c r="M205">
        <f>IF(I205=0,0,MAX(0,MIN(INDEX(Month!H$2:H$13,MATCH($A205,Month!$A$2:$A$13,0))-K205,I205)))</f>
        <v/>
      </c>
      <c r="N205">
        <f>IF(I205=0,0,MAX(0,MIN(INDEX(Month!I$2:I$13,MATCH($A205,Month!$A$2:$A$13,0))-K205,I205)))</f>
        <v/>
      </c>
      <c r="O205">
        <f>IF(I205=0,0,MAX(0,MIN(INDEX(Month!J$2:J$13,MATCH($A205,Month!$A$2:$A$13,0))-K205,I205)))</f>
        <v/>
      </c>
      <c r="P205">
        <f>IF(I205=0,0,(MIN(MAX(K205,0),L205)*W205+SUMPRODUCT((Calc!$A$2:$A$1001=A205)*Calc!$G$2:$G$1001*(((K205-(L205+Calc!$J$2:$J$1001))&gt;0)*((K205-(L205+Calc!$J$2:$J$1001))&lt;Calc!$F$2:$F$1001)*(K205-(L205+Calc!$J$2:$J$1001))+((K205-(L205+Calc!$J$2:$J$1001))&gt;=Calc!$F$2:$F$1001)*Calc!$F$2:$F$1001))))</f>
        <v/>
      </c>
      <c r="Q205">
        <f>IF(I205=0,0,(MIN(MAX((K205+M205),0),L205)*W205+SUMPRODUCT((Calc!$A$2:$A$1001=A205)*Calc!$G$2:$G$1001*((((K205+M205)-(L205+Calc!$J$2:$J$1001))&gt;0)*(((K205+M205)-(L205+Calc!$J$2:$J$1001))&lt;Calc!$F$2:$F$1001)*((K205+M205)-(L205+Calc!$J$2:$J$1001))+(((K205+M205)-(L205+Calc!$J$2:$J$1001))&gt;=Calc!$F$2:$F$1001)*Calc!$F$2:$F$1001))))</f>
        <v/>
      </c>
      <c r="R205">
        <f>IF(I205=0,0,(MIN(MAX((K205+N205),0),L205)*W205+SUMPRODUCT((Calc!$A$2:$A$1001=A205)*Calc!$G$2:$G$1001*((((K205+N205)-(L205+Calc!$J$2:$J$1001))&gt;0)*(((K205+N205)-(L205+Calc!$J$2:$J$1001))&lt;Calc!$F$2:$F$1001)*((K205+N205)-(L205+Calc!$J$2:$J$1001))+(((K205+N205)-(L205+Calc!$J$2:$J$1001))&gt;=Calc!$F$2:$F$1001)*Calc!$F$2:$F$1001))))</f>
        <v/>
      </c>
      <c r="S205">
        <f>IF(I205=0,0,(MIN(MAX((K205+O205),0),L205)*W205+SUMPRODUCT((Calc!$A$2:$A$1001=A205)*Calc!$G$2:$G$1001*((((K205+O205)-(L205+Calc!$J$2:$J$1001))&gt;0)*(((K205+O205)-(L205+Calc!$J$2:$J$1001))&lt;Calc!$F$2:$F$1001)*((K205+O205)-(L205+Calc!$J$2:$J$1001))+(((K205+O205)-(L205+Calc!$J$2:$J$1001))&gt;=Calc!$F$2:$F$1001)*Calc!$F$2:$F$1001))))</f>
        <v/>
      </c>
      <c r="T205">
        <f>IF(AND(E205=1,B205="RETURN"),Transactions!E205*Transactions!G205,0)</f>
        <v/>
      </c>
      <c r="U205">
        <f>IF(AND(E205=1,B205="EXPENSE"),Transactions!J205,0)</f>
        <v/>
      </c>
      <c r="V205">
        <f>IF(AND(Transactions!A205&lt;&gt;"",E205=0),ROW(),"")</f>
        <v/>
      </c>
      <c r="W205">
        <f>IFERROR(VLOOKUP(A205,Opening!$A:$D,4,0),0)</f>
        <v/>
      </c>
    </row>
    <row r="206">
      <c r="A206">
        <f>IF(Transactions!D206="","",UPPER(TRIM(Transactions!D206)))</f>
        <v/>
      </c>
      <c r="B206">
        <f>IF(Transactions!C206="","",UPPER(TRIM(Transactions!C206)))</f>
        <v/>
      </c>
      <c r="C206">
        <f>IF(Transactions!B206="",0,YEAR(Transactions!B206)*100+MONTH(Transactions!B206))</f>
        <v/>
      </c>
      <c r="D206">
        <f>IF(Transactions!A206="",1,IF(COUNTIF(Transactions!$A$1:A205,Transactions!A206)&gt;0,1,0))</f>
        <v/>
      </c>
      <c r="E206">
        <f>IF(D206=1,0,IF(B206="RETURN",IF(COUNTIFS($A$1:A205,A206,$B$1:B205,"SALE",$E$1:E205,1)&gt;0,1,0),1))</f>
        <v/>
      </c>
      <c r="F206">
        <f>IF(E206=1,IF(B206="RECEIPT",Transactions!E206,IF(AND(B206="RETURN",LOWER(TRIM(Transactions!H206))="resellable"),Transactions!E206,0)),0)</f>
        <v/>
      </c>
      <c r="G206">
        <f>IF(F206&gt;0,IF(B206="RECEIPT",Transactions!F206,IF(_xlfn.MAXIFS($H$2:H206,$A$2:A206,A206)&gt;0,INDEX(Transactions!$F:$F,_xlfn.MAXIFS($H$2:H206,$A$2:A206,A206)),W206)),0)</f>
        <v/>
      </c>
      <c r="H206">
        <f>IF(AND(E206=1,B206="RECEIPT"),ROW(),0)</f>
        <v/>
      </c>
      <c r="I206">
        <f>IF(E206=1,IF(OR(B206="SALE",B206="WRITEOFF"),Transactions!E206,0),0)</f>
        <v/>
      </c>
      <c r="J206">
        <f>SUMIFS($F$1:F205,$A$1:A205,A206)</f>
        <v/>
      </c>
      <c r="K206">
        <f>SUMIFS($I$1:I205,$A$1:A205,A206)</f>
        <v/>
      </c>
      <c r="L206">
        <f>IFERROR(VLOOKUP(A206,Opening!$A:$C,3,0),0)</f>
        <v/>
      </c>
      <c r="M206">
        <f>IF(I206=0,0,MAX(0,MIN(INDEX(Month!H$2:H$13,MATCH($A206,Month!$A$2:$A$13,0))-K206,I206)))</f>
        <v/>
      </c>
      <c r="N206">
        <f>IF(I206=0,0,MAX(0,MIN(INDEX(Month!I$2:I$13,MATCH($A206,Month!$A$2:$A$13,0))-K206,I206)))</f>
        <v/>
      </c>
      <c r="O206">
        <f>IF(I206=0,0,MAX(0,MIN(INDEX(Month!J$2:J$13,MATCH($A206,Month!$A$2:$A$13,0))-K206,I206)))</f>
        <v/>
      </c>
      <c r="P206">
        <f>IF(I206=0,0,(MIN(MAX(K206,0),L206)*W206+SUMPRODUCT((Calc!$A$2:$A$1001=A206)*Calc!$G$2:$G$1001*(((K206-(L206+Calc!$J$2:$J$1001))&gt;0)*((K206-(L206+Calc!$J$2:$J$1001))&lt;Calc!$F$2:$F$1001)*(K206-(L206+Calc!$J$2:$J$1001))+((K206-(L206+Calc!$J$2:$J$1001))&gt;=Calc!$F$2:$F$1001)*Calc!$F$2:$F$1001))))</f>
        <v/>
      </c>
      <c r="Q206">
        <f>IF(I206=0,0,(MIN(MAX((K206+M206),0),L206)*W206+SUMPRODUCT((Calc!$A$2:$A$1001=A206)*Calc!$G$2:$G$1001*((((K206+M206)-(L206+Calc!$J$2:$J$1001))&gt;0)*(((K206+M206)-(L206+Calc!$J$2:$J$1001))&lt;Calc!$F$2:$F$1001)*((K206+M206)-(L206+Calc!$J$2:$J$1001))+(((K206+M206)-(L206+Calc!$J$2:$J$1001))&gt;=Calc!$F$2:$F$1001)*Calc!$F$2:$F$1001))))</f>
        <v/>
      </c>
      <c r="R206">
        <f>IF(I206=0,0,(MIN(MAX((K206+N206),0),L206)*W206+SUMPRODUCT((Calc!$A$2:$A$1001=A206)*Calc!$G$2:$G$1001*((((K206+N206)-(L206+Calc!$J$2:$J$1001))&gt;0)*(((K206+N206)-(L206+Calc!$J$2:$J$1001))&lt;Calc!$F$2:$F$1001)*((K206+N206)-(L206+Calc!$J$2:$J$1001))+(((K206+N206)-(L206+Calc!$J$2:$J$1001))&gt;=Calc!$F$2:$F$1001)*Calc!$F$2:$F$1001))))</f>
        <v/>
      </c>
      <c r="S206">
        <f>IF(I206=0,0,(MIN(MAX((K206+O206),0),L206)*W206+SUMPRODUCT((Calc!$A$2:$A$1001=A206)*Calc!$G$2:$G$1001*((((K206+O206)-(L206+Calc!$J$2:$J$1001))&gt;0)*(((K206+O206)-(L206+Calc!$J$2:$J$1001))&lt;Calc!$F$2:$F$1001)*((K206+O206)-(L206+Calc!$J$2:$J$1001))+(((K206+O206)-(L206+Calc!$J$2:$J$1001))&gt;=Calc!$F$2:$F$1001)*Calc!$F$2:$F$1001))))</f>
        <v/>
      </c>
      <c r="T206">
        <f>IF(AND(E206=1,B206="RETURN"),Transactions!E206*Transactions!G206,0)</f>
        <v/>
      </c>
      <c r="U206">
        <f>IF(AND(E206=1,B206="EXPENSE"),Transactions!J206,0)</f>
        <v/>
      </c>
      <c r="V206">
        <f>IF(AND(Transactions!A206&lt;&gt;"",E206=0),ROW(),"")</f>
        <v/>
      </c>
      <c r="W206">
        <f>IFERROR(VLOOKUP(A206,Opening!$A:$D,4,0),0)</f>
        <v/>
      </c>
    </row>
    <row r="207">
      <c r="A207">
        <f>IF(Transactions!D207="","",UPPER(TRIM(Transactions!D207)))</f>
        <v/>
      </c>
      <c r="B207">
        <f>IF(Transactions!C207="","",UPPER(TRIM(Transactions!C207)))</f>
        <v/>
      </c>
      <c r="C207">
        <f>IF(Transactions!B207="",0,YEAR(Transactions!B207)*100+MONTH(Transactions!B207))</f>
        <v/>
      </c>
      <c r="D207">
        <f>IF(Transactions!A207="",1,IF(COUNTIF(Transactions!$A$1:A206,Transactions!A207)&gt;0,1,0))</f>
        <v/>
      </c>
      <c r="E207">
        <f>IF(D207=1,0,IF(B207="RETURN",IF(COUNTIFS($A$1:A206,A207,$B$1:B206,"SALE",$E$1:E206,1)&gt;0,1,0),1))</f>
        <v/>
      </c>
      <c r="F207">
        <f>IF(E207=1,IF(B207="RECEIPT",Transactions!E207,IF(AND(B207="RETURN",LOWER(TRIM(Transactions!H207))="resellable"),Transactions!E207,0)),0)</f>
        <v/>
      </c>
      <c r="G207">
        <f>IF(F207&gt;0,IF(B207="RECEIPT",Transactions!F207,IF(_xlfn.MAXIFS($H$2:H207,$A$2:A207,A207)&gt;0,INDEX(Transactions!$F:$F,_xlfn.MAXIFS($H$2:H207,$A$2:A207,A207)),W207)),0)</f>
        <v/>
      </c>
      <c r="H207">
        <f>IF(AND(E207=1,B207="RECEIPT"),ROW(),0)</f>
        <v/>
      </c>
      <c r="I207">
        <f>IF(E207=1,IF(OR(B207="SALE",B207="WRITEOFF"),Transactions!E207,0),0)</f>
        <v/>
      </c>
      <c r="J207">
        <f>SUMIFS($F$1:F206,$A$1:A206,A207)</f>
        <v/>
      </c>
      <c r="K207">
        <f>SUMIFS($I$1:I206,$A$1:A206,A207)</f>
        <v/>
      </c>
      <c r="L207">
        <f>IFERROR(VLOOKUP(A207,Opening!$A:$C,3,0),0)</f>
        <v/>
      </c>
      <c r="M207">
        <f>IF(I207=0,0,MAX(0,MIN(INDEX(Month!H$2:H$13,MATCH($A207,Month!$A$2:$A$13,0))-K207,I207)))</f>
        <v/>
      </c>
      <c r="N207">
        <f>IF(I207=0,0,MAX(0,MIN(INDEX(Month!I$2:I$13,MATCH($A207,Month!$A$2:$A$13,0))-K207,I207)))</f>
        <v/>
      </c>
      <c r="O207">
        <f>IF(I207=0,0,MAX(0,MIN(INDEX(Month!J$2:J$13,MATCH($A207,Month!$A$2:$A$13,0))-K207,I207)))</f>
        <v/>
      </c>
      <c r="P207">
        <f>IF(I207=0,0,(MIN(MAX(K207,0),L207)*W207+SUMPRODUCT((Calc!$A$2:$A$1001=A207)*Calc!$G$2:$G$1001*(((K207-(L207+Calc!$J$2:$J$1001))&gt;0)*((K207-(L207+Calc!$J$2:$J$1001))&lt;Calc!$F$2:$F$1001)*(K207-(L207+Calc!$J$2:$J$1001))+((K207-(L207+Calc!$J$2:$J$1001))&gt;=Calc!$F$2:$F$1001)*Calc!$F$2:$F$1001))))</f>
        <v/>
      </c>
      <c r="Q207">
        <f>IF(I207=0,0,(MIN(MAX((K207+M207),0),L207)*W207+SUMPRODUCT((Calc!$A$2:$A$1001=A207)*Calc!$G$2:$G$1001*((((K207+M207)-(L207+Calc!$J$2:$J$1001))&gt;0)*(((K207+M207)-(L207+Calc!$J$2:$J$1001))&lt;Calc!$F$2:$F$1001)*((K207+M207)-(L207+Calc!$J$2:$J$1001))+(((K207+M207)-(L207+Calc!$J$2:$J$1001))&gt;=Calc!$F$2:$F$1001)*Calc!$F$2:$F$1001))))</f>
        <v/>
      </c>
      <c r="R207">
        <f>IF(I207=0,0,(MIN(MAX((K207+N207),0),L207)*W207+SUMPRODUCT((Calc!$A$2:$A$1001=A207)*Calc!$G$2:$G$1001*((((K207+N207)-(L207+Calc!$J$2:$J$1001))&gt;0)*(((K207+N207)-(L207+Calc!$J$2:$J$1001))&lt;Calc!$F$2:$F$1001)*((K207+N207)-(L207+Calc!$J$2:$J$1001))+(((K207+N207)-(L207+Calc!$J$2:$J$1001))&gt;=Calc!$F$2:$F$1001)*Calc!$F$2:$F$1001))))</f>
        <v/>
      </c>
      <c r="S207">
        <f>IF(I207=0,0,(MIN(MAX((K207+O207),0),L207)*W207+SUMPRODUCT((Calc!$A$2:$A$1001=A207)*Calc!$G$2:$G$1001*((((K207+O207)-(L207+Calc!$J$2:$J$1001))&gt;0)*(((K207+O207)-(L207+Calc!$J$2:$J$1001))&lt;Calc!$F$2:$F$1001)*((K207+O207)-(L207+Calc!$J$2:$J$1001))+(((K207+O207)-(L207+Calc!$J$2:$J$1001))&gt;=Calc!$F$2:$F$1001)*Calc!$F$2:$F$1001))))</f>
        <v/>
      </c>
      <c r="T207">
        <f>IF(AND(E207=1,B207="RETURN"),Transactions!E207*Transactions!G207,0)</f>
        <v/>
      </c>
      <c r="U207">
        <f>IF(AND(E207=1,B207="EXPENSE"),Transactions!J207,0)</f>
        <v/>
      </c>
      <c r="V207">
        <f>IF(AND(Transactions!A207&lt;&gt;"",E207=0),ROW(),"")</f>
        <v/>
      </c>
      <c r="W207">
        <f>IFERROR(VLOOKUP(A207,Opening!$A:$D,4,0),0)</f>
        <v/>
      </c>
    </row>
    <row r="208">
      <c r="A208">
        <f>IF(Transactions!D208="","",UPPER(TRIM(Transactions!D208)))</f>
        <v/>
      </c>
      <c r="B208">
        <f>IF(Transactions!C208="","",UPPER(TRIM(Transactions!C208)))</f>
        <v/>
      </c>
      <c r="C208">
        <f>IF(Transactions!B208="",0,YEAR(Transactions!B208)*100+MONTH(Transactions!B208))</f>
        <v/>
      </c>
      <c r="D208">
        <f>IF(Transactions!A208="",1,IF(COUNTIF(Transactions!$A$1:A207,Transactions!A208)&gt;0,1,0))</f>
        <v/>
      </c>
      <c r="E208">
        <f>IF(D208=1,0,IF(B208="RETURN",IF(COUNTIFS($A$1:A207,A208,$B$1:B207,"SALE",$E$1:E207,1)&gt;0,1,0),1))</f>
        <v/>
      </c>
      <c r="F208">
        <f>IF(E208=1,IF(B208="RECEIPT",Transactions!E208,IF(AND(B208="RETURN",LOWER(TRIM(Transactions!H208))="resellable"),Transactions!E208,0)),0)</f>
        <v/>
      </c>
      <c r="G208">
        <f>IF(F208&gt;0,IF(B208="RECEIPT",Transactions!F208,IF(_xlfn.MAXIFS($H$2:H208,$A$2:A208,A208)&gt;0,INDEX(Transactions!$F:$F,_xlfn.MAXIFS($H$2:H208,$A$2:A208,A208)),W208)),0)</f>
        <v/>
      </c>
      <c r="H208">
        <f>IF(AND(E208=1,B208="RECEIPT"),ROW(),0)</f>
        <v/>
      </c>
      <c r="I208">
        <f>IF(E208=1,IF(OR(B208="SALE",B208="WRITEOFF"),Transactions!E208,0),0)</f>
        <v/>
      </c>
      <c r="J208">
        <f>SUMIFS($F$1:F207,$A$1:A207,A208)</f>
        <v/>
      </c>
      <c r="K208">
        <f>SUMIFS($I$1:I207,$A$1:A207,A208)</f>
        <v/>
      </c>
      <c r="L208">
        <f>IFERROR(VLOOKUP(A208,Opening!$A:$C,3,0),0)</f>
        <v/>
      </c>
      <c r="M208">
        <f>IF(I208=0,0,MAX(0,MIN(INDEX(Month!H$2:H$13,MATCH($A208,Month!$A$2:$A$13,0))-K208,I208)))</f>
        <v/>
      </c>
      <c r="N208">
        <f>IF(I208=0,0,MAX(0,MIN(INDEX(Month!I$2:I$13,MATCH($A208,Month!$A$2:$A$13,0))-K208,I208)))</f>
        <v/>
      </c>
      <c r="O208">
        <f>IF(I208=0,0,MAX(0,MIN(INDEX(Month!J$2:J$13,MATCH($A208,Month!$A$2:$A$13,0))-K208,I208)))</f>
        <v/>
      </c>
      <c r="P208">
        <f>IF(I208=0,0,(MIN(MAX(K208,0),L208)*W208+SUMPRODUCT((Calc!$A$2:$A$1001=A208)*Calc!$G$2:$G$1001*(((K208-(L208+Calc!$J$2:$J$1001))&gt;0)*((K208-(L208+Calc!$J$2:$J$1001))&lt;Calc!$F$2:$F$1001)*(K208-(L208+Calc!$J$2:$J$1001))+((K208-(L208+Calc!$J$2:$J$1001))&gt;=Calc!$F$2:$F$1001)*Calc!$F$2:$F$1001))))</f>
        <v/>
      </c>
      <c r="Q208">
        <f>IF(I208=0,0,(MIN(MAX((K208+M208),0),L208)*W208+SUMPRODUCT((Calc!$A$2:$A$1001=A208)*Calc!$G$2:$G$1001*((((K208+M208)-(L208+Calc!$J$2:$J$1001))&gt;0)*(((K208+M208)-(L208+Calc!$J$2:$J$1001))&lt;Calc!$F$2:$F$1001)*((K208+M208)-(L208+Calc!$J$2:$J$1001))+(((K208+M208)-(L208+Calc!$J$2:$J$1001))&gt;=Calc!$F$2:$F$1001)*Calc!$F$2:$F$1001))))</f>
        <v/>
      </c>
      <c r="R208">
        <f>IF(I208=0,0,(MIN(MAX((K208+N208),0),L208)*W208+SUMPRODUCT((Calc!$A$2:$A$1001=A208)*Calc!$G$2:$G$1001*((((K208+N208)-(L208+Calc!$J$2:$J$1001))&gt;0)*(((K208+N208)-(L208+Calc!$J$2:$J$1001))&lt;Calc!$F$2:$F$1001)*((K208+N208)-(L208+Calc!$J$2:$J$1001))+(((K208+N208)-(L208+Calc!$J$2:$J$1001))&gt;=Calc!$F$2:$F$1001)*Calc!$F$2:$F$1001))))</f>
        <v/>
      </c>
      <c r="S208">
        <f>IF(I208=0,0,(MIN(MAX((K208+O208),0),L208)*W208+SUMPRODUCT((Calc!$A$2:$A$1001=A208)*Calc!$G$2:$G$1001*((((K208+O208)-(L208+Calc!$J$2:$J$1001))&gt;0)*(((K208+O208)-(L208+Calc!$J$2:$J$1001))&lt;Calc!$F$2:$F$1001)*((K208+O208)-(L208+Calc!$J$2:$J$1001))+(((K208+O208)-(L208+Calc!$J$2:$J$1001))&gt;=Calc!$F$2:$F$1001)*Calc!$F$2:$F$1001))))</f>
        <v/>
      </c>
      <c r="T208">
        <f>IF(AND(E208=1,B208="RETURN"),Transactions!E208*Transactions!G208,0)</f>
        <v/>
      </c>
      <c r="U208">
        <f>IF(AND(E208=1,B208="EXPENSE"),Transactions!J208,0)</f>
        <v/>
      </c>
      <c r="V208">
        <f>IF(AND(Transactions!A208&lt;&gt;"",E208=0),ROW(),"")</f>
        <v/>
      </c>
      <c r="W208">
        <f>IFERROR(VLOOKUP(A208,Opening!$A:$D,4,0),0)</f>
        <v/>
      </c>
    </row>
    <row r="209">
      <c r="A209">
        <f>IF(Transactions!D209="","",UPPER(TRIM(Transactions!D209)))</f>
        <v/>
      </c>
      <c r="B209">
        <f>IF(Transactions!C209="","",UPPER(TRIM(Transactions!C209)))</f>
        <v/>
      </c>
      <c r="C209">
        <f>IF(Transactions!B209="",0,YEAR(Transactions!B209)*100+MONTH(Transactions!B209))</f>
        <v/>
      </c>
      <c r="D209">
        <f>IF(Transactions!A209="",1,IF(COUNTIF(Transactions!$A$1:A208,Transactions!A209)&gt;0,1,0))</f>
        <v/>
      </c>
      <c r="E209">
        <f>IF(D209=1,0,IF(B209="RETURN",IF(COUNTIFS($A$1:A208,A209,$B$1:B208,"SALE",$E$1:E208,1)&gt;0,1,0),1))</f>
        <v/>
      </c>
      <c r="F209">
        <f>IF(E209=1,IF(B209="RECEIPT",Transactions!E209,IF(AND(B209="RETURN",LOWER(TRIM(Transactions!H209))="resellable"),Transactions!E209,0)),0)</f>
        <v/>
      </c>
      <c r="G209">
        <f>IF(F209&gt;0,IF(B209="RECEIPT",Transactions!F209,IF(_xlfn.MAXIFS($H$2:H209,$A$2:A209,A209)&gt;0,INDEX(Transactions!$F:$F,_xlfn.MAXIFS($H$2:H209,$A$2:A209,A209)),W209)),0)</f>
        <v/>
      </c>
      <c r="H209">
        <f>IF(AND(E209=1,B209="RECEIPT"),ROW(),0)</f>
        <v/>
      </c>
      <c r="I209">
        <f>IF(E209=1,IF(OR(B209="SALE",B209="WRITEOFF"),Transactions!E209,0),0)</f>
        <v/>
      </c>
      <c r="J209">
        <f>SUMIFS($F$1:F208,$A$1:A208,A209)</f>
        <v/>
      </c>
      <c r="K209">
        <f>SUMIFS($I$1:I208,$A$1:A208,A209)</f>
        <v/>
      </c>
      <c r="L209">
        <f>IFERROR(VLOOKUP(A209,Opening!$A:$C,3,0),0)</f>
        <v/>
      </c>
      <c r="M209">
        <f>IF(I209=0,0,MAX(0,MIN(INDEX(Month!H$2:H$13,MATCH($A209,Month!$A$2:$A$13,0))-K209,I209)))</f>
        <v/>
      </c>
      <c r="N209">
        <f>IF(I209=0,0,MAX(0,MIN(INDEX(Month!I$2:I$13,MATCH($A209,Month!$A$2:$A$13,0))-K209,I209)))</f>
        <v/>
      </c>
      <c r="O209">
        <f>IF(I209=0,0,MAX(0,MIN(INDEX(Month!J$2:J$13,MATCH($A209,Month!$A$2:$A$13,0))-K209,I209)))</f>
        <v/>
      </c>
      <c r="P209">
        <f>IF(I209=0,0,(MIN(MAX(K209,0),L209)*W209+SUMPRODUCT((Calc!$A$2:$A$1001=A209)*Calc!$G$2:$G$1001*(((K209-(L209+Calc!$J$2:$J$1001))&gt;0)*((K209-(L209+Calc!$J$2:$J$1001))&lt;Calc!$F$2:$F$1001)*(K209-(L209+Calc!$J$2:$J$1001))+((K209-(L209+Calc!$J$2:$J$1001))&gt;=Calc!$F$2:$F$1001)*Calc!$F$2:$F$1001))))</f>
        <v/>
      </c>
      <c r="Q209">
        <f>IF(I209=0,0,(MIN(MAX((K209+M209),0),L209)*W209+SUMPRODUCT((Calc!$A$2:$A$1001=A209)*Calc!$G$2:$G$1001*((((K209+M209)-(L209+Calc!$J$2:$J$1001))&gt;0)*(((K209+M209)-(L209+Calc!$J$2:$J$1001))&lt;Calc!$F$2:$F$1001)*((K209+M209)-(L209+Calc!$J$2:$J$1001))+(((K209+M209)-(L209+Calc!$J$2:$J$1001))&gt;=Calc!$F$2:$F$1001)*Calc!$F$2:$F$1001))))</f>
        <v/>
      </c>
      <c r="R209">
        <f>IF(I209=0,0,(MIN(MAX((K209+N209),0),L209)*W209+SUMPRODUCT((Calc!$A$2:$A$1001=A209)*Calc!$G$2:$G$1001*((((K209+N209)-(L209+Calc!$J$2:$J$1001))&gt;0)*(((K209+N209)-(L209+Calc!$J$2:$J$1001))&lt;Calc!$F$2:$F$1001)*((K209+N209)-(L209+Calc!$J$2:$J$1001))+(((K209+N209)-(L209+Calc!$J$2:$J$1001))&gt;=Calc!$F$2:$F$1001)*Calc!$F$2:$F$1001))))</f>
        <v/>
      </c>
      <c r="S209">
        <f>IF(I209=0,0,(MIN(MAX((K209+O209),0),L209)*W209+SUMPRODUCT((Calc!$A$2:$A$1001=A209)*Calc!$G$2:$G$1001*((((K209+O209)-(L209+Calc!$J$2:$J$1001))&gt;0)*(((K209+O209)-(L209+Calc!$J$2:$J$1001))&lt;Calc!$F$2:$F$1001)*((K209+O209)-(L209+Calc!$J$2:$J$1001))+(((K209+O209)-(L209+Calc!$J$2:$J$1001))&gt;=Calc!$F$2:$F$1001)*Calc!$F$2:$F$1001))))</f>
        <v/>
      </c>
      <c r="T209">
        <f>IF(AND(E209=1,B209="RETURN"),Transactions!E209*Transactions!G209,0)</f>
        <v/>
      </c>
      <c r="U209">
        <f>IF(AND(E209=1,B209="EXPENSE"),Transactions!J209,0)</f>
        <v/>
      </c>
      <c r="V209">
        <f>IF(AND(Transactions!A209&lt;&gt;"",E209=0),ROW(),"")</f>
        <v/>
      </c>
      <c r="W209">
        <f>IFERROR(VLOOKUP(A209,Opening!$A:$D,4,0),0)</f>
        <v/>
      </c>
    </row>
    <row r="210">
      <c r="A210">
        <f>IF(Transactions!D210="","",UPPER(TRIM(Transactions!D210)))</f>
        <v/>
      </c>
      <c r="B210">
        <f>IF(Transactions!C210="","",UPPER(TRIM(Transactions!C210)))</f>
        <v/>
      </c>
      <c r="C210">
        <f>IF(Transactions!B210="",0,YEAR(Transactions!B210)*100+MONTH(Transactions!B210))</f>
        <v/>
      </c>
      <c r="D210">
        <f>IF(Transactions!A210="",1,IF(COUNTIF(Transactions!$A$1:A209,Transactions!A210)&gt;0,1,0))</f>
        <v/>
      </c>
      <c r="E210">
        <f>IF(D210=1,0,IF(B210="RETURN",IF(COUNTIFS($A$1:A209,A210,$B$1:B209,"SALE",$E$1:E209,1)&gt;0,1,0),1))</f>
        <v/>
      </c>
      <c r="F210">
        <f>IF(E210=1,IF(B210="RECEIPT",Transactions!E210,IF(AND(B210="RETURN",LOWER(TRIM(Transactions!H210))="resellable"),Transactions!E210,0)),0)</f>
        <v/>
      </c>
      <c r="G210">
        <f>IF(F210&gt;0,IF(B210="RECEIPT",Transactions!F210,IF(_xlfn.MAXIFS($H$2:H210,$A$2:A210,A210)&gt;0,INDEX(Transactions!$F:$F,_xlfn.MAXIFS($H$2:H210,$A$2:A210,A210)),W210)),0)</f>
        <v/>
      </c>
      <c r="H210">
        <f>IF(AND(E210=1,B210="RECEIPT"),ROW(),0)</f>
        <v/>
      </c>
      <c r="I210">
        <f>IF(E210=1,IF(OR(B210="SALE",B210="WRITEOFF"),Transactions!E210,0),0)</f>
        <v/>
      </c>
      <c r="J210">
        <f>SUMIFS($F$1:F209,$A$1:A209,A210)</f>
        <v/>
      </c>
      <c r="K210">
        <f>SUMIFS($I$1:I209,$A$1:A209,A210)</f>
        <v/>
      </c>
      <c r="L210">
        <f>IFERROR(VLOOKUP(A210,Opening!$A:$C,3,0),0)</f>
        <v/>
      </c>
      <c r="M210">
        <f>IF(I210=0,0,MAX(0,MIN(INDEX(Month!H$2:H$13,MATCH($A210,Month!$A$2:$A$13,0))-K210,I210)))</f>
        <v/>
      </c>
      <c r="N210">
        <f>IF(I210=0,0,MAX(0,MIN(INDEX(Month!I$2:I$13,MATCH($A210,Month!$A$2:$A$13,0))-K210,I210)))</f>
        <v/>
      </c>
      <c r="O210">
        <f>IF(I210=0,0,MAX(0,MIN(INDEX(Month!J$2:J$13,MATCH($A210,Month!$A$2:$A$13,0))-K210,I210)))</f>
        <v/>
      </c>
      <c r="P210">
        <f>IF(I210=0,0,(MIN(MAX(K210,0),L210)*W210+SUMPRODUCT((Calc!$A$2:$A$1001=A210)*Calc!$G$2:$G$1001*(((K210-(L210+Calc!$J$2:$J$1001))&gt;0)*((K210-(L210+Calc!$J$2:$J$1001))&lt;Calc!$F$2:$F$1001)*(K210-(L210+Calc!$J$2:$J$1001))+((K210-(L210+Calc!$J$2:$J$1001))&gt;=Calc!$F$2:$F$1001)*Calc!$F$2:$F$1001))))</f>
        <v/>
      </c>
      <c r="Q210">
        <f>IF(I210=0,0,(MIN(MAX((K210+M210),0),L210)*W210+SUMPRODUCT((Calc!$A$2:$A$1001=A210)*Calc!$G$2:$G$1001*((((K210+M210)-(L210+Calc!$J$2:$J$1001))&gt;0)*(((K210+M210)-(L210+Calc!$J$2:$J$1001))&lt;Calc!$F$2:$F$1001)*((K210+M210)-(L210+Calc!$J$2:$J$1001))+(((K210+M210)-(L210+Calc!$J$2:$J$1001))&gt;=Calc!$F$2:$F$1001)*Calc!$F$2:$F$1001))))</f>
        <v/>
      </c>
      <c r="R210">
        <f>IF(I210=0,0,(MIN(MAX((K210+N210),0),L210)*W210+SUMPRODUCT((Calc!$A$2:$A$1001=A210)*Calc!$G$2:$G$1001*((((K210+N210)-(L210+Calc!$J$2:$J$1001))&gt;0)*(((K210+N210)-(L210+Calc!$J$2:$J$1001))&lt;Calc!$F$2:$F$1001)*((K210+N210)-(L210+Calc!$J$2:$J$1001))+(((K210+N210)-(L210+Calc!$J$2:$J$1001))&gt;=Calc!$F$2:$F$1001)*Calc!$F$2:$F$1001))))</f>
        <v/>
      </c>
      <c r="S210">
        <f>IF(I210=0,0,(MIN(MAX((K210+O210),0),L210)*W210+SUMPRODUCT((Calc!$A$2:$A$1001=A210)*Calc!$G$2:$G$1001*((((K210+O210)-(L210+Calc!$J$2:$J$1001))&gt;0)*(((K210+O210)-(L210+Calc!$J$2:$J$1001))&lt;Calc!$F$2:$F$1001)*((K210+O210)-(L210+Calc!$J$2:$J$1001))+(((K210+O210)-(L210+Calc!$J$2:$J$1001))&gt;=Calc!$F$2:$F$1001)*Calc!$F$2:$F$1001))))</f>
        <v/>
      </c>
      <c r="T210">
        <f>IF(AND(E210=1,B210="RETURN"),Transactions!E210*Transactions!G210,0)</f>
        <v/>
      </c>
      <c r="U210">
        <f>IF(AND(E210=1,B210="EXPENSE"),Transactions!J210,0)</f>
        <v/>
      </c>
      <c r="V210">
        <f>IF(AND(Transactions!A210&lt;&gt;"",E210=0),ROW(),"")</f>
        <v/>
      </c>
      <c r="W210">
        <f>IFERROR(VLOOKUP(A210,Opening!$A:$D,4,0),0)</f>
        <v/>
      </c>
    </row>
    <row r="211">
      <c r="A211">
        <f>IF(Transactions!D211="","",UPPER(TRIM(Transactions!D211)))</f>
        <v/>
      </c>
      <c r="B211">
        <f>IF(Transactions!C211="","",UPPER(TRIM(Transactions!C211)))</f>
        <v/>
      </c>
      <c r="C211">
        <f>IF(Transactions!B211="",0,YEAR(Transactions!B211)*100+MONTH(Transactions!B211))</f>
        <v/>
      </c>
      <c r="D211">
        <f>IF(Transactions!A211="",1,IF(COUNTIF(Transactions!$A$1:A210,Transactions!A211)&gt;0,1,0))</f>
        <v/>
      </c>
      <c r="E211">
        <f>IF(D211=1,0,IF(B211="RETURN",IF(COUNTIFS($A$1:A210,A211,$B$1:B210,"SALE",$E$1:E210,1)&gt;0,1,0),1))</f>
        <v/>
      </c>
      <c r="F211">
        <f>IF(E211=1,IF(B211="RECEIPT",Transactions!E211,IF(AND(B211="RETURN",LOWER(TRIM(Transactions!H211))="resellable"),Transactions!E211,0)),0)</f>
        <v/>
      </c>
      <c r="G211">
        <f>IF(F211&gt;0,IF(B211="RECEIPT",Transactions!F211,IF(_xlfn.MAXIFS($H$2:H211,$A$2:A211,A211)&gt;0,INDEX(Transactions!$F:$F,_xlfn.MAXIFS($H$2:H211,$A$2:A211,A211)),W211)),0)</f>
        <v/>
      </c>
      <c r="H211">
        <f>IF(AND(E211=1,B211="RECEIPT"),ROW(),0)</f>
        <v/>
      </c>
      <c r="I211">
        <f>IF(E211=1,IF(OR(B211="SALE",B211="WRITEOFF"),Transactions!E211,0),0)</f>
        <v/>
      </c>
      <c r="J211">
        <f>SUMIFS($F$1:F210,$A$1:A210,A211)</f>
        <v/>
      </c>
      <c r="K211">
        <f>SUMIFS($I$1:I210,$A$1:A210,A211)</f>
        <v/>
      </c>
      <c r="L211">
        <f>IFERROR(VLOOKUP(A211,Opening!$A:$C,3,0),0)</f>
        <v/>
      </c>
      <c r="M211">
        <f>IF(I211=0,0,MAX(0,MIN(INDEX(Month!H$2:H$13,MATCH($A211,Month!$A$2:$A$13,0))-K211,I211)))</f>
        <v/>
      </c>
      <c r="N211">
        <f>IF(I211=0,0,MAX(0,MIN(INDEX(Month!I$2:I$13,MATCH($A211,Month!$A$2:$A$13,0))-K211,I211)))</f>
        <v/>
      </c>
      <c r="O211">
        <f>IF(I211=0,0,MAX(0,MIN(INDEX(Month!J$2:J$13,MATCH($A211,Month!$A$2:$A$13,0))-K211,I211)))</f>
        <v/>
      </c>
      <c r="P211">
        <f>IF(I211=0,0,(MIN(MAX(K211,0),L211)*W211+SUMPRODUCT((Calc!$A$2:$A$1001=A211)*Calc!$G$2:$G$1001*(((K211-(L211+Calc!$J$2:$J$1001))&gt;0)*((K211-(L211+Calc!$J$2:$J$1001))&lt;Calc!$F$2:$F$1001)*(K211-(L211+Calc!$J$2:$J$1001))+((K211-(L211+Calc!$J$2:$J$1001))&gt;=Calc!$F$2:$F$1001)*Calc!$F$2:$F$1001))))</f>
        <v/>
      </c>
      <c r="Q211">
        <f>IF(I211=0,0,(MIN(MAX((K211+M211),0),L211)*W211+SUMPRODUCT((Calc!$A$2:$A$1001=A211)*Calc!$G$2:$G$1001*((((K211+M211)-(L211+Calc!$J$2:$J$1001))&gt;0)*(((K211+M211)-(L211+Calc!$J$2:$J$1001))&lt;Calc!$F$2:$F$1001)*((K211+M211)-(L211+Calc!$J$2:$J$1001))+(((K211+M211)-(L211+Calc!$J$2:$J$1001))&gt;=Calc!$F$2:$F$1001)*Calc!$F$2:$F$1001))))</f>
        <v/>
      </c>
      <c r="R211">
        <f>IF(I211=0,0,(MIN(MAX((K211+N211),0),L211)*W211+SUMPRODUCT((Calc!$A$2:$A$1001=A211)*Calc!$G$2:$G$1001*((((K211+N211)-(L211+Calc!$J$2:$J$1001))&gt;0)*(((K211+N211)-(L211+Calc!$J$2:$J$1001))&lt;Calc!$F$2:$F$1001)*((K211+N211)-(L211+Calc!$J$2:$J$1001))+(((K211+N211)-(L211+Calc!$J$2:$J$1001))&gt;=Calc!$F$2:$F$1001)*Calc!$F$2:$F$1001))))</f>
        <v/>
      </c>
      <c r="S211">
        <f>IF(I211=0,0,(MIN(MAX((K211+O211),0),L211)*W211+SUMPRODUCT((Calc!$A$2:$A$1001=A211)*Calc!$G$2:$G$1001*((((K211+O211)-(L211+Calc!$J$2:$J$1001))&gt;0)*(((K211+O211)-(L211+Calc!$J$2:$J$1001))&lt;Calc!$F$2:$F$1001)*((K211+O211)-(L211+Calc!$J$2:$J$1001))+(((K211+O211)-(L211+Calc!$J$2:$J$1001))&gt;=Calc!$F$2:$F$1001)*Calc!$F$2:$F$1001))))</f>
        <v/>
      </c>
      <c r="T211">
        <f>IF(AND(E211=1,B211="RETURN"),Transactions!E211*Transactions!G211,0)</f>
        <v/>
      </c>
      <c r="U211">
        <f>IF(AND(E211=1,B211="EXPENSE"),Transactions!J211,0)</f>
        <v/>
      </c>
      <c r="V211">
        <f>IF(AND(Transactions!A211&lt;&gt;"",E211=0),ROW(),"")</f>
        <v/>
      </c>
      <c r="W211">
        <f>IFERROR(VLOOKUP(A211,Opening!$A:$D,4,0),0)</f>
        <v/>
      </c>
    </row>
    <row r="212">
      <c r="A212">
        <f>IF(Transactions!D212="","",UPPER(TRIM(Transactions!D212)))</f>
        <v/>
      </c>
      <c r="B212">
        <f>IF(Transactions!C212="","",UPPER(TRIM(Transactions!C212)))</f>
        <v/>
      </c>
      <c r="C212">
        <f>IF(Transactions!B212="",0,YEAR(Transactions!B212)*100+MONTH(Transactions!B212))</f>
        <v/>
      </c>
      <c r="D212">
        <f>IF(Transactions!A212="",1,IF(COUNTIF(Transactions!$A$1:A211,Transactions!A212)&gt;0,1,0))</f>
        <v/>
      </c>
      <c r="E212">
        <f>IF(D212=1,0,IF(B212="RETURN",IF(COUNTIFS($A$1:A211,A212,$B$1:B211,"SALE",$E$1:E211,1)&gt;0,1,0),1))</f>
        <v/>
      </c>
      <c r="F212">
        <f>IF(E212=1,IF(B212="RECEIPT",Transactions!E212,IF(AND(B212="RETURN",LOWER(TRIM(Transactions!H212))="resellable"),Transactions!E212,0)),0)</f>
        <v/>
      </c>
      <c r="G212">
        <f>IF(F212&gt;0,IF(B212="RECEIPT",Transactions!F212,IF(_xlfn.MAXIFS($H$2:H212,$A$2:A212,A212)&gt;0,INDEX(Transactions!$F:$F,_xlfn.MAXIFS($H$2:H212,$A$2:A212,A212)),W212)),0)</f>
        <v/>
      </c>
      <c r="H212">
        <f>IF(AND(E212=1,B212="RECEIPT"),ROW(),0)</f>
        <v/>
      </c>
      <c r="I212">
        <f>IF(E212=1,IF(OR(B212="SALE",B212="WRITEOFF"),Transactions!E212,0),0)</f>
        <v/>
      </c>
      <c r="J212">
        <f>SUMIFS($F$1:F211,$A$1:A211,A212)</f>
        <v/>
      </c>
      <c r="K212">
        <f>SUMIFS($I$1:I211,$A$1:A211,A212)</f>
        <v/>
      </c>
      <c r="L212">
        <f>IFERROR(VLOOKUP(A212,Opening!$A:$C,3,0),0)</f>
        <v/>
      </c>
      <c r="M212">
        <f>IF(I212=0,0,MAX(0,MIN(INDEX(Month!H$2:H$13,MATCH($A212,Month!$A$2:$A$13,0))-K212,I212)))</f>
        <v/>
      </c>
      <c r="N212">
        <f>IF(I212=0,0,MAX(0,MIN(INDEX(Month!I$2:I$13,MATCH($A212,Month!$A$2:$A$13,0))-K212,I212)))</f>
        <v/>
      </c>
      <c r="O212">
        <f>IF(I212=0,0,MAX(0,MIN(INDEX(Month!J$2:J$13,MATCH($A212,Month!$A$2:$A$13,0))-K212,I212)))</f>
        <v/>
      </c>
      <c r="P212">
        <f>IF(I212=0,0,(MIN(MAX(K212,0),L212)*W212+SUMPRODUCT((Calc!$A$2:$A$1001=A212)*Calc!$G$2:$G$1001*(((K212-(L212+Calc!$J$2:$J$1001))&gt;0)*((K212-(L212+Calc!$J$2:$J$1001))&lt;Calc!$F$2:$F$1001)*(K212-(L212+Calc!$J$2:$J$1001))+((K212-(L212+Calc!$J$2:$J$1001))&gt;=Calc!$F$2:$F$1001)*Calc!$F$2:$F$1001))))</f>
        <v/>
      </c>
      <c r="Q212">
        <f>IF(I212=0,0,(MIN(MAX((K212+M212),0),L212)*W212+SUMPRODUCT((Calc!$A$2:$A$1001=A212)*Calc!$G$2:$G$1001*((((K212+M212)-(L212+Calc!$J$2:$J$1001))&gt;0)*(((K212+M212)-(L212+Calc!$J$2:$J$1001))&lt;Calc!$F$2:$F$1001)*((K212+M212)-(L212+Calc!$J$2:$J$1001))+(((K212+M212)-(L212+Calc!$J$2:$J$1001))&gt;=Calc!$F$2:$F$1001)*Calc!$F$2:$F$1001))))</f>
        <v/>
      </c>
      <c r="R212">
        <f>IF(I212=0,0,(MIN(MAX((K212+N212),0),L212)*W212+SUMPRODUCT((Calc!$A$2:$A$1001=A212)*Calc!$G$2:$G$1001*((((K212+N212)-(L212+Calc!$J$2:$J$1001))&gt;0)*(((K212+N212)-(L212+Calc!$J$2:$J$1001))&lt;Calc!$F$2:$F$1001)*((K212+N212)-(L212+Calc!$J$2:$J$1001))+(((K212+N212)-(L212+Calc!$J$2:$J$1001))&gt;=Calc!$F$2:$F$1001)*Calc!$F$2:$F$1001))))</f>
        <v/>
      </c>
      <c r="S212">
        <f>IF(I212=0,0,(MIN(MAX((K212+O212),0),L212)*W212+SUMPRODUCT((Calc!$A$2:$A$1001=A212)*Calc!$G$2:$G$1001*((((K212+O212)-(L212+Calc!$J$2:$J$1001))&gt;0)*(((K212+O212)-(L212+Calc!$J$2:$J$1001))&lt;Calc!$F$2:$F$1001)*((K212+O212)-(L212+Calc!$J$2:$J$1001))+(((K212+O212)-(L212+Calc!$J$2:$J$1001))&gt;=Calc!$F$2:$F$1001)*Calc!$F$2:$F$1001))))</f>
        <v/>
      </c>
      <c r="T212">
        <f>IF(AND(E212=1,B212="RETURN"),Transactions!E212*Transactions!G212,0)</f>
        <v/>
      </c>
      <c r="U212">
        <f>IF(AND(E212=1,B212="EXPENSE"),Transactions!J212,0)</f>
        <v/>
      </c>
      <c r="V212">
        <f>IF(AND(Transactions!A212&lt;&gt;"",E212=0),ROW(),"")</f>
        <v/>
      </c>
      <c r="W212">
        <f>IFERROR(VLOOKUP(A212,Opening!$A:$D,4,0),0)</f>
        <v/>
      </c>
    </row>
    <row r="213">
      <c r="A213">
        <f>IF(Transactions!D213="","",UPPER(TRIM(Transactions!D213)))</f>
        <v/>
      </c>
      <c r="B213">
        <f>IF(Transactions!C213="","",UPPER(TRIM(Transactions!C213)))</f>
        <v/>
      </c>
      <c r="C213">
        <f>IF(Transactions!B213="",0,YEAR(Transactions!B213)*100+MONTH(Transactions!B213))</f>
        <v/>
      </c>
      <c r="D213">
        <f>IF(Transactions!A213="",1,IF(COUNTIF(Transactions!$A$1:A212,Transactions!A213)&gt;0,1,0))</f>
        <v/>
      </c>
      <c r="E213">
        <f>IF(D213=1,0,IF(B213="RETURN",IF(COUNTIFS($A$1:A212,A213,$B$1:B212,"SALE",$E$1:E212,1)&gt;0,1,0),1))</f>
        <v/>
      </c>
      <c r="F213">
        <f>IF(E213=1,IF(B213="RECEIPT",Transactions!E213,IF(AND(B213="RETURN",LOWER(TRIM(Transactions!H213))="resellable"),Transactions!E213,0)),0)</f>
        <v/>
      </c>
      <c r="G213">
        <f>IF(F213&gt;0,IF(B213="RECEIPT",Transactions!F213,IF(_xlfn.MAXIFS($H$2:H213,$A$2:A213,A213)&gt;0,INDEX(Transactions!$F:$F,_xlfn.MAXIFS($H$2:H213,$A$2:A213,A213)),W213)),0)</f>
        <v/>
      </c>
      <c r="H213">
        <f>IF(AND(E213=1,B213="RECEIPT"),ROW(),0)</f>
        <v/>
      </c>
      <c r="I213">
        <f>IF(E213=1,IF(OR(B213="SALE",B213="WRITEOFF"),Transactions!E213,0),0)</f>
        <v/>
      </c>
      <c r="J213">
        <f>SUMIFS($F$1:F212,$A$1:A212,A213)</f>
        <v/>
      </c>
      <c r="K213">
        <f>SUMIFS($I$1:I212,$A$1:A212,A213)</f>
        <v/>
      </c>
      <c r="L213">
        <f>IFERROR(VLOOKUP(A213,Opening!$A:$C,3,0),0)</f>
        <v/>
      </c>
      <c r="M213">
        <f>IF(I213=0,0,MAX(0,MIN(INDEX(Month!H$2:H$13,MATCH($A213,Month!$A$2:$A$13,0))-K213,I213)))</f>
        <v/>
      </c>
      <c r="N213">
        <f>IF(I213=0,0,MAX(0,MIN(INDEX(Month!I$2:I$13,MATCH($A213,Month!$A$2:$A$13,0))-K213,I213)))</f>
        <v/>
      </c>
      <c r="O213">
        <f>IF(I213=0,0,MAX(0,MIN(INDEX(Month!J$2:J$13,MATCH($A213,Month!$A$2:$A$13,0))-K213,I213)))</f>
        <v/>
      </c>
      <c r="P213">
        <f>IF(I213=0,0,(MIN(MAX(K213,0),L213)*W213+SUMPRODUCT((Calc!$A$2:$A$1001=A213)*Calc!$G$2:$G$1001*(((K213-(L213+Calc!$J$2:$J$1001))&gt;0)*((K213-(L213+Calc!$J$2:$J$1001))&lt;Calc!$F$2:$F$1001)*(K213-(L213+Calc!$J$2:$J$1001))+((K213-(L213+Calc!$J$2:$J$1001))&gt;=Calc!$F$2:$F$1001)*Calc!$F$2:$F$1001))))</f>
        <v/>
      </c>
      <c r="Q213">
        <f>IF(I213=0,0,(MIN(MAX((K213+M213),0),L213)*W213+SUMPRODUCT((Calc!$A$2:$A$1001=A213)*Calc!$G$2:$G$1001*((((K213+M213)-(L213+Calc!$J$2:$J$1001))&gt;0)*(((K213+M213)-(L213+Calc!$J$2:$J$1001))&lt;Calc!$F$2:$F$1001)*((K213+M213)-(L213+Calc!$J$2:$J$1001))+(((K213+M213)-(L213+Calc!$J$2:$J$1001))&gt;=Calc!$F$2:$F$1001)*Calc!$F$2:$F$1001))))</f>
        <v/>
      </c>
      <c r="R213">
        <f>IF(I213=0,0,(MIN(MAX((K213+N213),0),L213)*W213+SUMPRODUCT((Calc!$A$2:$A$1001=A213)*Calc!$G$2:$G$1001*((((K213+N213)-(L213+Calc!$J$2:$J$1001))&gt;0)*(((K213+N213)-(L213+Calc!$J$2:$J$1001))&lt;Calc!$F$2:$F$1001)*((K213+N213)-(L213+Calc!$J$2:$J$1001))+(((K213+N213)-(L213+Calc!$J$2:$J$1001))&gt;=Calc!$F$2:$F$1001)*Calc!$F$2:$F$1001))))</f>
        <v/>
      </c>
      <c r="S213">
        <f>IF(I213=0,0,(MIN(MAX((K213+O213),0),L213)*W213+SUMPRODUCT((Calc!$A$2:$A$1001=A213)*Calc!$G$2:$G$1001*((((K213+O213)-(L213+Calc!$J$2:$J$1001))&gt;0)*(((K213+O213)-(L213+Calc!$J$2:$J$1001))&lt;Calc!$F$2:$F$1001)*((K213+O213)-(L213+Calc!$J$2:$J$1001))+(((K213+O213)-(L213+Calc!$J$2:$J$1001))&gt;=Calc!$F$2:$F$1001)*Calc!$F$2:$F$1001))))</f>
        <v/>
      </c>
      <c r="T213">
        <f>IF(AND(E213=1,B213="RETURN"),Transactions!E213*Transactions!G213,0)</f>
        <v/>
      </c>
      <c r="U213">
        <f>IF(AND(E213=1,B213="EXPENSE"),Transactions!J213,0)</f>
        <v/>
      </c>
      <c r="V213">
        <f>IF(AND(Transactions!A213&lt;&gt;"",E213=0),ROW(),"")</f>
        <v/>
      </c>
      <c r="W213">
        <f>IFERROR(VLOOKUP(A213,Opening!$A:$D,4,0),0)</f>
        <v/>
      </c>
    </row>
    <row r="214">
      <c r="A214">
        <f>IF(Transactions!D214="","",UPPER(TRIM(Transactions!D214)))</f>
        <v/>
      </c>
      <c r="B214">
        <f>IF(Transactions!C214="","",UPPER(TRIM(Transactions!C214)))</f>
        <v/>
      </c>
      <c r="C214">
        <f>IF(Transactions!B214="",0,YEAR(Transactions!B214)*100+MONTH(Transactions!B214))</f>
        <v/>
      </c>
      <c r="D214">
        <f>IF(Transactions!A214="",1,IF(COUNTIF(Transactions!$A$1:A213,Transactions!A214)&gt;0,1,0))</f>
        <v/>
      </c>
      <c r="E214">
        <f>IF(D214=1,0,IF(B214="RETURN",IF(COUNTIFS($A$1:A213,A214,$B$1:B213,"SALE",$E$1:E213,1)&gt;0,1,0),1))</f>
        <v/>
      </c>
      <c r="F214">
        <f>IF(E214=1,IF(B214="RECEIPT",Transactions!E214,IF(AND(B214="RETURN",LOWER(TRIM(Transactions!H214))="resellable"),Transactions!E214,0)),0)</f>
        <v/>
      </c>
      <c r="G214">
        <f>IF(F214&gt;0,IF(B214="RECEIPT",Transactions!F214,IF(_xlfn.MAXIFS($H$2:H214,$A$2:A214,A214)&gt;0,INDEX(Transactions!$F:$F,_xlfn.MAXIFS($H$2:H214,$A$2:A214,A214)),W214)),0)</f>
        <v/>
      </c>
      <c r="H214">
        <f>IF(AND(E214=1,B214="RECEIPT"),ROW(),0)</f>
        <v/>
      </c>
      <c r="I214">
        <f>IF(E214=1,IF(OR(B214="SALE",B214="WRITEOFF"),Transactions!E214,0),0)</f>
        <v/>
      </c>
      <c r="J214">
        <f>SUMIFS($F$1:F213,$A$1:A213,A214)</f>
        <v/>
      </c>
      <c r="K214">
        <f>SUMIFS($I$1:I213,$A$1:A213,A214)</f>
        <v/>
      </c>
      <c r="L214">
        <f>IFERROR(VLOOKUP(A214,Opening!$A:$C,3,0),0)</f>
        <v/>
      </c>
      <c r="M214">
        <f>IF(I214=0,0,MAX(0,MIN(INDEX(Month!H$2:H$13,MATCH($A214,Month!$A$2:$A$13,0))-K214,I214)))</f>
        <v/>
      </c>
      <c r="N214">
        <f>IF(I214=0,0,MAX(0,MIN(INDEX(Month!I$2:I$13,MATCH($A214,Month!$A$2:$A$13,0))-K214,I214)))</f>
        <v/>
      </c>
      <c r="O214">
        <f>IF(I214=0,0,MAX(0,MIN(INDEX(Month!J$2:J$13,MATCH($A214,Month!$A$2:$A$13,0))-K214,I214)))</f>
        <v/>
      </c>
      <c r="P214">
        <f>IF(I214=0,0,(MIN(MAX(K214,0),L214)*W214+SUMPRODUCT((Calc!$A$2:$A$1001=A214)*Calc!$G$2:$G$1001*(((K214-(L214+Calc!$J$2:$J$1001))&gt;0)*((K214-(L214+Calc!$J$2:$J$1001))&lt;Calc!$F$2:$F$1001)*(K214-(L214+Calc!$J$2:$J$1001))+((K214-(L214+Calc!$J$2:$J$1001))&gt;=Calc!$F$2:$F$1001)*Calc!$F$2:$F$1001))))</f>
        <v/>
      </c>
      <c r="Q214">
        <f>IF(I214=0,0,(MIN(MAX((K214+M214),0),L214)*W214+SUMPRODUCT((Calc!$A$2:$A$1001=A214)*Calc!$G$2:$G$1001*((((K214+M214)-(L214+Calc!$J$2:$J$1001))&gt;0)*(((K214+M214)-(L214+Calc!$J$2:$J$1001))&lt;Calc!$F$2:$F$1001)*((K214+M214)-(L214+Calc!$J$2:$J$1001))+(((K214+M214)-(L214+Calc!$J$2:$J$1001))&gt;=Calc!$F$2:$F$1001)*Calc!$F$2:$F$1001))))</f>
        <v/>
      </c>
      <c r="R214">
        <f>IF(I214=0,0,(MIN(MAX((K214+N214),0),L214)*W214+SUMPRODUCT((Calc!$A$2:$A$1001=A214)*Calc!$G$2:$G$1001*((((K214+N214)-(L214+Calc!$J$2:$J$1001))&gt;0)*(((K214+N214)-(L214+Calc!$J$2:$J$1001))&lt;Calc!$F$2:$F$1001)*((K214+N214)-(L214+Calc!$J$2:$J$1001))+(((K214+N214)-(L214+Calc!$J$2:$J$1001))&gt;=Calc!$F$2:$F$1001)*Calc!$F$2:$F$1001))))</f>
        <v/>
      </c>
      <c r="S214">
        <f>IF(I214=0,0,(MIN(MAX((K214+O214),0),L214)*W214+SUMPRODUCT((Calc!$A$2:$A$1001=A214)*Calc!$G$2:$G$1001*((((K214+O214)-(L214+Calc!$J$2:$J$1001))&gt;0)*(((K214+O214)-(L214+Calc!$J$2:$J$1001))&lt;Calc!$F$2:$F$1001)*((K214+O214)-(L214+Calc!$J$2:$J$1001))+(((K214+O214)-(L214+Calc!$J$2:$J$1001))&gt;=Calc!$F$2:$F$1001)*Calc!$F$2:$F$1001))))</f>
        <v/>
      </c>
      <c r="T214">
        <f>IF(AND(E214=1,B214="RETURN"),Transactions!E214*Transactions!G214,0)</f>
        <v/>
      </c>
      <c r="U214">
        <f>IF(AND(E214=1,B214="EXPENSE"),Transactions!J214,0)</f>
        <v/>
      </c>
      <c r="V214">
        <f>IF(AND(Transactions!A214&lt;&gt;"",E214=0),ROW(),"")</f>
        <v/>
      </c>
      <c r="W214">
        <f>IFERROR(VLOOKUP(A214,Opening!$A:$D,4,0),0)</f>
        <v/>
      </c>
    </row>
    <row r="215">
      <c r="A215">
        <f>IF(Transactions!D215="","",UPPER(TRIM(Transactions!D215)))</f>
        <v/>
      </c>
      <c r="B215">
        <f>IF(Transactions!C215="","",UPPER(TRIM(Transactions!C215)))</f>
        <v/>
      </c>
      <c r="C215">
        <f>IF(Transactions!B215="",0,YEAR(Transactions!B215)*100+MONTH(Transactions!B215))</f>
        <v/>
      </c>
      <c r="D215">
        <f>IF(Transactions!A215="",1,IF(COUNTIF(Transactions!$A$1:A214,Transactions!A215)&gt;0,1,0))</f>
        <v/>
      </c>
      <c r="E215">
        <f>IF(D215=1,0,IF(B215="RETURN",IF(COUNTIFS($A$1:A214,A215,$B$1:B214,"SALE",$E$1:E214,1)&gt;0,1,0),1))</f>
        <v/>
      </c>
      <c r="F215">
        <f>IF(E215=1,IF(B215="RECEIPT",Transactions!E215,IF(AND(B215="RETURN",LOWER(TRIM(Transactions!H215))="resellable"),Transactions!E215,0)),0)</f>
        <v/>
      </c>
      <c r="G215">
        <f>IF(F215&gt;0,IF(B215="RECEIPT",Transactions!F215,IF(_xlfn.MAXIFS($H$2:H215,$A$2:A215,A215)&gt;0,INDEX(Transactions!$F:$F,_xlfn.MAXIFS($H$2:H215,$A$2:A215,A215)),W215)),0)</f>
        <v/>
      </c>
      <c r="H215">
        <f>IF(AND(E215=1,B215="RECEIPT"),ROW(),0)</f>
        <v/>
      </c>
      <c r="I215">
        <f>IF(E215=1,IF(OR(B215="SALE",B215="WRITEOFF"),Transactions!E215,0),0)</f>
        <v/>
      </c>
      <c r="J215">
        <f>SUMIFS($F$1:F214,$A$1:A214,A215)</f>
        <v/>
      </c>
      <c r="K215">
        <f>SUMIFS($I$1:I214,$A$1:A214,A215)</f>
        <v/>
      </c>
      <c r="L215">
        <f>IFERROR(VLOOKUP(A215,Opening!$A:$C,3,0),0)</f>
        <v/>
      </c>
      <c r="M215">
        <f>IF(I215=0,0,MAX(0,MIN(INDEX(Month!H$2:H$13,MATCH($A215,Month!$A$2:$A$13,0))-K215,I215)))</f>
        <v/>
      </c>
      <c r="N215">
        <f>IF(I215=0,0,MAX(0,MIN(INDEX(Month!I$2:I$13,MATCH($A215,Month!$A$2:$A$13,0))-K215,I215)))</f>
        <v/>
      </c>
      <c r="O215">
        <f>IF(I215=0,0,MAX(0,MIN(INDEX(Month!J$2:J$13,MATCH($A215,Month!$A$2:$A$13,0))-K215,I215)))</f>
        <v/>
      </c>
      <c r="P215">
        <f>IF(I215=0,0,(MIN(MAX(K215,0),L215)*W215+SUMPRODUCT((Calc!$A$2:$A$1001=A215)*Calc!$G$2:$G$1001*(((K215-(L215+Calc!$J$2:$J$1001))&gt;0)*((K215-(L215+Calc!$J$2:$J$1001))&lt;Calc!$F$2:$F$1001)*(K215-(L215+Calc!$J$2:$J$1001))+((K215-(L215+Calc!$J$2:$J$1001))&gt;=Calc!$F$2:$F$1001)*Calc!$F$2:$F$1001))))</f>
        <v/>
      </c>
      <c r="Q215">
        <f>IF(I215=0,0,(MIN(MAX((K215+M215),0),L215)*W215+SUMPRODUCT((Calc!$A$2:$A$1001=A215)*Calc!$G$2:$G$1001*((((K215+M215)-(L215+Calc!$J$2:$J$1001))&gt;0)*(((K215+M215)-(L215+Calc!$J$2:$J$1001))&lt;Calc!$F$2:$F$1001)*((K215+M215)-(L215+Calc!$J$2:$J$1001))+(((K215+M215)-(L215+Calc!$J$2:$J$1001))&gt;=Calc!$F$2:$F$1001)*Calc!$F$2:$F$1001))))</f>
        <v/>
      </c>
      <c r="R215">
        <f>IF(I215=0,0,(MIN(MAX((K215+N215),0),L215)*W215+SUMPRODUCT((Calc!$A$2:$A$1001=A215)*Calc!$G$2:$G$1001*((((K215+N215)-(L215+Calc!$J$2:$J$1001))&gt;0)*(((K215+N215)-(L215+Calc!$J$2:$J$1001))&lt;Calc!$F$2:$F$1001)*((K215+N215)-(L215+Calc!$J$2:$J$1001))+(((K215+N215)-(L215+Calc!$J$2:$J$1001))&gt;=Calc!$F$2:$F$1001)*Calc!$F$2:$F$1001))))</f>
        <v/>
      </c>
      <c r="S215">
        <f>IF(I215=0,0,(MIN(MAX((K215+O215),0),L215)*W215+SUMPRODUCT((Calc!$A$2:$A$1001=A215)*Calc!$G$2:$G$1001*((((K215+O215)-(L215+Calc!$J$2:$J$1001))&gt;0)*(((K215+O215)-(L215+Calc!$J$2:$J$1001))&lt;Calc!$F$2:$F$1001)*((K215+O215)-(L215+Calc!$J$2:$J$1001))+(((K215+O215)-(L215+Calc!$J$2:$J$1001))&gt;=Calc!$F$2:$F$1001)*Calc!$F$2:$F$1001))))</f>
        <v/>
      </c>
      <c r="T215">
        <f>IF(AND(E215=1,B215="RETURN"),Transactions!E215*Transactions!G215,0)</f>
        <v/>
      </c>
      <c r="U215">
        <f>IF(AND(E215=1,B215="EXPENSE"),Transactions!J215,0)</f>
        <v/>
      </c>
      <c r="V215">
        <f>IF(AND(Transactions!A215&lt;&gt;"",E215=0),ROW(),"")</f>
        <v/>
      </c>
      <c r="W215">
        <f>IFERROR(VLOOKUP(A215,Opening!$A:$D,4,0),0)</f>
        <v/>
      </c>
    </row>
    <row r="216">
      <c r="A216">
        <f>IF(Transactions!D216="","",UPPER(TRIM(Transactions!D216)))</f>
        <v/>
      </c>
      <c r="B216">
        <f>IF(Transactions!C216="","",UPPER(TRIM(Transactions!C216)))</f>
        <v/>
      </c>
      <c r="C216">
        <f>IF(Transactions!B216="",0,YEAR(Transactions!B216)*100+MONTH(Transactions!B216))</f>
        <v/>
      </c>
      <c r="D216">
        <f>IF(Transactions!A216="",1,IF(COUNTIF(Transactions!$A$1:A215,Transactions!A216)&gt;0,1,0))</f>
        <v/>
      </c>
      <c r="E216">
        <f>IF(D216=1,0,IF(B216="RETURN",IF(COUNTIFS($A$1:A215,A216,$B$1:B215,"SALE",$E$1:E215,1)&gt;0,1,0),1))</f>
        <v/>
      </c>
      <c r="F216">
        <f>IF(E216=1,IF(B216="RECEIPT",Transactions!E216,IF(AND(B216="RETURN",LOWER(TRIM(Transactions!H216))="resellable"),Transactions!E216,0)),0)</f>
        <v/>
      </c>
      <c r="G216">
        <f>IF(F216&gt;0,IF(B216="RECEIPT",Transactions!F216,IF(_xlfn.MAXIFS($H$2:H216,$A$2:A216,A216)&gt;0,INDEX(Transactions!$F:$F,_xlfn.MAXIFS($H$2:H216,$A$2:A216,A216)),W216)),0)</f>
        <v/>
      </c>
      <c r="H216">
        <f>IF(AND(E216=1,B216="RECEIPT"),ROW(),0)</f>
        <v/>
      </c>
      <c r="I216">
        <f>IF(E216=1,IF(OR(B216="SALE",B216="WRITEOFF"),Transactions!E216,0),0)</f>
        <v/>
      </c>
      <c r="J216">
        <f>SUMIFS($F$1:F215,$A$1:A215,A216)</f>
        <v/>
      </c>
      <c r="K216">
        <f>SUMIFS($I$1:I215,$A$1:A215,A216)</f>
        <v/>
      </c>
      <c r="L216">
        <f>IFERROR(VLOOKUP(A216,Opening!$A:$C,3,0),0)</f>
        <v/>
      </c>
      <c r="M216">
        <f>IF(I216=0,0,MAX(0,MIN(INDEX(Month!H$2:H$13,MATCH($A216,Month!$A$2:$A$13,0))-K216,I216)))</f>
        <v/>
      </c>
      <c r="N216">
        <f>IF(I216=0,0,MAX(0,MIN(INDEX(Month!I$2:I$13,MATCH($A216,Month!$A$2:$A$13,0))-K216,I216)))</f>
        <v/>
      </c>
      <c r="O216">
        <f>IF(I216=0,0,MAX(0,MIN(INDEX(Month!J$2:J$13,MATCH($A216,Month!$A$2:$A$13,0))-K216,I216)))</f>
        <v/>
      </c>
      <c r="P216">
        <f>IF(I216=0,0,(MIN(MAX(K216,0),L216)*W216+SUMPRODUCT((Calc!$A$2:$A$1001=A216)*Calc!$G$2:$G$1001*(((K216-(L216+Calc!$J$2:$J$1001))&gt;0)*((K216-(L216+Calc!$J$2:$J$1001))&lt;Calc!$F$2:$F$1001)*(K216-(L216+Calc!$J$2:$J$1001))+((K216-(L216+Calc!$J$2:$J$1001))&gt;=Calc!$F$2:$F$1001)*Calc!$F$2:$F$1001))))</f>
        <v/>
      </c>
      <c r="Q216">
        <f>IF(I216=0,0,(MIN(MAX((K216+M216),0),L216)*W216+SUMPRODUCT((Calc!$A$2:$A$1001=A216)*Calc!$G$2:$G$1001*((((K216+M216)-(L216+Calc!$J$2:$J$1001))&gt;0)*(((K216+M216)-(L216+Calc!$J$2:$J$1001))&lt;Calc!$F$2:$F$1001)*((K216+M216)-(L216+Calc!$J$2:$J$1001))+(((K216+M216)-(L216+Calc!$J$2:$J$1001))&gt;=Calc!$F$2:$F$1001)*Calc!$F$2:$F$1001))))</f>
        <v/>
      </c>
      <c r="R216">
        <f>IF(I216=0,0,(MIN(MAX((K216+N216),0),L216)*W216+SUMPRODUCT((Calc!$A$2:$A$1001=A216)*Calc!$G$2:$G$1001*((((K216+N216)-(L216+Calc!$J$2:$J$1001))&gt;0)*(((K216+N216)-(L216+Calc!$J$2:$J$1001))&lt;Calc!$F$2:$F$1001)*((K216+N216)-(L216+Calc!$J$2:$J$1001))+(((K216+N216)-(L216+Calc!$J$2:$J$1001))&gt;=Calc!$F$2:$F$1001)*Calc!$F$2:$F$1001))))</f>
        <v/>
      </c>
      <c r="S216">
        <f>IF(I216=0,0,(MIN(MAX((K216+O216),0),L216)*W216+SUMPRODUCT((Calc!$A$2:$A$1001=A216)*Calc!$G$2:$G$1001*((((K216+O216)-(L216+Calc!$J$2:$J$1001))&gt;0)*(((K216+O216)-(L216+Calc!$J$2:$J$1001))&lt;Calc!$F$2:$F$1001)*((K216+O216)-(L216+Calc!$J$2:$J$1001))+(((K216+O216)-(L216+Calc!$J$2:$J$1001))&gt;=Calc!$F$2:$F$1001)*Calc!$F$2:$F$1001))))</f>
        <v/>
      </c>
      <c r="T216">
        <f>IF(AND(E216=1,B216="RETURN"),Transactions!E216*Transactions!G216,0)</f>
        <v/>
      </c>
      <c r="U216">
        <f>IF(AND(E216=1,B216="EXPENSE"),Transactions!J216,0)</f>
        <v/>
      </c>
      <c r="V216">
        <f>IF(AND(Transactions!A216&lt;&gt;"",E216=0),ROW(),"")</f>
        <v/>
      </c>
      <c r="W216">
        <f>IFERROR(VLOOKUP(A216,Opening!$A:$D,4,0),0)</f>
        <v/>
      </c>
    </row>
    <row r="217">
      <c r="A217">
        <f>IF(Transactions!D217="","",UPPER(TRIM(Transactions!D217)))</f>
        <v/>
      </c>
      <c r="B217">
        <f>IF(Transactions!C217="","",UPPER(TRIM(Transactions!C217)))</f>
        <v/>
      </c>
      <c r="C217">
        <f>IF(Transactions!B217="",0,YEAR(Transactions!B217)*100+MONTH(Transactions!B217))</f>
        <v/>
      </c>
      <c r="D217">
        <f>IF(Transactions!A217="",1,IF(COUNTIF(Transactions!$A$1:A216,Transactions!A217)&gt;0,1,0))</f>
        <v/>
      </c>
      <c r="E217">
        <f>IF(D217=1,0,IF(B217="RETURN",IF(COUNTIFS($A$1:A216,A217,$B$1:B216,"SALE",$E$1:E216,1)&gt;0,1,0),1))</f>
        <v/>
      </c>
      <c r="F217">
        <f>IF(E217=1,IF(B217="RECEIPT",Transactions!E217,IF(AND(B217="RETURN",LOWER(TRIM(Transactions!H217))="resellable"),Transactions!E217,0)),0)</f>
        <v/>
      </c>
      <c r="G217">
        <f>IF(F217&gt;0,IF(B217="RECEIPT",Transactions!F217,IF(_xlfn.MAXIFS($H$2:H217,$A$2:A217,A217)&gt;0,INDEX(Transactions!$F:$F,_xlfn.MAXIFS($H$2:H217,$A$2:A217,A217)),W217)),0)</f>
        <v/>
      </c>
      <c r="H217">
        <f>IF(AND(E217=1,B217="RECEIPT"),ROW(),0)</f>
        <v/>
      </c>
      <c r="I217">
        <f>IF(E217=1,IF(OR(B217="SALE",B217="WRITEOFF"),Transactions!E217,0),0)</f>
        <v/>
      </c>
      <c r="J217">
        <f>SUMIFS($F$1:F216,$A$1:A216,A217)</f>
        <v/>
      </c>
      <c r="K217">
        <f>SUMIFS($I$1:I216,$A$1:A216,A217)</f>
        <v/>
      </c>
      <c r="L217">
        <f>IFERROR(VLOOKUP(A217,Opening!$A:$C,3,0),0)</f>
        <v/>
      </c>
      <c r="M217">
        <f>IF(I217=0,0,MAX(0,MIN(INDEX(Month!H$2:H$13,MATCH($A217,Month!$A$2:$A$13,0))-K217,I217)))</f>
        <v/>
      </c>
      <c r="N217">
        <f>IF(I217=0,0,MAX(0,MIN(INDEX(Month!I$2:I$13,MATCH($A217,Month!$A$2:$A$13,0))-K217,I217)))</f>
        <v/>
      </c>
      <c r="O217">
        <f>IF(I217=0,0,MAX(0,MIN(INDEX(Month!J$2:J$13,MATCH($A217,Month!$A$2:$A$13,0))-K217,I217)))</f>
        <v/>
      </c>
      <c r="P217">
        <f>IF(I217=0,0,(MIN(MAX(K217,0),L217)*W217+SUMPRODUCT((Calc!$A$2:$A$1001=A217)*Calc!$G$2:$G$1001*(((K217-(L217+Calc!$J$2:$J$1001))&gt;0)*((K217-(L217+Calc!$J$2:$J$1001))&lt;Calc!$F$2:$F$1001)*(K217-(L217+Calc!$J$2:$J$1001))+((K217-(L217+Calc!$J$2:$J$1001))&gt;=Calc!$F$2:$F$1001)*Calc!$F$2:$F$1001))))</f>
        <v/>
      </c>
      <c r="Q217">
        <f>IF(I217=0,0,(MIN(MAX((K217+M217),0),L217)*W217+SUMPRODUCT((Calc!$A$2:$A$1001=A217)*Calc!$G$2:$G$1001*((((K217+M217)-(L217+Calc!$J$2:$J$1001))&gt;0)*(((K217+M217)-(L217+Calc!$J$2:$J$1001))&lt;Calc!$F$2:$F$1001)*((K217+M217)-(L217+Calc!$J$2:$J$1001))+(((K217+M217)-(L217+Calc!$J$2:$J$1001))&gt;=Calc!$F$2:$F$1001)*Calc!$F$2:$F$1001))))</f>
        <v/>
      </c>
      <c r="R217">
        <f>IF(I217=0,0,(MIN(MAX((K217+N217),0),L217)*W217+SUMPRODUCT((Calc!$A$2:$A$1001=A217)*Calc!$G$2:$G$1001*((((K217+N217)-(L217+Calc!$J$2:$J$1001))&gt;0)*(((K217+N217)-(L217+Calc!$J$2:$J$1001))&lt;Calc!$F$2:$F$1001)*((K217+N217)-(L217+Calc!$J$2:$J$1001))+(((K217+N217)-(L217+Calc!$J$2:$J$1001))&gt;=Calc!$F$2:$F$1001)*Calc!$F$2:$F$1001))))</f>
        <v/>
      </c>
      <c r="S217">
        <f>IF(I217=0,0,(MIN(MAX((K217+O217),0),L217)*W217+SUMPRODUCT((Calc!$A$2:$A$1001=A217)*Calc!$G$2:$G$1001*((((K217+O217)-(L217+Calc!$J$2:$J$1001))&gt;0)*(((K217+O217)-(L217+Calc!$J$2:$J$1001))&lt;Calc!$F$2:$F$1001)*((K217+O217)-(L217+Calc!$J$2:$J$1001))+(((K217+O217)-(L217+Calc!$J$2:$J$1001))&gt;=Calc!$F$2:$F$1001)*Calc!$F$2:$F$1001))))</f>
        <v/>
      </c>
      <c r="T217">
        <f>IF(AND(E217=1,B217="RETURN"),Transactions!E217*Transactions!G217,0)</f>
        <v/>
      </c>
      <c r="U217">
        <f>IF(AND(E217=1,B217="EXPENSE"),Transactions!J217,0)</f>
        <v/>
      </c>
      <c r="V217">
        <f>IF(AND(Transactions!A217&lt;&gt;"",E217=0),ROW(),"")</f>
        <v/>
      </c>
      <c r="W217">
        <f>IFERROR(VLOOKUP(A217,Opening!$A:$D,4,0),0)</f>
        <v/>
      </c>
    </row>
    <row r="218">
      <c r="A218">
        <f>IF(Transactions!D218="","",UPPER(TRIM(Transactions!D218)))</f>
        <v/>
      </c>
      <c r="B218">
        <f>IF(Transactions!C218="","",UPPER(TRIM(Transactions!C218)))</f>
        <v/>
      </c>
      <c r="C218">
        <f>IF(Transactions!B218="",0,YEAR(Transactions!B218)*100+MONTH(Transactions!B218))</f>
        <v/>
      </c>
      <c r="D218">
        <f>IF(Transactions!A218="",1,IF(COUNTIF(Transactions!$A$1:A217,Transactions!A218)&gt;0,1,0))</f>
        <v/>
      </c>
      <c r="E218">
        <f>IF(D218=1,0,IF(B218="RETURN",IF(COUNTIFS($A$1:A217,A218,$B$1:B217,"SALE",$E$1:E217,1)&gt;0,1,0),1))</f>
        <v/>
      </c>
      <c r="F218">
        <f>IF(E218=1,IF(B218="RECEIPT",Transactions!E218,IF(AND(B218="RETURN",LOWER(TRIM(Transactions!H218))="resellable"),Transactions!E218,0)),0)</f>
        <v/>
      </c>
      <c r="G218">
        <f>IF(F218&gt;0,IF(B218="RECEIPT",Transactions!F218,IF(_xlfn.MAXIFS($H$2:H218,$A$2:A218,A218)&gt;0,INDEX(Transactions!$F:$F,_xlfn.MAXIFS($H$2:H218,$A$2:A218,A218)),W218)),0)</f>
        <v/>
      </c>
      <c r="H218">
        <f>IF(AND(E218=1,B218="RECEIPT"),ROW(),0)</f>
        <v/>
      </c>
      <c r="I218">
        <f>IF(E218=1,IF(OR(B218="SALE",B218="WRITEOFF"),Transactions!E218,0),0)</f>
        <v/>
      </c>
      <c r="J218">
        <f>SUMIFS($F$1:F217,$A$1:A217,A218)</f>
        <v/>
      </c>
      <c r="K218">
        <f>SUMIFS($I$1:I217,$A$1:A217,A218)</f>
        <v/>
      </c>
      <c r="L218">
        <f>IFERROR(VLOOKUP(A218,Opening!$A:$C,3,0),0)</f>
        <v/>
      </c>
      <c r="M218">
        <f>IF(I218=0,0,MAX(0,MIN(INDEX(Month!H$2:H$13,MATCH($A218,Month!$A$2:$A$13,0))-K218,I218)))</f>
        <v/>
      </c>
      <c r="N218">
        <f>IF(I218=0,0,MAX(0,MIN(INDEX(Month!I$2:I$13,MATCH($A218,Month!$A$2:$A$13,0))-K218,I218)))</f>
        <v/>
      </c>
      <c r="O218">
        <f>IF(I218=0,0,MAX(0,MIN(INDEX(Month!J$2:J$13,MATCH($A218,Month!$A$2:$A$13,0))-K218,I218)))</f>
        <v/>
      </c>
      <c r="P218">
        <f>IF(I218=0,0,(MIN(MAX(K218,0),L218)*W218+SUMPRODUCT((Calc!$A$2:$A$1001=A218)*Calc!$G$2:$G$1001*(((K218-(L218+Calc!$J$2:$J$1001))&gt;0)*((K218-(L218+Calc!$J$2:$J$1001))&lt;Calc!$F$2:$F$1001)*(K218-(L218+Calc!$J$2:$J$1001))+((K218-(L218+Calc!$J$2:$J$1001))&gt;=Calc!$F$2:$F$1001)*Calc!$F$2:$F$1001))))</f>
        <v/>
      </c>
      <c r="Q218">
        <f>IF(I218=0,0,(MIN(MAX((K218+M218),0),L218)*W218+SUMPRODUCT((Calc!$A$2:$A$1001=A218)*Calc!$G$2:$G$1001*((((K218+M218)-(L218+Calc!$J$2:$J$1001))&gt;0)*(((K218+M218)-(L218+Calc!$J$2:$J$1001))&lt;Calc!$F$2:$F$1001)*((K218+M218)-(L218+Calc!$J$2:$J$1001))+(((K218+M218)-(L218+Calc!$J$2:$J$1001))&gt;=Calc!$F$2:$F$1001)*Calc!$F$2:$F$1001))))</f>
        <v/>
      </c>
      <c r="R218">
        <f>IF(I218=0,0,(MIN(MAX((K218+N218),0),L218)*W218+SUMPRODUCT((Calc!$A$2:$A$1001=A218)*Calc!$G$2:$G$1001*((((K218+N218)-(L218+Calc!$J$2:$J$1001))&gt;0)*(((K218+N218)-(L218+Calc!$J$2:$J$1001))&lt;Calc!$F$2:$F$1001)*((K218+N218)-(L218+Calc!$J$2:$J$1001))+(((K218+N218)-(L218+Calc!$J$2:$J$1001))&gt;=Calc!$F$2:$F$1001)*Calc!$F$2:$F$1001))))</f>
        <v/>
      </c>
      <c r="S218">
        <f>IF(I218=0,0,(MIN(MAX((K218+O218),0),L218)*W218+SUMPRODUCT((Calc!$A$2:$A$1001=A218)*Calc!$G$2:$G$1001*((((K218+O218)-(L218+Calc!$J$2:$J$1001))&gt;0)*(((K218+O218)-(L218+Calc!$J$2:$J$1001))&lt;Calc!$F$2:$F$1001)*((K218+O218)-(L218+Calc!$J$2:$J$1001))+(((K218+O218)-(L218+Calc!$J$2:$J$1001))&gt;=Calc!$F$2:$F$1001)*Calc!$F$2:$F$1001))))</f>
        <v/>
      </c>
      <c r="T218">
        <f>IF(AND(E218=1,B218="RETURN"),Transactions!E218*Transactions!G218,0)</f>
        <v/>
      </c>
      <c r="U218">
        <f>IF(AND(E218=1,B218="EXPENSE"),Transactions!J218,0)</f>
        <v/>
      </c>
      <c r="V218">
        <f>IF(AND(Transactions!A218&lt;&gt;"",E218=0),ROW(),"")</f>
        <v/>
      </c>
      <c r="W218">
        <f>IFERROR(VLOOKUP(A218,Opening!$A:$D,4,0),0)</f>
        <v/>
      </c>
    </row>
    <row r="219">
      <c r="A219">
        <f>IF(Transactions!D219="","",UPPER(TRIM(Transactions!D219)))</f>
        <v/>
      </c>
      <c r="B219">
        <f>IF(Transactions!C219="","",UPPER(TRIM(Transactions!C219)))</f>
        <v/>
      </c>
      <c r="C219">
        <f>IF(Transactions!B219="",0,YEAR(Transactions!B219)*100+MONTH(Transactions!B219))</f>
        <v/>
      </c>
      <c r="D219">
        <f>IF(Transactions!A219="",1,IF(COUNTIF(Transactions!$A$1:A218,Transactions!A219)&gt;0,1,0))</f>
        <v/>
      </c>
      <c r="E219">
        <f>IF(D219=1,0,IF(B219="RETURN",IF(COUNTIFS($A$1:A218,A219,$B$1:B218,"SALE",$E$1:E218,1)&gt;0,1,0),1))</f>
        <v/>
      </c>
      <c r="F219">
        <f>IF(E219=1,IF(B219="RECEIPT",Transactions!E219,IF(AND(B219="RETURN",LOWER(TRIM(Transactions!H219))="resellable"),Transactions!E219,0)),0)</f>
        <v/>
      </c>
      <c r="G219">
        <f>IF(F219&gt;0,IF(B219="RECEIPT",Transactions!F219,IF(_xlfn.MAXIFS($H$2:H219,$A$2:A219,A219)&gt;0,INDEX(Transactions!$F:$F,_xlfn.MAXIFS($H$2:H219,$A$2:A219,A219)),W219)),0)</f>
        <v/>
      </c>
      <c r="H219">
        <f>IF(AND(E219=1,B219="RECEIPT"),ROW(),0)</f>
        <v/>
      </c>
      <c r="I219">
        <f>IF(E219=1,IF(OR(B219="SALE",B219="WRITEOFF"),Transactions!E219,0),0)</f>
        <v/>
      </c>
      <c r="J219">
        <f>SUMIFS($F$1:F218,$A$1:A218,A219)</f>
        <v/>
      </c>
      <c r="K219">
        <f>SUMIFS($I$1:I218,$A$1:A218,A219)</f>
        <v/>
      </c>
      <c r="L219">
        <f>IFERROR(VLOOKUP(A219,Opening!$A:$C,3,0),0)</f>
        <v/>
      </c>
      <c r="M219">
        <f>IF(I219=0,0,MAX(0,MIN(INDEX(Month!H$2:H$13,MATCH($A219,Month!$A$2:$A$13,0))-K219,I219)))</f>
        <v/>
      </c>
      <c r="N219">
        <f>IF(I219=0,0,MAX(0,MIN(INDEX(Month!I$2:I$13,MATCH($A219,Month!$A$2:$A$13,0))-K219,I219)))</f>
        <v/>
      </c>
      <c r="O219">
        <f>IF(I219=0,0,MAX(0,MIN(INDEX(Month!J$2:J$13,MATCH($A219,Month!$A$2:$A$13,0))-K219,I219)))</f>
        <v/>
      </c>
      <c r="P219">
        <f>IF(I219=0,0,(MIN(MAX(K219,0),L219)*W219+SUMPRODUCT((Calc!$A$2:$A$1001=A219)*Calc!$G$2:$G$1001*(((K219-(L219+Calc!$J$2:$J$1001))&gt;0)*((K219-(L219+Calc!$J$2:$J$1001))&lt;Calc!$F$2:$F$1001)*(K219-(L219+Calc!$J$2:$J$1001))+((K219-(L219+Calc!$J$2:$J$1001))&gt;=Calc!$F$2:$F$1001)*Calc!$F$2:$F$1001))))</f>
        <v/>
      </c>
      <c r="Q219">
        <f>IF(I219=0,0,(MIN(MAX((K219+M219),0),L219)*W219+SUMPRODUCT((Calc!$A$2:$A$1001=A219)*Calc!$G$2:$G$1001*((((K219+M219)-(L219+Calc!$J$2:$J$1001))&gt;0)*(((K219+M219)-(L219+Calc!$J$2:$J$1001))&lt;Calc!$F$2:$F$1001)*((K219+M219)-(L219+Calc!$J$2:$J$1001))+(((K219+M219)-(L219+Calc!$J$2:$J$1001))&gt;=Calc!$F$2:$F$1001)*Calc!$F$2:$F$1001))))</f>
        <v/>
      </c>
      <c r="R219">
        <f>IF(I219=0,0,(MIN(MAX((K219+N219),0),L219)*W219+SUMPRODUCT((Calc!$A$2:$A$1001=A219)*Calc!$G$2:$G$1001*((((K219+N219)-(L219+Calc!$J$2:$J$1001))&gt;0)*(((K219+N219)-(L219+Calc!$J$2:$J$1001))&lt;Calc!$F$2:$F$1001)*((K219+N219)-(L219+Calc!$J$2:$J$1001))+(((K219+N219)-(L219+Calc!$J$2:$J$1001))&gt;=Calc!$F$2:$F$1001)*Calc!$F$2:$F$1001))))</f>
        <v/>
      </c>
      <c r="S219">
        <f>IF(I219=0,0,(MIN(MAX((K219+O219),0),L219)*W219+SUMPRODUCT((Calc!$A$2:$A$1001=A219)*Calc!$G$2:$G$1001*((((K219+O219)-(L219+Calc!$J$2:$J$1001))&gt;0)*(((K219+O219)-(L219+Calc!$J$2:$J$1001))&lt;Calc!$F$2:$F$1001)*((K219+O219)-(L219+Calc!$J$2:$J$1001))+(((K219+O219)-(L219+Calc!$J$2:$J$1001))&gt;=Calc!$F$2:$F$1001)*Calc!$F$2:$F$1001))))</f>
        <v/>
      </c>
      <c r="T219">
        <f>IF(AND(E219=1,B219="RETURN"),Transactions!E219*Transactions!G219,0)</f>
        <v/>
      </c>
      <c r="U219">
        <f>IF(AND(E219=1,B219="EXPENSE"),Transactions!J219,0)</f>
        <v/>
      </c>
      <c r="V219">
        <f>IF(AND(Transactions!A219&lt;&gt;"",E219=0),ROW(),"")</f>
        <v/>
      </c>
      <c r="W219">
        <f>IFERROR(VLOOKUP(A219,Opening!$A:$D,4,0),0)</f>
        <v/>
      </c>
    </row>
    <row r="220">
      <c r="A220">
        <f>IF(Transactions!D220="","",UPPER(TRIM(Transactions!D220)))</f>
        <v/>
      </c>
      <c r="B220">
        <f>IF(Transactions!C220="","",UPPER(TRIM(Transactions!C220)))</f>
        <v/>
      </c>
      <c r="C220">
        <f>IF(Transactions!B220="",0,YEAR(Transactions!B220)*100+MONTH(Transactions!B220))</f>
        <v/>
      </c>
      <c r="D220">
        <f>IF(Transactions!A220="",1,IF(COUNTIF(Transactions!$A$1:A219,Transactions!A220)&gt;0,1,0))</f>
        <v/>
      </c>
      <c r="E220">
        <f>IF(D220=1,0,IF(B220="RETURN",IF(COUNTIFS($A$1:A219,A220,$B$1:B219,"SALE",$E$1:E219,1)&gt;0,1,0),1))</f>
        <v/>
      </c>
      <c r="F220">
        <f>IF(E220=1,IF(B220="RECEIPT",Transactions!E220,IF(AND(B220="RETURN",LOWER(TRIM(Transactions!H220))="resellable"),Transactions!E220,0)),0)</f>
        <v/>
      </c>
      <c r="G220">
        <f>IF(F220&gt;0,IF(B220="RECEIPT",Transactions!F220,IF(_xlfn.MAXIFS($H$2:H220,$A$2:A220,A220)&gt;0,INDEX(Transactions!$F:$F,_xlfn.MAXIFS($H$2:H220,$A$2:A220,A220)),W220)),0)</f>
        <v/>
      </c>
      <c r="H220">
        <f>IF(AND(E220=1,B220="RECEIPT"),ROW(),0)</f>
        <v/>
      </c>
      <c r="I220">
        <f>IF(E220=1,IF(OR(B220="SALE",B220="WRITEOFF"),Transactions!E220,0),0)</f>
        <v/>
      </c>
      <c r="J220">
        <f>SUMIFS($F$1:F219,$A$1:A219,A220)</f>
        <v/>
      </c>
      <c r="K220">
        <f>SUMIFS($I$1:I219,$A$1:A219,A220)</f>
        <v/>
      </c>
      <c r="L220">
        <f>IFERROR(VLOOKUP(A220,Opening!$A:$C,3,0),0)</f>
        <v/>
      </c>
      <c r="M220">
        <f>IF(I220=0,0,MAX(0,MIN(INDEX(Month!H$2:H$13,MATCH($A220,Month!$A$2:$A$13,0))-K220,I220)))</f>
        <v/>
      </c>
      <c r="N220">
        <f>IF(I220=0,0,MAX(0,MIN(INDEX(Month!I$2:I$13,MATCH($A220,Month!$A$2:$A$13,0))-K220,I220)))</f>
        <v/>
      </c>
      <c r="O220">
        <f>IF(I220=0,0,MAX(0,MIN(INDEX(Month!J$2:J$13,MATCH($A220,Month!$A$2:$A$13,0))-K220,I220)))</f>
        <v/>
      </c>
      <c r="P220">
        <f>IF(I220=0,0,(MIN(MAX(K220,0),L220)*W220+SUMPRODUCT((Calc!$A$2:$A$1001=A220)*Calc!$G$2:$G$1001*(((K220-(L220+Calc!$J$2:$J$1001))&gt;0)*((K220-(L220+Calc!$J$2:$J$1001))&lt;Calc!$F$2:$F$1001)*(K220-(L220+Calc!$J$2:$J$1001))+((K220-(L220+Calc!$J$2:$J$1001))&gt;=Calc!$F$2:$F$1001)*Calc!$F$2:$F$1001))))</f>
        <v/>
      </c>
      <c r="Q220">
        <f>IF(I220=0,0,(MIN(MAX((K220+M220),0),L220)*W220+SUMPRODUCT((Calc!$A$2:$A$1001=A220)*Calc!$G$2:$G$1001*((((K220+M220)-(L220+Calc!$J$2:$J$1001))&gt;0)*(((K220+M220)-(L220+Calc!$J$2:$J$1001))&lt;Calc!$F$2:$F$1001)*((K220+M220)-(L220+Calc!$J$2:$J$1001))+(((K220+M220)-(L220+Calc!$J$2:$J$1001))&gt;=Calc!$F$2:$F$1001)*Calc!$F$2:$F$1001))))</f>
        <v/>
      </c>
      <c r="R220">
        <f>IF(I220=0,0,(MIN(MAX((K220+N220),0),L220)*W220+SUMPRODUCT((Calc!$A$2:$A$1001=A220)*Calc!$G$2:$G$1001*((((K220+N220)-(L220+Calc!$J$2:$J$1001))&gt;0)*(((K220+N220)-(L220+Calc!$J$2:$J$1001))&lt;Calc!$F$2:$F$1001)*((K220+N220)-(L220+Calc!$J$2:$J$1001))+(((K220+N220)-(L220+Calc!$J$2:$J$1001))&gt;=Calc!$F$2:$F$1001)*Calc!$F$2:$F$1001))))</f>
        <v/>
      </c>
      <c r="S220">
        <f>IF(I220=0,0,(MIN(MAX((K220+O220),0),L220)*W220+SUMPRODUCT((Calc!$A$2:$A$1001=A220)*Calc!$G$2:$G$1001*((((K220+O220)-(L220+Calc!$J$2:$J$1001))&gt;0)*(((K220+O220)-(L220+Calc!$J$2:$J$1001))&lt;Calc!$F$2:$F$1001)*((K220+O220)-(L220+Calc!$J$2:$J$1001))+(((K220+O220)-(L220+Calc!$J$2:$J$1001))&gt;=Calc!$F$2:$F$1001)*Calc!$F$2:$F$1001))))</f>
        <v/>
      </c>
      <c r="T220">
        <f>IF(AND(E220=1,B220="RETURN"),Transactions!E220*Transactions!G220,0)</f>
        <v/>
      </c>
      <c r="U220">
        <f>IF(AND(E220=1,B220="EXPENSE"),Transactions!J220,0)</f>
        <v/>
      </c>
      <c r="V220">
        <f>IF(AND(Transactions!A220&lt;&gt;"",E220=0),ROW(),"")</f>
        <v/>
      </c>
      <c r="W220">
        <f>IFERROR(VLOOKUP(A220,Opening!$A:$D,4,0),0)</f>
        <v/>
      </c>
    </row>
    <row r="221">
      <c r="A221">
        <f>IF(Transactions!D221="","",UPPER(TRIM(Transactions!D221)))</f>
        <v/>
      </c>
      <c r="B221">
        <f>IF(Transactions!C221="","",UPPER(TRIM(Transactions!C221)))</f>
        <v/>
      </c>
      <c r="C221">
        <f>IF(Transactions!B221="",0,YEAR(Transactions!B221)*100+MONTH(Transactions!B221))</f>
        <v/>
      </c>
      <c r="D221">
        <f>IF(Transactions!A221="",1,IF(COUNTIF(Transactions!$A$1:A220,Transactions!A221)&gt;0,1,0))</f>
        <v/>
      </c>
      <c r="E221">
        <f>IF(D221=1,0,IF(B221="RETURN",IF(COUNTIFS($A$1:A220,A221,$B$1:B220,"SALE",$E$1:E220,1)&gt;0,1,0),1))</f>
        <v/>
      </c>
      <c r="F221">
        <f>IF(E221=1,IF(B221="RECEIPT",Transactions!E221,IF(AND(B221="RETURN",LOWER(TRIM(Transactions!H221))="resellable"),Transactions!E221,0)),0)</f>
        <v/>
      </c>
      <c r="G221">
        <f>IF(F221&gt;0,IF(B221="RECEIPT",Transactions!F221,IF(_xlfn.MAXIFS($H$2:H221,$A$2:A221,A221)&gt;0,INDEX(Transactions!$F:$F,_xlfn.MAXIFS($H$2:H221,$A$2:A221,A221)),W221)),0)</f>
        <v/>
      </c>
      <c r="H221">
        <f>IF(AND(E221=1,B221="RECEIPT"),ROW(),0)</f>
        <v/>
      </c>
      <c r="I221">
        <f>IF(E221=1,IF(OR(B221="SALE",B221="WRITEOFF"),Transactions!E221,0),0)</f>
        <v/>
      </c>
      <c r="J221">
        <f>SUMIFS($F$1:F220,$A$1:A220,A221)</f>
        <v/>
      </c>
      <c r="K221">
        <f>SUMIFS($I$1:I220,$A$1:A220,A221)</f>
        <v/>
      </c>
      <c r="L221">
        <f>IFERROR(VLOOKUP(A221,Opening!$A:$C,3,0),0)</f>
        <v/>
      </c>
      <c r="M221">
        <f>IF(I221=0,0,MAX(0,MIN(INDEX(Month!H$2:H$13,MATCH($A221,Month!$A$2:$A$13,0))-K221,I221)))</f>
        <v/>
      </c>
      <c r="N221">
        <f>IF(I221=0,0,MAX(0,MIN(INDEX(Month!I$2:I$13,MATCH($A221,Month!$A$2:$A$13,0))-K221,I221)))</f>
        <v/>
      </c>
      <c r="O221">
        <f>IF(I221=0,0,MAX(0,MIN(INDEX(Month!J$2:J$13,MATCH($A221,Month!$A$2:$A$13,0))-K221,I221)))</f>
        <v/>
      </c>
      <c r="P221">
        <f>IF(I221=0,0,(MIN(MAX(K221,0),L221)*W221+SUMPRODUCT((Calc!$A$2:$A$1001=A221)*Calc!$G$2:$G$1001*(((K221-(L221+Calc!$J$2:$J$1001))&gt;0)*((K221-(L221+Calc!$J$2:$J$1001))&lt;Calc!$F$2:$F$1001)*(K221-(L221+Calc!$J$2:$J$1001))+((K221-(L221+Calc!$J$2:$J$1001))&gt;=Calc!$F$2:$F$1001)*Calc!$F$2:$F$1001))))</f>
        <v/>
      </c>
      <c r="Q221">
        <f>IF(I221=0,0,(MIN(MAX((K221+M221),0),L221)*W221+SUMPRODUCT((Calc!$A$2:$A$1001=A221)*Calc!$G$2:$G$1001*((((K221+M221)-(L221+Calc!$J$2:$J$1001))&gt;0)*(((K221+M221)-(L221+Calc!$J$2:$J$1001))&lt;Calc!$F$2:$F$1001)*((K221+M221)-(L221+Calc!$J$2:$J$1001))+(((K221+M221)-(L221+Calc!$J$2:$J$1001))&gt;=Calc!$F$2:$F$1001)*Calc!$F$2:$F$1001))))</f>
        <v/>
      </c>
      <c r="R221">
        <f>IF(I221=0,0,(MIN(MAX((K221+N221),0),L221)*W221+SUMPRODUCT((Calc!$A$2:$A$1001=A221)*Calc!$G$2:$G$1001*((((K221+N221)-(L221+Calc!$J$2:$J$1001))&gt;0)*(((K221+N221)-(L221+Calc!$J$2:$J$1001))&lt;Calc!$F$2:$F$1001)*((K221+N221)-(L221+Calc!$J$2:$J$1001))+(((K221+N221)-(L221+Calc!$J$2:$J$1001))&gt;=Calc!$F$2:$F$1001)*Calc!$F$2:$F$1001))))</f>
        <v/>
      </c>
      <c r="S221">
        <f>IF(I221=0,0,(MIN(MAX((K221+O221),0),L221)*W221+SUMPRODUCT((Calc!$A$2:$A$1001=A221)*Calc!$G$2:$G$1001*((((K221+O221)-(L221+Calc!$J$2:$J$1001))&gt;0)*(((K221+O221)-(L221+Calc!$J$2:$J$1001))&lt;Calc!$F$2:$F$1001)*((K221+O221)-(L221+Calc!$J$2:$J$1001))+(((K221+O221)-(L221+Calc!$J$2:$J$1001))&gt;=Calc!$F$2:$F$1001)*Calc!$F$2:$F$1001))))</f>
        <v/>
      </c>
      <c r="T221">
        <f>IF(AND(E221=1,B221="RETURN"),Transactions!E221*Transactions!G221,0)</f>
        <v/>
      </c>
      <c r="U221">
        <f>IF(AND(E221=1,B221="EXPENSE"),Transactions!J221,0)</f>
        <v/>
      </c>
      <c r="V221">
        <f>IF(AND(Transactions!A221&lt;&gt;"",E221=0),ROW(),"")</f>
        <v/>
      </c>
      <c r="W221">
        <f>IFERROR(VLOOKUP(A221,Opening!$A:$D,4,0),0)</f>
        <v/>
      </c>
    </row>
    <row r="222">
      <c r="A222">
        <f>IF(Transactions!D222="","",UPPER(TRIM(Transactions!D222)))</f>
        <v/>
      </c>
      <c r="B222">
        <f>IF(Transactions!C222="","",UPPER(TRIM(Transactions!C222)))</f>
        <v/>
      </c>
      <c r="C222">
        <f>IF(Transactions!B222="",0,YEAR(Transactions!B222)*100+MONTH(Transactions!B222))</f>
        <v/>
      </c>
      <c r="D222">
        <f>IF(Transactions!A222="",1,IF(COUNTIF(Transactions!$A$1:A221,Transactions!A222)&gt;0,1,0))</f>
        <v/>
      </c>
      <c r="E222">
        <f>IF(D222=1,0,IF(B222="RETURN",IF(COUNTIFS($A$1:A221,A222,$B$1:B221,"SALE",$E$1:E221,1)&gt;0,1,0),1))</f>
        <v/>
      </c>
      <c r="F222">
        <f>IF(E222=1,IF(B222="RECEIPT",Transactions!E222,IF(AND(B222="RETURN",LOWER(TRIM(Transactions!H222))="resellable"),Transactions!E222,0)),0)</f>
        <v/>
      </c>
      <c r="G222">
        <f>IF(F222&gt;0,IF(B222="RECEIPT",Transactions!F222,IF(_xlfn.MAXIFS($H$2:H222,$A$2:A222,A222)&gt;0,INDEX(Transactions!$F:$F,_xlfn.MAXIFS($H$2:H222,$A$2:A222,A222)),W222)),0)</f>
        <v/>
      </c>
      <c r="H222">
        <f>IF(AND(E222=1,B222="RECEIPT"),ROW(),0)</f>
        <v/>
      </c>
      <c r="I222">
        <f>IF(E222=1,IF(OR(B222="SALE",B222="WRITEOFF"),Transactions!E222,0),0)</f>
        <v/>
      </c>
      <c r="J222">
        <f>SUMIFS($F$1:F221,$A$1:A221,A222)</f>
        <v/>
      </c>
      <c r="K222">
        <f>SUMIFS($I$1:I221,$A$1:A221,A222)</f>
        <v/>
      </c>
      <c r="L222">
        <f>IFERROR(VLOOKUP(A222,Opening!$A:$C,3,0),0)</f>
        <v/>
      </c>
      <c r="M222">
        <f>IF(I222=0,0,MAX(0,MIN(INDEX(Month!H$2:H$13,MATCH($A222,Month!$A$2:$A$13,0))-K222,I222)))</f>
        <v/>
      </c>
      <c r="N222">
        <f>IF(I222=0,0,MAX(0,MIN(INDEX(Month!I$2:I$13,MATCH($A222,Month!$A$2:$A$13,0))-K222,I222)))</f>
        <v/>
      </c>
      <c r="O222">
        <f>IF(I222=0,0,MAX(0,MIN(INDEX(Month!J$2:J$13,MATCH($A222,Month!$A$2:$A$13,0))-K222,I222)))</f>
        <v/>
      </c>
      <c r="P222">
        <f>IF(I222=0,0,(MIN(MAX(K222,0),L222)*W222+SUMPRODUCT((Calc!$A$2:$A$1001=A222)*Calc!$G$2:$G$1001*(((K222-(L222+Calc!$J$2:$J$1001))&gt;0)*((K222-(L222+Calc!$J$2:$J$1001))&lt;Calc!$F$2:$F$1001)*(K222-(L222+Calc!$J$2:$J$1001))+((K222-(L222+Calc!$J$2:$J$1001))&gt;=Calc!$F$2:$F$1001)*Calc!$F$2:$F$1001))))</f>
        <v/>
      </c>
      <c r="Q222">
        <f>IF(I222=0,0,(MIN(MAX((K222+M222),0),L222)*W222+SUMPRODUCT((Calc!$A$2:$A$1001=A222)*Calc!$G$2:$G$1001*((((K222+M222)-(L222+Calc!$J$2:$J$1001))&gt;0)*(((K222+M222)-(L222+Calc!$J$2:$J$1001))&lt;Calc!$F$2:$F$1001)*((K222+M222)-(L222+Calc!$J$2:$J$1001))+(((K222+M222)-(L222+Calc!$J$2:$J$1001))&gt;=Calc!$F$2:$F$1001)*Calc!$F$2:$F$1001))))</f>
        <v/>
      </c>
      <c r="R222">
        <f>IF(I222=0,0,(MIN(MAX((K222+N222),0),L222)*W222+SUMPRODUCT((Calc!$A$2:$A$1001=A222)*Calc!$G$2:$G$1001*((((K222+N222)-(L222+Calc!$J$2:$J$1001))&gt;0)*(((K222+N222)-(L222+Calc!$J$2:$J$1001))&lt;Calc!$F$2:$F$1001)*((K222+N222)-(L222+Calc!$J$2:$J$1001))+(((K222+N222)-(L222+Calc!$J$2:$J$1001))&gt;=Calc!$F$2:$F$1001)*Calc!$F$2:$F$1001))))</f>
        <v/>
      </c>
      <c r="S222">
        <f>IF(I222=0,0,(MIN(MAX((K222+O222),0),L222)*W222+SUMPRODUCT((Calc!$A$2:$A$1001=A222)*Calc!$G$2:$G$1001*((((K222+O222)-(L222+Calc!$J$2:$J$1001))&gt;0)*(((K222+O222)-(L222+Calc!$J$2:$J$1001))&lt;Calc!$F$2:$F$1001)*((K222+O222)-(L222+Calc!$J$2:$J$1001))+(((K222+O222)-(L222+Calc!$J$2:$J$1001))&gt;=Calc!$F$2:$F$1001)*Calc!$F$2:$F$1001))))</f>
        <v/>
      </c>
      <c r="T222">
        <f>IF(AND(E222=1,B222="RETURN"),Transactions!E222*Transactions!G222,0)</f>
        <v/>
      </c>
      <c r="U222">
        <f>IF(AND(E222=1,B222="EXPENSE"),Transactions!J222,0)</f>
        <v/>
      </c>
      <c r="V222">
        <f>IF(AND(Transactions!A222&lt;&gt;"",E222=0),ROW(),"")</f>
        <v/>
      </c>
      <c r="W222">
        <f>IFERROR(VLOOKUP(A222,Opening!$A:$D,4,0),0)</f>
        <v/>
      </c>
    </row>
    <row r="223">
      <c r="A223">
        <f>IF(Transactions!D223="","",UPPER(TRIM(Transactions!D223)))</f>
        <v/>
      </c>
      <c r="B223">
        <f>IF(Transactions!C223="","",UPPER(TRIM(Transactions!C223)))</f>
        <v/>
      </c>
      <c r="C223">
        <f>IF(Transactions!B223="",0,YEAR(Transactions!B223)*100+MONTH(Transactions!B223))</f>
        <v/>
      </c>
      <c r="D223">
        <f>IF(Transactions!A223="",1,IF(COUNTIF(Transactions!$A$1:A222,Transactions!A223)&gt;0,1,0))</f>
        <v/>
      </c>
      <c r="E223">
        <f>IF(D223=1,0,IF(B223="RETURN",IF(COUNTIFS($A$1:A222,A223,$B$1:B222,"SALE",$E$1:E222,1)&gt;0,1,0),1))</f>
        <v/>
      </c>
      <c r="F223">
        <f>IF(E223=1,IF(B223="RECEIPT",Transactions!E223,IF(AND(B223="RETURN",LOWER(TRIM(Transactions!H223))="resellable"),Transactions!E223,0)),0)</f>
        <v/>
      </c>
      <c r="G223">
        <f>IF(F223&gt;0,IF(B223="RECEIPT",Transactions!F223,IF(_xlfn.MAXIFS($H$2:H223,$A$2:A223,A223)&gt;0,INDEX(Transactions!$F:$F,_xlfn.MAXIFS($H$2:H223,$A$2:A223,A223)),W223)),0)</f>
        <v/>
      </c>
      <c r="H223">
        <f>IF(AND(E223=1,B223="RECEIPT"),ROW(),0)</f>
        <v/>
      </c>
      <c r="I223">
        <f>IF(E223=1,IF(OR(B223="SALE",B223="WRITEOFF"),Transactions!E223,0),0)</f>
        <v/>
      </c>
      <c r="J223">
        <f>SUMIFS($F$1:F222,$A$1:A222,A223)</f>
        <v/>
      </c>
      <c r="K223">
        <f>SUMIFS($I$1:I222,$A$1:A222,A223)</f>
        <v/>
      </c>
      <c r="L223">
        <f>IFERROR(VLOOKUP(A223,Opening!$A:$C,3,0),0)</f>
        <v/>
      </c>
      <c r="M223">
        <f>IF(I223=0,0,MAX(0,MIN(INDEX(Month!H$2:H$13,MATCH($A223,Month!$A$2:$A$13,0))-K223,I223)))</f>
        <v/>
      </c>
      <c r="N223">
        <f>IF(I223=0,0,MAX(0,MIN(INDEX(Month!I$2:I$13,MATCH($A223,Month!$A$2:$A$13,0))-K223,I223)))</f>
        <v/>
      </c>
      <c r="O223">
        <f>IF(I223=0,0,MAX(0,MIN(INDEX(Month!J$2:J$13,MATCH($A223,Month!$A$2:$A$13,0))-K223,I223)))</f>
        <v/>
      </c>
      <c r="P223">
        <f>IF(I223=0,0,(MIN(MAX(K223,0),L223)*W223+SUMPRODUCT((Calc!$A$2:$A$1001=A223)*Calc!$G$2:$G$1001*(((K223-(L223+Calc!$J$2:$J$1001))&gt;0)*((K223-(L223+Calc!$J$2:$J$1001))&lt;Calc!$F$2:$F$1001)*(K223-(L223+Calc!$J$2:$J$1001))+((K223-(L223+Calc!$J$2:$J$1001))&gt;=Calc!$F$2:$F$1001)*Calc!$F$2:$F$1001))))</f>
        <v/>
      </c>
      <c r="Q223">
        <f>IF(I223=0,0,(MIN(MAX((K223+M223),0),L223)*W223+SUMPRODUCT((Calc!$A$2:$A$1001=A223)*Calc!$G$2:$G$1001*((((K223+M223)-(L223+Calc!$J$2:$J$1001))&gt;0)*(((K223+M223)-(L223+Calc!$J$2:$J$1001))&lt;Calc!$F$2:$F$1001)*((K223+M223)-(L223+Calc!$J$2:$J$1001))+(((K223+M223)-(L223+Calc!$J$2:$J$1001))&gt;=Calc!$F$2:$F$1001)*Calc!$F$2:$F$1001))))</f>
        <v/>
      </c>
      <c r="R223">
        <f>IF(I223=0,0,(MIN(MAX((K223+N223),0),L223)*W223+SUMPRODUCT((Calc!$A$2:$A$1001=A223)*Calc!$G$2:$G$1001*((((K223+N223)-(L223+Calc!$J$2:$J$1001))&gt;0)*(((K223+N223)-(L223+Calc!$J$2:$J$1001))&lt;Calc!$F$2:$F$1001)*((K223+N223)-(L223+Calc!$J$2:$J$1001))+(((K223+N223)-(L223+Calc!$J$2:$J$1001))&gt;=Calc!$F$2:$F$1001)*Calc!$F$2:$F$1001))))</f>
        <v/>
      </c>
      <c r="S223">
        <f>IF(I223=0,0,(MIN(MAX((K223+O223),0),L223)*W223+SUMPRODUCT((Calc!$A$2:$A$1001=A223)*Calc!$G$2:$G$1001*((((K223+O223)-(L223+Calc!$J$2:$J$1001))&gt;0)*(((K223+O223)-(L223+Calc!$J$2:$J$1001))&lt;Calc!$F$2:$F$1001)*((K223+O223)-(L223+Calc!$J$2:$J$1001))+(((K223+O223)-(L223+Calc!$J$2:$J$1001))&gt;=Calc!$F$2:$F$1001)*Calc!$F$2:$F$1001))))</f>
        <v/>
      </c>
      <c r="T223">
        <f>IF(AND(E223=1,B223="RETURN"),Transactions!E223*Transactions!G223,0)</f>
        <v/>
      </c>
      <c r="U223">
        <f>IF(AND(E223=1,B223="EXPENSE"),Transactions!J223,0)</f>
        <v/>
      </c>
      <c r="V223">
        <f>IF(AND(Transactions!A223&lt;&gt;"",E223=0),ROW(),"")</f>
        <v/>
      </c>
      <c r="W223">
        <f>IFERROR(VLOOKUP(A223,Opening!$A:$D,4,0),0)</f>
        <v/>
      </c>
    </row>
    <row r="224">
      <c r="A224">
        <f>IF(Transactions!D224="","",UPPER(TRIM(Transactions!D224)))</f>
        <v/>
      </c>
      <c r="B224">
        <f>IF(Transactions!C224="","",UPPER(TRIM(Transactions!C224)))</f>
        <v/>
      </c>
      <c r="C224">
        <f>IF(Transactions!B224="",0,YEAR(Transactions!B224)*100+MONTH(Transactions!B224))</f>
        <v/>
      </c>
      <c r="D224">
        <f>IF(Transactions!A224="",1,IF(COUNTIF(Transactions!$A$1:A223,Transactions!A224)&gt;0,1,0))</f>
        <v/>
      </c>
      <c r="E224">
        <f>IF(D224=1,0,IF(B224="RETURN",IF(COUNTIFS($A$1:A223,A224,$B$1:B223,"SALE",$E$1:E223,1)&gt;0,1,0),1))</f>
        <v/>
      </c>
      <c r="F224">
        <f>IF(E224=1,IF(B224="RECEIPT",Transactions!E224,IF(AND(B224="RETURN",LOWER(TRIM(Transactions!H224))="resellable"),Transactions!E224,0)),0)</f>
        <v/>
      </c>
      <c r="G224">
        <f>IF(F224&gt;0,IF(B224="RECEIPT",Transactions!F224,IF(_xlfn.MAXIFS($H$2:H224,$A$2:A224,A224)&gt;0,INDEX(Transactions!$F:$F,_xlfn.MAXIFS($H$2:H224,$A$2:A224,A224)),W224)),0)</f>
        <v/>
      </c>
      <c r="H224">
        <f>IF(AND(E224=1,B224="RECEIPT"),ROW(),0)</f>
        <v/>
      </c>
      <c r="I224">
        <f>IF(E224=1,IF(OR(B224="SALE",B224="WRITEOFF"),Transactions!E224,0),0)</f>
        <v/>
      </c>
      <c r="J224">
        <f>SUMIFS($F$1:F223,$A$1:A223,A224)</f>
        <v/>
      </c>
      <c r="K224">
        <f>SUMIFS($I$1:I223,$A$1:A223,A224)</f>
        <v/>
      </c>
      <c r="L224">
        <f>IFERROR(VLOOKUP(A224,Opening!$A:$C,3,0),0)</f>
        <v/>
      </c>
      <c r="M224">
        <f>IF(I224=0,0,MAX(0,MIN(INDEX(Month!H$2:H$13,MATCH($A224,Month!$A$2:$A$13,0))-K224,I224)))</f>
        <v/>
      </c>
      <c r="N224">
        <f>IF(I224=0,0,MAX(0,MIN(INDEX(Month!I$2:I$13,MATCH($A224,Month!$A$2:$A$13,0))-K224,I224)))</f>
        <v/>
      </c>
      <c r="O224">
        <f>IF(I224=0,0,MAX(0,MIN(INDEX(Month!J$2:J$13,MATCH($A224,Month!$A$2:$A$13,0))-K224,I224)))</f>
        <v/>
      </c>
      <c r="P224">
        <f>IF(I224=0,0,(MIN(MAX(K224,0),L224)*W224+SUMPRODUCT((Calc!$A$2:$A$1001=A224)*Calc!$G$2:$G$1001*(((K224-(L224+Calc!$J$2:$J$1001))&gt;0)*((K224-(L224+Calc!$J$2:$J$1001))&lt;Calc!$F$2:$F$1001)*(K224-(L224+Calc!$J$2:$J$1001))+((K224-(L224+Calc!$J$2:$J$1001))&gt;=Calc!$F$2:$F$1001)*Calc!$F$2:$F$1001))))</f>
        <v/>
      </c>
      <c r="Q224">
        <f>IF(I224=0,0,(MIN(MAX((K224+M224),0),L224)*W224+SUMPRODUCT((Calc!$A$2:$A$1001=A224)*Calc!$G$2:$G$1001*((((K224+M224)-(L224+Calc!$J$2:$J$1001))&gt;0)*(((K224+M224)-(L224+Calc!$J$2:$J$1001))&lt;Calc!$F$2:$F$1001)*((K224+M224)-(L224+Calc!$J$2:$J$1001))+(((K224+M224)-(L224+Calc!$J$2:$J$1001))&gt;=Calc!$F$2:$F$1001)*Calc!$F$2:$F$1001))))</f>
        <v/>
      </c>
      <c r="R224">
        <f>IF(I224=0,0,(MIN(MAX((K224+N224),0),L224)*W224+SUMPRODUCT((Calc!$A$2:$A$1001=A224)*Calc!$G$2:$G$1001*((((K224+N224)-(L224+Calc!$J$2:$J$1001))&gt;0)*(((K224+N224)-(L224+Calc!$J$2:$J$1001))&lt;Calc!$F$2:$F$1001)*((K224+N224)-(L224+Calc!$J$2:$J$1001))+(((K224+N224)-(L224+Calc!$J$2:$J$1001))&gt;=Calc!$F$2:$F$1001)*Calc!$F$2:$F$1001))))</f>
        <v/>
      </c>
      <c r="S224">
        <f>IF(I224=0,0,(MIN(MAX((K224+O224),0),L224)*W224+SUMPRODUCT((Calc!$A$2:$A$1001=A224)*Calc!$G$2:$G$1001*((((K224+O224)-(L224+Calc!$J$2:$J$1001))&gt;0)*(((K224+O224)-(L224+Calc!$J$2:$J$1001))&lt;Calc!$F$2:$F$1001)*((K224+O224)-(L224+Calc!$J$2:$J$1001))+(((K224+O224)-(L224+Calc!$J$2:$J$1001))&gt;=Calc!$F$2:$F$1001)*Calc!$F$2:$F$1001))))</f>
        <v/>
      </c>
      <c r="T224">
        <f>IF(AND(E224=1,B224="RETURN"),Transactions!E224*Transactions!G224,0)</f>
        <v/>
      </c>
      <c r="U224">
        <f>IF(AND(E224=1,B224="EXPENSE"),Transactions!J224,0)</f>
        <v/>
      </c>
      <c r="V224">
        <f>IF(AND(Transactions!A224&lt;&gt;"",E224=0),ROW(),"")</f>
        <v/>
      </c>
      <c r="W224">
        <f>IFERROR(VLOOKUP(A224,Opening!$A:$D,4,0),0)</f>
        <v/>
      </c>
    </row>
    <row r="225">
      <c r="A225">
        <f>IF(Transactions!D225="","",UPPER(TRIM(Transactions!D225)))</f>
        <v/>
      </c>
      <c r="B225">
        <f>IF(Transactions!C225="","",UPPER(TRIM(Transactions!C225)))</f>
        <v/>
      </c>
      <c r="C225">
        <f>IF(Transactions!B225="",0,YEAR(Transactions!B225)*100+MONTH(Transactions!B225))</f>
        <v/>
      </c>
      <c r="D225">
        <f>IF(Transactions!A225="",1,IF(COUNTIF(Transactions!$A$1:A224,Transactions!A225)&gt;0,1,0))</f>
        <v/>
      </c>
      <c r="E225">
        <f>IF(D225=1,0,IF(B225="RETURN",IF(COUNTIFS($A$1:A224,A225,$B$1:B224,"SALE",$E$1:E224,1)&gt;0,1,0),1))</f>
        <v/>
      </c>
      <c r="F225">
        <f>IF(E225=1,IF(B225="RECEIPT",Transactions!E225,IF(AND(B225="RETURN",LOWER(TRIM(Transactions!H225))="resellable"),Transactions!E225,0)),0)</f>
        <v/>
      </c>
      <c r="G225">
        <f>IF(F225&gt;0,IF(B225="RECEIPT",Transactions!F225,IF(_xlfn.MAXIFS($H$2:H225,$A$2:A225,A225)&gt;0,INDEX(Transactions!$F:$F,_xlfn.MAXIFS($H$2:H225,$A$2:A225,A225)),W225)),0)</f>
        <v/>
      </c>
      <c r="H225">
        <f>IF(AND(E225=1,B225="RECEIPT"),ROW(),0)</f>
        <v/>
      </c>
      <c r="I225">
        <f>IF(E225=1,IF(OR(B225="SALE",B225="WRITEOFF"),Transactions!E225,0),0)</f>
        <v/>
      </c>
      <c r="J225">
        <f>SUMIFS($F$1:F224,$A$1:A224,A225)</f>
        <v/>
      </c>
      <c r="K225">
        <f>SUMIFS($I$1:I224,$A$1:A224,A225)</f>
        <v/>
      </c>
      <c r="L225">
        <f>IFERROR(VLOOKUP(A225,Opening!$A:$C,3,0),0)</f>
        <v/>
      </c>
      <c r="M225">
        <f>IF(I225=0,0,MAX(0,MIN(INDEX(Month!H$2:H$13,MATCH($A225,Month!$A$2:$A$13,0))-K225,I225)))</f>
        <v/>
      </c>
      <c r="N225">
        <f>IF(I225=0,0,MAX(0,MIN(INDEX(Month!I$2:I$13,MATCH($A225,Month!$A$2:$A$13,0))-K225,I225)))</f>
        <v/>
      </c>
      <c r="O225">
        <f>IF(I225=0,0,MAX(0,MIN(INDEX(Month!J$2:J$13,MATCH($A225,Month!$A$2:$A$13,0))-K225,I225)))</f>
        <v/>
      </c>
      <c r="P225">
        <f>IF(I225=0,0,(MIN(MAX(K225,0),L225)*W225+SUMPRODUCT((Calc!$A$2:$A$1001=A225)*Calc!$G$2:$G$1001*(((K225-(L225+Calc!$J$2:$J$1001))&gt;0)*((K225-(L225+Calc!$J$2:$J$1001))&lt;Calc!$F$2:$F$1001)*(K225-(L225+Calc!$J$2:$J$1001))+((K225-(L225+Calc!$J$2:$J$1001))&gt;=Calc!$F$2:$F$1001)*Calc!$F$2:$F$1001))))</f>
        <v/>
      </c>
      <c r="Q225">
        <f>IF(I225=0,0,(MIN(MAX((K225+M225),0),L225)*W225+SUMPRODUCT((Calc!$A$2:$A$1001=A225)*Calc!$G$2:$G$1001*((((K225+M225)-(L225+Calc!$J$2:$J$1001))&gt;0)*(((K225+M225)-(L225+Calc!$J$2:$J$1001))&lt;Calc!$F$2:$F$1001)*((K225+M225)-(L225+Calc!$J$2:$J$1001))+(((K225+M225)-(L225+Calc!$J$2:$J$1001))&gt;=Calc!$F$2:$F$1001)*Calc!$F$2:$F$1001))))</f>
        <v/>
      </c>
      <c r="R225">
        <f>IF(I225=0,0,(MIN(MAX((K225+N225),0),L225)*W225+SUMPRODUCT((Calc!$A$2:$A$1001=A225)*Calc!$G$2:$G$1001*((((K225+N225)-(L225+Calc!$J$2:$J$1001))&gt;0)*(((K225+N225)-(L225+Calc!$J$2:$J$1001))&lt;Calc!$F$2:$F$1001)*((K225+N225)-(L225+Calc!$J$2:$J$1001))+(((K225+N225)-(L225+Calc!$J$2:$J$1001))&gt;=Calc!$F$2:$F$1001)*Calc!$F$2:$F$1001))))</f>
        <v/>
      </c>
      <c r="S225">
        <f>IF(I225=0,0,(MIN(MAX((K225+O225),0),L225)*W225+SUMPRODUCT((Calc!$A$2:$A$1001=A225)*Calc!$G$2:$G$1001*((((K225+O225)-(L225+Calc!$J$2:$J$1001))&gt;0)*(((K225+O225)-(L225+Calc!$J$2:$J$1001))&lt;Calc!$F$2:$F$1001)*((K225+O225)-(L225+Calc!$J$2:$J$1001))+(((K225+O225)-(L225+Calc!$J$2:$J$1001))&gt;=Calc!$F$2:$F$1001)*Calc!$F$2:$F$1001))))</f>
        <v/>
      </c>
      <c r="T225">
        <f>IF(AND(E225=1,B225="RETURN"),Transactions!E225*Transactions!G225,0)</f>
        <v/>
      </c>
      <c r="U225">
        <f>IF(AND(E225=1,B225="EXPENSE"),Transactions!J225,0)</f>
        <v/>
      </c>
      <c r="V225">
        <f>IF(AND(Transactions!A225&lt;&gt;"",E225=0),ROW(),"")</f>
        <v/>
      </c>
      <c r="W225">
        <f>IFERROR(VLOOKUP(A225,Opening!$A:$D,4,0),0)</f>
        <v/>
      </c>
    </row>
    <row r="226">
      <c r="A226">
        <f>IF(Transactions!D226="","",UPPER(TRIM(Transactions!D226)))</f>
        <v/>
      </c>
      <c r="B226">
        <f>IF(Transactions!C226="","",UPPER(TRIM(Transactions!C226)))</f>
        <v/>
      </c>
      <c r="C226">
        <f>IF(Transactions!B226="",0,YEAR(Transactions!B226)*100+MONTH(Transactions!B226))</f>
        <v/>
      </c>
      <c r="D226">
        <f>IF(Transactions!A226="",1,IF(COUNTIF(Transactions!$A$1:A225,Transactions!A226)&gt;0,1,0))</f>
        <v/>
      </c>
      <c r="E226">
        <f>IF(D226=1,0,IF(B226="RETURN",IF(COUNTIFS($A$1:A225,A226,$B$1:B225,"SALE",$E$1:E225,1)&gt;0,1,0),1))</f>
        <v/>
      </c>
      <c r="F226">
        <f>IF(E226=1,IF(B226="RECEIPT",Transactions!E226,IF(AND(B226="RETURN",LOWER(TRIM(Transactions!H226))="resellable"),Transactions!E226,0)),0)</f>
        <v/>
      </c>
      <c r="G226">
        <f>IF(F226&gt;0,IF(B226="RECEIPT",Transactions!F226,IF(_xlfn.MAXIFS($H$2:H226,$A$2:A226,A226)&gt;0,INDEX(Transactions!$F:$F,_xlfn.MAXIFS($H$2:H226,$A$2:A226,A226)),W226)),0)</f>
        <v/>
      </c>
      <c r="H226">
        <f>IF(AND(E226=1,B226="RECEIPT"),ROW(),0)</f>
        <v/>
      </c>
      <c r="I226">
        <f>IF(E226=1,IF(OR(B226="SALE",B226="WRITEOFF"),Transactions!E226,0),0)</f>
        <v/>
      </c>
      <c r="J226">
        <f>SUMIFS($F$1:F225,$A$1:A225,A226)</f>
        <v/>
      </c>
      <c r="K226">
        <f>SUMIFS($I$1:I225,$A$1:A225,A226)</f>
        <v/>
      </c>
      <c r="L226">
        <f>IFERROR(VLOOKUP(A226,Opening!$A:$C,3,0),0)</f>
        <v/>
      </c>
      <c r="M226">
        <f>IF(I226=0,0,MAX(0,MIN(INDEX(Month!H$2:H$13,MATCH($A226,Month!$A$2:$A$13,0))-K226,I226)))</f>
        <v/>
      </c>
      <c r="N226">
        <f>IF(I226=0,0,MAX(0,MIN(INDEX(Month!I$2:I$13,MATCH($A226,Month!$A$2:$A$13,0))-K226,I226)))</f>
        <v/>
      </c>
      <c r="O226">
        <f>IF(I226=0,0,MAX(0,MIN(INDEX(Month!J$2:J$13,MATCH($A226,Month!$A$2:$A$13,0))-K226,I226)))</f>
        <v/>
      </c>
      <c r="P226">
        <f>IF(I226=0,0,(MIN(MAX(K226,0),L226)*W226+SUMPRODUCT((Calc!$A$2:$A$1001=A226)*Calc!$G$2:$G$1001*(((K226-(L226+Calc!$J$2:$J$1001))&gt;0)*((K226-(L226+Calc!$J$2:$J$1001))&lt;Calc!$F$2:$F$1001)*(K226-(L226+Calc!$J$2:$J$1001))+((K226-(L226+Calc!$J$2:$J$1001))&gt;=Calc!$F$2:$F$1001)*Calc!$F$2:$F$1001))))</f>
        <v/>
      </c>
      <c r="Q226">
        <f>IF(I226=0,0,(MIN(MAX((K226+M226),0),L226)*W226+SUMPRODUCT((Calc!$A$2:$A$1001=A226)*Calc!$G$2:$G$1001*((((K226+M226)-(L226+Calc!$J$2:$J$1001))&gt;0)*(((K226+M226)-(L226+Calc!$J$2:$J$1001))&lt;Calc!$F$2:$F$1001)*((K226+M226)-(L226+Calc!$J$2:$J$1001))+(((K226+M226)-(L226+Calc!$J$2:$J$1001))&gt;=Calc!$F$2:$F$1001)*Calc!$F$2:$F$1001))))</f>
        <v/>
      </c>
      <c r="R226">
        <f>IF(I226=0,0,(MIN(MAX((K226+N226),0),L226)*W226+SUMPRODUCT((Calc!$A$2:$A$1001=A226)*Calc!$G$2:$G$1001*((((K226+N226)-(L226+Calc!$J$2:$J$1001))&gt;0)*(((K226+N226)-(L226+Calc!$J$2:$J$1001))&lt;Calc!$F$2:$F$1001)*((K226+N226)-(L226+Calc!$J$2:$J$1001))+(((K226+N226)-(L226+Calc!$J$2:$J$1001))&gt;=Calc!$F$2:$F$1001)*Calc!$F$2:$F$1001))))</f>
        <v/>
      </c>
      <c r="S226">
        <f>IF(I226=0,0,(MIN(MAX((K226+O226),0),L226)*W226+SUMPRODUCT((Calc!$A$2:$A$1001=A226)*Calc!$G$2:$G$1001*((((K226+O226)-(L226+Calc!$J$2:$J$1001))&gt;0)*(((K226+O226)-(L226+Calc!$J$2:$J$1001))&lt;Calc!$F$2:$F$1001)*((K226+O226)-(L226+Calc!$J$2:$J$1001))+(((K226+O226)-(L226+Calc!$J$2:$J$1001))&gt;=Calc!$F$2:$F$1001)*Calc!$F$2:$F$1001))))</f>
        <v/>
      </c>
      <c r="T226">
        <f>IF(AND(E226=1,B226="RETURN"),Transactions!E226*Transactions!G226,0)</f>
        <v/>
      </c>
      <c r="U226">
        <f>IF(AND(E226=1,B226="EXPENSE"),Transactions!J226,0)</f>
        <v/>
      </c>
      <c r="V226">
        <f>IF(AND(Transactions!A226&lt;&gt;"",E226=0),ROW(),"")</f>
        <v/>
      </c>
      <c r="W226">
        <f>IFERROR(VLOOKUP(A226,Opening!$A:$D,4,0),0)</f>
        <v/>
      </c>
    </row>
    <row r="227">
      <c r="A227">
        <f>IF(Transactions!D227="","",UPPER(TRIM(Transactions!D227)))</f>
        <v/>
      </c>
      <c r="B227">
        <f>IF(Transactions!C227="","",UPPER(TRIM(Transactions!C227)))</f>
        <v/>
      </c>
      <c r="C227">
        <f>IF(Transactions!B227="",0,YEAR(Transactions!B227)*100+MONTH(Transactions!B227))</f>
        <v/>
      </c>
      <c r="D227">
        <f>IF(Transactions!A227="",1,IF(COUNTIF(Transactions!$A$1:A226,Transactions!A227)&gt;0,1,0))</f>
        <v/>
      </c>
      <c r="E227">
        <f>IF(D227=1,0,IF(B227="RETURN",IF(COUNTIFS($A$1:A226,A227,$B$1:B226,"SALE",$E$1:E226,1)&gt;0,1,0),1))</f>
        <v/>
      </c>
      <c r="F227">
        <f>IF(E227=1,IF(B227="RECEIPT",Transactions!E227,IF(AND(B227="RETURN",LOWER(TRIM(Transactions!H227))="resellable"),Transactions!E227,0)),0)</f>
        <v/>
      </c>
      <c r="G227">
        <f>IF(F227&gt;0,IF(B227="RECEIPT",Transactions!F227,IF(_xlfn.MAXIFS($H$2:H227,$A$2:A227,A227)&gt;0,INDEX(Transactions!$F:$F,_xlfn.MAXIFS($H$2:H227,$A$2:A227,A227)),W227)),0)</f>
        <v/>
      </c>
      <c r="H227">
        <f>IF(AND(E227=1,B227="RECEIPT"),ROW(),0)</f>
        <v/>
      </c>
      <c r="I227">
        <f>IF(E227=1,IF(OR(B227="SALE",B227="WRITEOFF"),Transactions!E227,0),0)</f>
        <v/>
      </c>
      <c r="J227">
        <f>SUMIFS($F$1:F226,$A$1:A226,A227)</f>
        <v/>
      </c>
      <c r="K227">
        <f>SUMIFS($I$1:I226,$A$1:A226,A227)</f>
        <v/>
      </c>
      <c r="L227">
        <f>IFERROR(VLOOKUP(A227,Opening!$A:$C,3,0),0)</f>
        <v/>
      </c>
      <c r="M227">
        <f>IF(I227=0,0,MAX(0,MIN(INDEX(Month!H$2:H$13,MATCH($A227,Month!$A$2:$A$13,0))-K227,I227)))</f>
        <v/>
      </c>
      <c r="N227">
        <f>IF(I227=0,0,MAX(0,MIN(INDEX(Month!I$2:I$13,MATCH($A227,Month!$A$2:$A$13,0))-K227,I227)))</f>
        <v/>
      </c>
      <c r="O227">
        <f>IF(I227=0,0,MAX(0,MIN(INDEX(Month!J$2:J$13,MATCH($A227,Month!$A$2:$A$13,0))-K227,I227)))</f>
        <v/>
      </c>
      <c r="P227">
        <f>IF(I227=0,0,(MIN(MAX(K227,0),L227)*W227+SUMPRODUCT((Calc!$A$2:$A$1001=A227)*Calc!$G$2:$G$1001*(((K227-(L227+Calc!$J$2:$J$1001))&gt;0)*((K227-(L227+Calc!$J$2:$J$1001))&lt;Calc!$F$2:$F$1001)*(K227-(L227+Calc!$J$2:$J$1001))+((K227-(L227+Calc!$J$2:$J$1001))&gt;=Calc!$F$2:$F$1001)*Calc!$F$2:$F$1001))))</f>
        <v/>
      </c>
      <c r="Q227">
        <f>IF(I227=0,0,(MIN(MAX((K227+M227),0),L227)*W227+SUMPRODUCT((Calc!$A$2:$A$1001=A227)*Calc!$G$2:$G$1001*((((K227+M227)-(L227+Calc!$J$2:$J$1001))&gt;0)*(((K227+M227)-(L227+Calc!$J$2:$J$1001))&lt;Calc!$F$2:$F$1001)*((K227+M227)-(L227+Calc!$J$2:$J$1001))+(((K227+M227)-(L227+Calc!$J$2:$J$1001))&gt;=Calc!$F$2:$F$1001)*Calc!$F$2:$F$1001))))</f>
        <v/>
      </c>
      <c r="R227">
        <f>IF(I227=0,0,(MIN(MAX((K227+N227),0),L227)*W227+SUMPRODUCT((Calc!$A$2:$A$1001=A227)*Calc!$G$2:$G$1001*((((K227+N227)-(L227+Calc!$J$2:$J$1001))&gt;0)*(((K227+N227)-(L227+Calc!$J$2:$J$1001))&lt;Calc!$F$2:$F$1001)*((K227+N227)-(L227+Calc!$J$2:$J$1001))+(((K227+N227)-(L227+Calc!$J$2:$J$1001))&gt;=Calc!$F$2:$F$1001)*Calc!$F$2:$F$1001))))</f>
        <v/>
      </c>
      <c r="S227">
        <f>IF(I227=0,0,(MIN(MAX((K227+O227),0),L227)*W227+SUMPRODUCT((Calc!$A$2:$A$1001=A227)*Calc!$G$2:$G$1001*((((K227+O227)-(L227+Calc!$J$2:$J$1001))&gt;0)*(((K227+O227)-(L227+Calc!$J$2:$J$1001))&lt;Calc!$F$2:$F$1001)*((K227+O227)-(L227+Calc!$J$2:$J$1001))+(((K227+O227)-(L227+Calc!$J$2:$J$1001))&gt;=Calc!$F$2:$F$1001)*Calc!$F$2:$F$1001))))</f>
        <v/>
      </c>
      <c r="T227">
        <f>IF(AND(E227=1,B227="RETURN"),Transactions!E227*Transactions!G227,0)</f>
        <v/>
      </c>
      <c r="U227">
        <f>IF(AND(E227=1,B227="EXPENSE"),Transactions!J227,0)</f>
        <v/>
      </c>
      <c r="V227">
        <f>IF(AND(Transactions!A227&lt;&gt;"",E227=0),ROW(),"")</f>
        <v/>
      </c>
      <c r="W227">
        <f>IFERROR(VLOOKUP(A227,Opening!$A:$D,4,0),0)</f>
        <v/>
      </c>
    </row>
    <row r="228">
      <c r="A228">
        <f>IF(Transactions!D228="","",UPPER(TRIM(Transactions!D228)))</f>
        <v/>
      </c>
      <c r="B228">
        <f>IF(Transactions!C228="","",UPPER(TRIM(Transactions!C228)))</f>
        <v/>
      </c>
      <c r="C228">
        <f>IF(Transactions!B228="",0,YEAR(Transactions!B228)*100+MONTH(Transactions!B228))</f>
        <v/>
      </c>
      <c r="D228">
        <f>IF(Transactions!A228="",1,IF(COUNTIF(Transactions!$A$1:A227,Transactions!A228)&gt;0,1,0))</f>
        <v/>
      </c>
      <c r="E228">
        <f>IF(D228=1,0,IF(B228="RETURN",IF(COUNTIFS($A$1:A227,A228,$B$1:B227,"SALE",$E$1:E227,1)&gt;0,1,0),1))</f>
        <v/>
      </c>
      <c r="F228">
        <f>IF(E228=1,IF(B228="RECEIPT",Transactions!E228,IF(AND(B228="RETURN",LOWER(TRIM(Transactions!H228))="resellable"),Transactions!E228,0)),0)</f>
        <v/>
      </c>
      <c r="G228">
        <f>IF(F228&gt;0,IF(B228="RECEIPT",Transactions!F228,IF(_xlfn.MAXIFS($H$2:H228,$A$2:A228,A228)&gt;0,INDEX(Transactions!$F:$F,_xlfn.MAXIFS($H$2:H228,$A$2:A228,A228)),W228)),0)</f>
        <v/>
      </c>
      <c r="H228">
        <f>IF(AND(E228=1,B228="RECEIPT"),ROW(),0)</f>
        <v/>
      </c>
      <c r="I228">
        <f>IF(E228=1,IF(OR(B228="SALE",B228="WRITEOFF"),Transactions!E228,0),0)</f>
        <v/>
      </c>
      <c r="J228">
        <f>SUMIFS($F$1:F227,$A$1:A227,A228)</f>
        <v/>
      </c>
      <c r="K228">
        <f>SUMIFS($I$1:I227,$A$1:A227,A228)</f>
        <v/>
      </c>
      <c r="L228">
        <f>IFERROR(VLOOKUP(A228,Opening!$A:$C,3,0),0)</f>
        <v/>
      </c>
      <c r="M228">
        <f>IF(I228=0,0,MAX(0,MIN(INDEX(Month!H$2:H$13,MATCH($A228,Month!$A$2:$A$13,0))-K228,I228)))</f>
        <v/>
      </c>
      <c r="N228">
        <f>IF(I228=0,0,MAX(0,MIN(INDEX(Month!I$2:I$13,MATCH($A228,Month!$A$2:$A$13,0))-K228,I228)))</f>
        <v/>
      </c>
      <c r="O228">
        <f>IF(I228=0,0,MAX(0,MIN(INDEX(Month!J$2:J$13,MATCH($A228,Month!$A$2:$A$13,0))-K228,I228)))</f>
        <v/>
      </c>
      <c r="P228">
        <f>IF(I228=0,0,(MIN(MAX(K228,0),L228)*W228+SUMPRODUCT((Calc!$A$2:$A$1001=A228)*Calc!$G$2:$G$1001*(((K228-(L228+Calc!$J$2:$J$1001))&gt;0)*((K228-(L228+Calc!$J$2:$J$1001))&lt;Calc!$F$2:$F$1001)*(K228-(L228+Calc!$J$2:$J$1001))+((K228-(L228+Calc!$J$2:$J$1001))&gt;=Calc!$F$2:$F$1001)*Calc!$F$2:$F$1001))))</f>
        <v/>
      </c>
      <c r="Q228">
        <f>IF(I228=0,0,(MIN(MAX((K228+M228),0),L228)*W228+SUMPRODUCT((Calc!$A$2:$A$1001=A228)*Calc!$G$2:$G$1001*((((K228+M228)-(L228+Calc!$J$2:$J$1001))&gt;0)*(((K228+M228)-(L228+Calc!$J$2:$J$1001))&lt;Calc!$F$2:$F$1001)*((K228+M228)-(L228+Calc!$J$2:$J$1001))+(((K228+M228)-(L228+Calc!$J$2:$J$1001))&gt;=Calc!$F$2:$F$1001)*Calc!$F$2:$F$1001))))</f>
        <v/>
      </c>
      <c r="R228">
        <f>IF(I228=0,0,(MIN(MAX((K228+N228),0),L228)*W228+SUMPRODUCT((Calc!$A$2:$A$1001=A228)*Calc!$G$2:$G$1001*((((K228+N228)-(L228+Calc!$J$2:$J$1001))&gt;0)*(((K228+N228)-(L228+Calc!$J$2:$J$1001))&lt;Calc!$F$2:$F$1001)*((K228+N228)-(L228+Calc!$J$2:$J$1001))+(((K228+N228)-(L228+Calc!$J$2:$J$1001))&gt;=Calc!$F$2:$F$1001)*Calc!$F$2:$F$1001))))</f>
        <v/>
      </c>
      <c r="S228">
        <f>IF(I228=0,0,(MIN(MAX((K228+O228),0),L228)*W228+SUMPRODUCT((Calc!$A$2:$A$1001=A228)*Calc!$G$2:$G$1001*((((K228+O228)-(L228+Calc!$J$2:$J$1001))&gt;0)*(((K228+O228)-(L228+Calc!$J$2:$J$1001))&lt;Calc!$F$2:$F$1001)*((K228+O228)-(L228+Calc!$J$2:$J$1001))+(((K228+O228)-(L228+Calc!$J$2:$J$1001))&gt;=Calc!$F$2:$F$1001)*Calc!$F$2:$F$1001))))</f>
        <v/>
      </c>
      <c r="T228">
        <f>IF(AND(E228=1,B228="RETURN"),Transactions!E228*Transactions!G228,0)</f>
        <v/>
      </c>
      <c r="U228">
        <f>IF(AND(E228=1,B228="EXPENSE"),Transactions!J228,0)</f>
        <v/>
      </c>
      <c r="V228">
        <f>IF(AND(Transactions!A228&lt;&gt;"",E228=0),ROW(),"")</f>
        <v/>
      </c>
      <c r="W228">
        <f>IFERROR(VLOOKUP(A228,Opening!$A:$D,4,0),0)</f>
        <v/>
      </c>
    </row>
    <row r="229">
      <c r="A229">
        <f>IF(Transactions!D229="","",UPPER(TRIM(Transactions!D229)))</f>
        <v/>
      </c>
      <c r="B229">
        <f>IF(Transactions!C229="","",UPPER(TRIM(Transactions!C229)))</f>
        <v/>
      </c>
      <c r="C229">
        <f>IF(Transactions!B229="",0,YEAR(Transactions!B229)*100+MONTH(Transactions!B229))</f>
        <v/>
      </c>
      <c r="D229">
        <f>IF(Transactions!A229="",1,IF(COUNTIF(Transactions!$A$1:A228,Transactions!A229)&gt;0,1,0))</f>
        <v/>
      </c>
      <c r="E229">
        <f>IF(D229=1,0,IF(B229="RETURN",IF(COUNTIFS($A$1:A228,A229,$B$1:B228,"SALE",$E$1:E228,1)&gt;0,1,0),1))</f>
        <v/>
      </c>
      <c r="F229">
        <f>IF(E229=1,IF(B229="RECEIPT",Transactions!E229,IF(AND(B229="RETURN",LOWER(TRIM(Transactions!H229))="resellable"),Transactions!E229,0)),0)</f>
        <v/>
      </c>
      <c r="G229">
        <f>IF(F229&gt;0,IF(B229="RECEIPT",Transactions!F229,IF(_xlfn.MAXIFS($H$2:H229,$A$2:A229,A229)&gt;0,INDEX(Transactions!$F:$F,_xlfn.MAXIFS($H$2:H229,$A$2:A229,A229)),W229)),0)</f>
        <v/>
      </c>
      <c r="H229">
        <f>IF(AND(E229=1,B229="RECEIPT"),ROW(),0)</f>
        <v/>
      </c>
      <c r="I229">
        <f>IF(E229=1,IF(OR(B229="SALE",B229="WRITEOFF"),Transactions!E229,0),0)</f>
        <v/>
      </c>
      <c r="J229">
        <f>SUMIFS($F$1:F228,$A$1:A228,A229)</f>
        <v/>
      </c>
      <c r="K229">
        <f>SUMIFS($I$1:I228,$A$1:A228,A229)</f>
        <v/>
      </c>
      <c r="L229">
        <f>IFERROR(VLOOKUP(A229,Opening!$A:$C,3,0),0)</f>
        <v/>
      </c>
      <c r="M229">
        <f>IF(I229=0,0,MAX(0,MIN(INDEX(Month!H$2:H$13,MATCH($A229,Month!$A$2:$A$13,0))-K229,I229)))</f>
        <v/>
      </c>
      <c r="N229">
        <f>IF(I229=0,0,MAX(0,MIN(INDEX(Month!I$2:I$13,MATCH($A229,Month!$A$2:$A$13,0))-K229,I229)))</f>
        <v/>
      </c>
      <c r="O229">
        <f>IF(I229=0,0,MAX(0,MIN(INDEX(Month!J$2:J$13,MATCH($A229,Month!$A$2:$A$13,0))-K229,I229)))</f>
        <v/>
      </c>
      <c r="P229">
        <f>IF(I229=0,0,(MIN(MAX(K229,0),L229)*W229+SUMPRODUCT((Calc!$A$2:$A$1001=A229)*Calc!$G$2:$G$1001*(((K229-(L229+Calc!$J$2:$J$1001))&gt;0)*((K229-(L229+Calc!$J$2:$J$1001))&lt;Calc!$F$2:$F$1001)*(K229-(L229+Calc!$J$2:$J$1001))+((K229-(L229+Calc!$J$2:$J$1001))&gt;=Calc!$F$2:$F$1001)*Calc!$F$2:$F$1001))))</f>
        <v/>
      </c>
      <c r="Q229">
        <f>IF(I229=0,0,(MIN(MAX((K229+M229),0),L229)*W229+SUMPRODUCT((Calc!$A$2:$A$1001=A229)*Calc!$G$2:$G$1001*((((K229+M229)-(L229+Calc!$J$2:$J$1001))&gt;0)*(((K229+M229)-(L229+Calc!$J$2:$J$1001))&lt;Calc!$F$2:$F$1001)*((K229+M229)-(L229+Calc!$J$2:$J$1001))+(((K229+M229)-(L229+Calc!$J$2:$J$1001))&gt;=Calc!$F$2:$F$1001)*Calc!$F$2:$F$1001))))</f>
        <v/>
      </c>
      <c r="R229">
        <f>IF(I229=0,0,(MIN(MAX((K229+N229),0),L229)*W229+SUMPRODUCT((Calc!$A$2:$A$1001=A229)*Calc!$G$2:$G$1001*((((K229+N229)-(L229+Calc!$J$2:$J$1001))&gt;0)*(((K229+N229)-(L229+Calc!$J$2:$J$1001))&lt;Calc!$F$2:$F$1001)*((K229+N229)-(L229+Calc!$J$2:$J$1001))+(((K229+N229)-(L229+Calc!$J$2:$J$1001))&gt;=Calc!$F$2:$F$1001)*Calc!$F$2:$F$1001))))</f>
        <v/>
      </c>
      <c r="S229">
        <f>IF(I229=0,0,(MIN(MAX((K229+O229),0),L229)*W229+SUMPRODUCT((Calc!$A$2:$A$1001=A229)*Calc!$G$2:$G$1001*((((K229+O229)-(L229+Calc!$J$2:$J$1001))&gt;0)*(((K229+O229)-(L229+Calc!$J$2:$J$1001))&lt;Calc!$F$2:$F$1001)*((K229+O229)-(L229+Calc!$J$2:$J$1001))+(((K229+O229)-(L229+Calc!$J$2:$J$1001))&gt;=Calc!$F$2:$F$1001)*Calc!$F$2:$F$1001))))</f>
        <v/>
      </c>
      <c r="T229">
        <f>IF(AND(E229=1,B229="RETURN"),Transactions!E229*Transactions!G229,0)</f>
        <v/>
      </c>
      <c r="U229">
        <f>IF(AND(E229=1,B229="EXPENSE"),Transactions!J229,0)</f>
        <v/>
      </c>
      <c r="V229">
        <f>IF(AND(Transactions!A229&lt;&gt;"",E229=0),ROW(),"")</f>
        <v/>
      </c>
      <c r="W229">
        <f>IFERROR(VLOOKUP(A229,Opening!$A:$D,4,0),0)</f>
        <v/>
      </c>
    </row>
    <row r="230">
      <c r="A230">
        <f>IF(Transactions!D230="","",UPPER(TRIM(Transactions!D230)))</f>
        <v/>
      </c>
      <c r="B230">
        <f>IF(Transactions!C230="","",UPPER(TRIM(Transactions!C230)))</f>
        <v/>
      </c>
      <c r="C230">
        <f>IF(Transactions!B230="",0,YEAR(Transactions!B230)*100+MONTH(Transactions!B230))</f>
        <v/>
      </c>
      <c r="D230">
        <f>IF(Transactions!A230="",1,IF(COUNTIF(Transactions!$A$1:A229,Transactions!A230)&gt;0,1,0))</f>
        <v/>
      </c>
      <c r="E230">
        <f>IF(D230=1,0,IF(B230="RETURN",IF(COUNTIFS($A$1:A229,A230,$B$1:B229,"SALE",$E$1:E229,1)&gt;0,1,0),1))</f>
        <v/>
      </c>
      <c r="F230">
        <f>IF(E230=1,IF(B230="RECEIPT",Transactions!E230,IF(AND(B230="RETURN",LOWER(TRIM(Transactions!H230))="resellable"),Transactions!E230,0)),0)</f>
        <v/>
      </c>
      <c r="G230">
        <f>IF(F230&gt;0,IF(B230="RECEIPT",Transactions!F230,IF(_xlfn.MAXIFS($H$2:H230,$A$2:A230,A230)&gt;0,INDEX(Transactions!$F:$F,_xlfn.MAXIFS($H$2:H230,$A$2:A230,A230)),W230)),0)</f>
        <v/>
      </c>
      <c r="H230">
        <f>IF(AND(E230=1,B230="RECEIPT"),ROW(),0)</f>
        <v/>
      </c>
      <c r="I230">
        <f>IF(E230=1,IF(OR(B230="SALE",B230="WRITEOFF"),Transactions!E230,0),0)</f>
        <v/>
      </c>
      <c r="J230">
        <f>SUMIFS($F$1:F229,$A$1:A229,A230)</f>
        <v/>
      </c>
      <c r="K230">
        <f>SUMIFS($I$1:I229,$A$1:A229,A230)</f>
        <v/>
      </c>
      <c r="L230">
        <f>IFERROR(VLOOKUP(A230,Opening!$A:$C,3,0),0)</f>
        <v/>
      </c>
      <c r="M230">
        <f>IF(I230=0,0,MAX(0,MIN(INDEX(Month!H$2:H$13,MATCH($A230,Month!$A$2:$A$13,0))-K230,I230)))</f>
        <v/>
      </c>
      <c r="N230">
        <f>IF(I230=0,0,MAX(0,MIN(INDEX(Month!I$2:I$13,MATCH($A230,Month!$A$2:$A$13,0))-K230,I230)))</f>
        <v/>
      </c>
      <c r="O230">
        <f>IF(I230=0,0,MAX(0,MIN(INDEX(Month!J$2:J$13,MATCH($A230,Month!$A$2:$A$13,0))-K230,I230)))</f>
        <v/>
      </c>
      <c r="P230">
        <f>IF(I230=0,0,(MIN(MAX(K230,0),L230)*W230+SUMPRODUCT((Calc!$A$2:$A$1001=A230)*Calc!$G$2:$G$1001*(((K230-(L230+Calc!$J$2:$J$1001))&gt;0)*((K230-(L230+Calc!$J$2:$J$1001))&lt;Calc!$F$2:$F$1001)*(K230-(L230+Calc!$J$2:$J$1001))+((K230-(L230+Calc!$J$2:$J$1001))&gt;=Calc!$F$2:$F$1001)*Calc!$F$2:$F$1001))))</f>
        <v/>
      </c>
      <c r="Q230">
        <f>IF(I230=0,0,(MIN(MAX((K230+M230),0),L230)*W230+SUMPRODUCT((Calc!$A$2:$A$1001=A230)*Calc!$G$2:$G$1001*((((K230+M230)-(L230+Calc!$J$2:$J$1001))&gt;0)*(((K230+M230)-(L230+Calc!$J$2:$J$1001))&lt;Calc!$F$2:$F$1001)*((K230+M230)-(L230+Calc!$J$2:$J$1001))+(((K230+M230)-(L230+Calc!$J$2:$J$1001))&gt;=Calc!$F$2:$F$1001)*Calc!$F$2:$F$1001))))</f>
        <v/>
      </c>
      <c r="R230">
        <f>IF(I230=0,0,(MIN(MAX((K230+N230),0),L230)*W230+SUMPRODUCT((Calc!$A$2:$A$1001=A230)*Calc!$G$2:$G$1001*((((K230+N230)-(L230+Calc!$J$2:$J$1001))&gt;0)*(((K230+N230)-(L230+Calc!$J$2:$J$1001))&lt;Calc!$F$2:$F$1001)*((K230+N230)-(L230+Calc!$J$2:$J$1001))+(((K230+N230)-(L230+Calc!$J$2:$J$1001))&gt;=Calc!$F$2:$F$1001)*Calc!$F$2:$F$1001))))</f>
        <v/>
      </c>
      <c r="S230">
        <f>IF(I230=0,0,(MIN(MAX((K230+O230),0),L230)*W230+SUMPRODUCT((Calc!$A$2:$A$1001=A230)*Calc!$G$2:$G$1001*((((K230+O230)-(L230+Calc!$J$2:$J$1001))&gt;0)*(((K230+O230)-(L230+Calc!$J$2:$J$1001))&lt;Calc!$F$2:$F$1001)*((K230+O230)-(L230+Calc!$J$2:$J$1001))+(((K230+O230)-(L230+Calc!$J$2:$J$1001))&gt;=Calc!$F$2:$F$1001)*Calc!$F$2:$F$1001))))</f>
        <v/>
      </c>
      <c r="T230">
        <f>IF(AND(E230=1,B230="RETURN"),Transactions!E230*Transactions!G230,0)</f>
        <v/>
      </c>
      <c r="U230">
        <f>IF(AND(E230=1,B230="EXPENSE"),Transactions!J230,0)</f>
        <v/>
      </c>
      <c r="V230">
        <f>IF(AND(Transactions!A230&lt;&gt;"",E230=0),ROW(),"")</f>
        <v/>
      </c>
      <c r="W230">
        <f>IFERROR(VLOOKUP(A230,Opening!$A:$D,4,0),0)</f>
        <v/>
      </c>
    </row>
    <row r="231">
      <c r="A231">
        <f>IF(Transactions!D231="","",UPPER(TRIM(Transactions!D231)))</f>
        <v/>
      </c>
      <c r="B231">
        <f>IF(Transactions!C231="","",UPPER(TRIM(Transactions!C231)))</f>
        <v/>
      </c>
      <c r="C231">
        <f>IF(Transactions!B231="",0,YEAR(Transactions!B231)*100+MONTH(Transactions!B231))</f>
        <v/>
      </c>
      <c r="D231">
        <f>IF(Transactions!A231="",1,IF(COUNTIF(Transactions!$A$1:A230,Transactions!A231)&gt;0,1,0))</f>
        <v/>
      </c>
      <c r="E231">
        <f>IF(D231=1,0,IF(B231="RETURN",IF(COUNTIFS($A$1:A230,A231,$B$1:B230,"SALE",$E$1:E230,1)&gt;0,1,0),1))</f>
        <v/>
      </c>
      <c r="F231">
        <f>IF(E231=1,IF(B231="RECEIPT",Transactions!E231,IF(AND(B231="RETURN",LOWER(TRIM(Transactions!H231))="resellable"),Transactions!E231,0)),0)</f>
        <v/>
      </c>
      <c r="G231">
        <f>IF(F231&gt;0,IF(B231="RECEIPT",Transactions!F231,IF(_xlfn.MAXIFS($H$2:H231,$A$2:A231,A231)&gt;0,INDEX(Transactions!$F:$F,_xlfn.MAXIFS($H$2:H231,$A$2:A231,A231)),W231)),0)</f>
        <v/>
      </c>
      <c r="H231">
        <f>IF(AND(E231=1,B231="RECEIPT"),ROW(),0)</f>
        <v/>
      </c>
      <c r="I231">
        <f>IF(E231=1,IF(OR(B231="SALE",B231="WRITEOFF"),Transactions!E231,0),0)</f>
        <v/>
      </c>
      <c r="J231">
        <f>SUMIFS($F$1:F230,$A$1:A230,A231)</f>
        <v/>
      </c>
      <c r="K231">
        <f>SUMIFS($I$1:I230,$A$1:A230,A231)</f>
        <v/>
      </c>
      <c r="L231">
        <f>IFERROR(VLOOKUP(A231,Opening!$A:$C,3,0),0)</f>
        <v/>
      </c>
      <c r="M231">
        <f>IF(I231=0,0,MAX(0,MIN(INDEX(Month!H$2:H$13,MATCH($A231,Month!$A$2:$A$13,0))-K231,I231)))</f>
        <v/>
      </c>
      <c r="N231">
        <f>IF(I231=0,0,MAX(0,MIN(INDEX(Month!I$2:I$13,MATCH($A231,Month!$A$2:$A$13,0))-K231,I231)))</f>
        <v/>
      </c>
      <c r="O231">
        <f>IF(I231=0,0,MAX(0,MIN(INDEX(Month!J$2:J$13,MATCH($A231,Month!$A$2:$A$13,0))-K231,I231)))</f>
        <v/>
      </c>
      <c r="P231">
        <f>IF(I231=0,0,(MIN(MAX(K231,0),L231)*W231+SUMPRODUCT((Calc!$A$2:$A$1001=A231)*Calc!$G$2:$G$1001*(((K231-(L231+Calc!$J$2:$J$1001))&gt;0)*((K231-(L231+Calc!$J$2:$J$1001))&lt;Calc!$F$2:$F$1001)*(K231-(L231+Calc!$J$2:$J$1001))+((K231-(L231+Calc!$J$2:$J$1001))&gt;=Calc!$F$2:$F$1001)*Calc!$F$2:$F$1001))))</f>
        <v/>
      </c>
      <c r="Q231">
        <f>IF(I231=0,0,(MIN(MAX((K231+M231),0),L231)*W231+SUMPRODUCT((Calc!$A$2:$A$1001=A231)*Calc!$G$2:$G$1001*((((K231+M231)-(L231+Calc!$J$2:$J$1001))&gt;0)*(((K231+M231)-(L231+Calc!$J$2:$J$1001))&lt;Calc!$F$2:$F$1001)*((K231+M231)-(L231+Calc!$J$2:$J$1001))+(((K231+M231)-(L231+Calc!$J$2:$J$1001))&gt;=Calc!$F$2:$F$1001)*Calc!$F$2:$F$1001))))</f>
        <v/>
      </c>
      <c r="R231">
        <f>IF(I231=0,0,(MIN(MAX((K231+N231),0),L231)*W231+SUMPRODUCT((Calc!$A$2:$A$1001=A231)*Calc!$G$2:$G$1001*((((K231+N231)-(L231+Calc!$J$2:$J$1001))&gt;0)*(((K231+N231)-(L231+Calc!$J$2:$J$1001))&lt;Calc!$F$2:$F$1001)*((K231+N231)-(L231+Calc!$J$2:$J$1001))+(((K231+N231)-(L231+Calc!$J$2:$J$1001))&gt;=Calc!$F$2:$F$1001)*Calc!$F$2:$F$1001))))</f>
        <v/>
      </c>
      <c r="S231">
        <f>IF(I231=0,0,(MIN(MAX((K231+O231),0),L231)*W231+SUMPRODUCT((Calc!$A$2:$A$1001=A231)*Calc!$G$2:$G$1001*((((K231+O231)-(L231+Calc!$J$2:$J$1001))&gt;0)*(((K231+O231)-(L231+Calc!$J$2:$J$1001))&lt;Calc!$F$2:$F$1001)*((K231+O231)-(L231+Calc!$J$2:$J$1001))+(((K231+O231)-(L231+Calc!$J$2:$J$1001))&gt;=Calc!$F$2:$F$1001)*Calc!$F$2:$F$1001))))</f>
        <v/>
      </c>
      <c r="T231">
        <f>IF(AND(E231=1,B231="RETURN"),Transactions!E231*Transactions!G231,0)</f>
        <v/>
      </c>
      <c r="U231">
        <f>IF(AND(E231=1,B231="EXPENSE"),Transactions!J231,0)</f>
        <v/>
      </c>
      <c r="V231">
        <f>IF(AND(Transactions!A231&lt;&gt;"",E231=0),ROW(),"")</f>
        <v/>
      </c>
      <c r="W231">
        <f>IFERROR(VLOOKUP(A231,Opening!$A:$D,4,0),0)</f>
        <v/>
      </c>
    </row>
    <row r="232">
      <c r="A232">
        <f>IF(Transactions!D232="","",UPPER(TRIM(Transactions!D232)))</f>
        <v/>
      </c>
      <c r="B232">
        <f>IF(Transactions!C232="","",UPPER(TRIM(Transactions!C232)))</f>
        <v/>
      </c>
      <c r="C232">
        <f>IF(Transactions!B232="",0,YEAR(Transactions!B232)*100+MONTH(Transactions!B232))</f>
        <v/>
      </c>
      <c r="D232">
        <f>IF(Transactions!A232="",1,IF(COUNTIF(Transactions!$A$1:A231,Transactions!A232)&gt;0,1,0))</f>
        <v/>
      </c>
      <c r="E232">
        <f>IF(D232=1,0,IF(B232="RETURN",IF(COUNTIFS($A$1:A231,A232,$B$1:B231,"SALE",$E$1:E231,1)&gt;0,1,0),1))</f>
        <v/>
      </c>
      <c r="F232">
        <f>IF(E232=1,IF(B232="RECEIPT",Transactions!E232,IF(AND(B232="RETURN",LOWER(TRIM(Transactions!H232))="resellable"),Transactions!E232,0)),0)</f>
        <v/>
      </c>
      <c r="G232">
        <f>IF(F232&gt;0,IF(B232="RECEIPT",Transactions!F232,IF(_xlfn.MAXIFS($H$2:H232,$A$2:A232,A232)&gt;0,INDEX(Transactions!$F:$F,_xlfn.MAXIFS($H$2:H232,$A$2:A232,A232)),W232)),0)</f>
        <v/>
      </c>
      <c r="H232">
        <f>IF(AND(E232=1,B232="RECEIPT"),ROW(),0)</f>
        <v/>
      </c>
      <c r="I232">
        <f>IF(E232=1,IF(OR(B232="SALE",B232="WRITEOFF"),Transactions!E232,0),0)</f>
        <v/>
      </c>
      <c r="J232">
        <f>SUMIFS($F$1:F231,$A$1:A231,A232)</f>
        <v/>
      </c>
      <c r="K232">
        <f>SUMIFS($I$1:I231,$A$1:A231,A232)</f>
        <v/>
      </c>
      <c r="L232">
        <f>IFERROR(VLOOKUP(A232,Opening!$A:$C,3,0),0)</f>
        <v/>
      </c>
      <c r="M232">
        <f>IF(I232=0,0,MAX(0,MIN(INDEX(Month!H$2:H$13,MATCH($A232,Month!$A$2:$A$13,0))-K232,I232)))</f>
        <v/>
      </c>
      <c r="N232">
        <f>IF(I232=0,0,MAX(0,MIN(INDEX(Month!I$2:I$13,MATCH($A232,Month!$A$2:$A$13,0))-K232,I232)))</f>
        <v/>
      </c>
      <c r="O232">
        <f>IF(I232=0,0,MAX(0,MIN(INDEX(Month!J$2:J$13,MATCH($A232,Month!$A$2:$A$13,0))-K232,I232)))</f>
        <v/>
      </c>
      <c r="P232">
        <f>IF(I232=0,0,(MIN(MAX(K232,0),L232)*W232+SUMPRODUCT((Calc!$A$2:$A$1001=A232)*Calc!$G$2:$G$1001*(((K232-(L232+Calc!$J$2:$J$1001))&gt;0)*((K232-(L232+Calc!$J$2:$J$1001))&lt;Calc!$F$2:$F$1001)*(K232-(L232+Calc!$J$2:$J$1001))+((K232-(L232+Calc!$J$2:$J$1001))&gt;=Calc!$F$2:$F$1001)*Calc!$F$2:$F$1001))))</f>
        <v/>
      </c>
      <c r="Q232">
        <f>IF(I232=0,0,(MIN(MAX((K232+M232),0),L232)*W232+SUMPRODUCT((Calc!$A$2:$A$1001=A232)*Calc!$G$2:$G$1001*((((K232+M232)-(L232+Calc!$J$2:$J$1001))&gt;0)*(((K232+M232)-(L232+Calc!$J$2:$J$1001))&lt;Calc!$F$2:$F$1001)*((K232+M232)-(L232+Calc!$J$2:$J$1001))+(((K232+M232)-(L232+Calc!$J$2:$J$1001))&gt;=Calc!$F$2:$F$1001)*Calc!$F$2:$F$1001))))</f>
        <v/>
      </c>
      <c r="R232">
        <f>IF(I232=0,0,(MIN(MAX((K232+N232),0),L232)*W232+SUMPRODUCT((Calc!$A$2:$A$1001=A232)*Calc!$G$2:$G$1001*((((K232+N232)-(L232+Calc!$J$2:$J$1001))&gt;0)*(((K232+N232)-(L232+Calc!$J$2:$J$1001))&lt;Calc!$F$2:$F$1001)*((K232+N232)-(L232+Calc!$J$2:$J$1001))+(((K232+N232)-(L232+Calc!$J$2:$J$1001))&gt;=Calc!$F$2:$F$1001)*Calc!$F$2:$F$1001))))</f>
        <v/>
      </c>
      <c r="S232">
        <f>IF(I232=0,0,(MIN(MAX((K232+O232),0),L232)*W232+SUMPRODUCT((Calc!$A$2:$A$1001=A232)*Calc!$G$2:$G$1001*((((K232+O232)-(L232+Calc!$J$2:$J$1001))&gt;0)*(((K232+O232)-(L232+Calc!$J$2:$J$1001))&lt;Calc!$F$2:$F$1001)*((K232+O232)-(L232+Calc!$J$2:$J$1001))+(((K232+O232)-(L232+Calc!$J$2:$J$1001))&gt;=Calc!$F$2:$F$1001)*Calc!$F$2:$F$1001))))</f>
        <v/>
      </c>
      <c r="T232">
        <f>IF(AND(E232=1,B232="RETURN"),Transactions!E232*Transactions!G232,0)</f>
        <v/>
      </c>
      <c r="U232">
        <f>IF(AND(E232=1,B232="EXPENSE"),Transactions!J232,0)</f>
        <v/>
      </c>
      <c r="V232">
        <f>IF(AND(Transactions!A232&lt;&gt;"",E232=0),ROW(),"")</f>
        <v/>
      </c>
      <c r="W232">
        <f>IFERROR(VLOOKUP(A232,Opening!$A:$D,4,0),0)</f>
        <v/>
      </c>
    </row>
    <row r="233">
      <c r="A233">
        <f>IF(Transactions!D233="","",UPPER(TRIM(Transactions!D233)))</f>
        <v/>
      </c>
      <c r="B233">
        <f>IF(Transactions!C233="","",UPPER(TRIM(Transactions!C233)))</f>
        <v/>
      </c>
      <c r="C233">
        <f>IF(Transactions!B233="",0,YEAR(Transactions!B233)*100+MONTH(Transactions!B233))</f>
        <v/>
      </c>
      <c r="D233">
        <f>IF(Transactions!A233="",1,IF(COUNTIF(Transactions!$A$1:A232,Transactions!A233)&gt;0,1,0))</f>
        <v/>
      </c>
      <c r="E233">
        <f>IF(D233=1,0,IF(B233="RETURN",IF(COUNTIFS($A$1:A232,A233,$B$1:B232,"SALE",$E$1:E232,1)&gt;0,1,0),1))</f>
        <v/>
      </c>
      <c r="F233">
        <f>IF(E233=1,IF(B233="RECEIPT",Transactions!E233,IF(AND(B233="RETURN",LOWER(TRIM(Transactions!H233))="resellable"),Transactions!E233,0)),0)</f>
        <v/>
      </c>
      <c r="G233">
        <f>IF(F233&gt;0,IF(B233="RECEIPT",Transactions!F233,IF(_xlfn.MAXIFS($H$2:H233,$A$2:A233,A233)&gt;0,INDEX(Transactions!$F:$F,_xlfn.MAXIFS($H$2:H233,$A$2:A233,A233)),W233)),0)</f>
        <v/>
      </c>
      <c r="H233">
        <f>IF(AND(E233=1,B233="RECEIPT"),ROW(),0)</f>
        <v/>
      </c>
      <c r="I233">
        <f>IF(E233=1,IF(OR(B233="SALE",B233="WRITEOFF"),Transactions!E233,0),0)</f>
        <v/>
      </c>
      <c r="J233">
        <f>SUMIFS($F$1:F232,$A$1:A232,A233)</f>
        <v/>
      </c>
      <c r="K233">
        <f>SUMIFS($I$1:I232,$A$1:A232,A233)</f>
        <v/>
      </c>
      <c r="L233">
        <f>IFERROR(VLOOKUP(A233,Opening!$A:$C,3,0),0)</f>
        <v/>
      </c>
      <c r="M233">
        <f>IF(I233=0,0,MAX(0,MIN(INDEX(Month!H$2:H$13,MATCH($A233,Month!$A$2:$A$13,0))-K233,I233)))</f>
        <v/>
      </c>
      <c r="N233">
        <f>IF(I233=0,0,MAX(0,MIN(INDEX(Month!I$2:I$13,MATCH($A233,Month!$A$2:$A$13,0))-K233,I233)))</f>
        <v/>
      </c>
      <c r="O233">
        <f>IF(I233=0,0,MAX(0,MIN(INDEX(Month!J$2:J$13,MATCH($A233,Month!$A$2:$A$13,0))-K233,I233)))</f>
        <v/>
      </c>
      <c r="P233">
        <f>IF(I233=0,0,(MIN(MAX(K233,0),L233)*W233+SUMPRODUCT((Calc!$A$2:$A$1001=A233)*Calc!$G$2:$G$1001*(((K233-(L233+Calc!$J$2:$J$1001))&gt;0)*((K233-(L233+Calc!$J$2:$J$1001))&lt;Calc!$F$2:$F$1001)*(K233-(L233+Calc!$J$2:$J$1001))+((K233-(L233+Calc!$J$2:$J$1001))&gt;=Calc!$F$2:$F$1001)*Calc!$F$2:$F$1001))))</f>
        <v/>
      </c>
      <c r="Q233">
        <f>IF(I233=0,0,(MIN(MAX((K233+M233),0),L233)*W233+SUMPRODUCT((Calc!$A$2:$A$1001=A233)*Calc!$G$2:$G$1001*((((K233+M233)-(L233+Calc!$J$2:$J$1001))&gt;0)*(((K233+M233)-(L233+Calc!$J$2:$J$1001))&lt;Calc!$F$2:$F$1001)*((K233+M233)-(L233+Calc!$J$2:$J$1001))+(((K233+M233)-(L233+Calc!$J$2:$J$1001))&gt;=Calc!$F$2:$F$1001)*Calc!$F$2:$F$1001))))</f>
        <v/>
      </c>
      <c r="R233">
        <f>IF(I233=0,0,(MIN(MAX((K233+N233),0),L233)*W233+SUMPRODUCT((Calc!$A$2:$A$1001=A233)*Calc!$G$2:$G$1001*((((K233+N233)-(L233+Calc!$J$2:$J$1001))&gt;0)*(((K233+N233)-(L233+Calc!$J$2:$J$1001))&lt;Calc!$F$2:$F$1001)*((K233+N233)-(L233+Calc!$J$2:$J$1001))+(((K233+N233)-(L233+Calc!$J$2:$J$1001))&gt;=Calc!$F$2:$F$1001)*Calc!$F$2:$F$1001))))</f>
        <v/>
      </c>
      <c r="S233">
        <f>IF(I233=0,0,(MIN(MAX((K233+O233),0),L233)*W233+SUMPRODUCT((Calc!$A$2:$A$1001=A233)*Calc!$G$2:$G$1001*((((K233+O233)-(L233+Calc!$J$2:$J$1001))&gt;0)*(((K233+O233)-(L233+Calc!$J$2:$J$1001))&lt;Calc!$F$2:$F$1001)*((K233+O233)-(L233+Calc!$J$2:$J$1001))+(((K233+O233)-(L233+Calc!$J$2:$J$1001))&gt;=Calc!$F$2:$F$1001)*Calc!$F$2:$F$1001))))</f>
        <v/>
      </c>
      <c r="T233">
        <f>IF(AND(E233=1,B233="RETURN"),Transactions!E233*Transactions!G233,0)</f>
        <v/>
      </c>
      <c r="U233">
        <f>IF(AND(E233=1,B233="EXPENSE"),Transactions!J233,0)</f>
        <v/>
      </c>
      <c r="V233">
        <f>IF(AND(Transactions!A233&lt;&gt;"",E233=0),ROW(),"")</f>
        <v/>
      </c>
      <c r="W233">
        <f>IFERROR(VLOOKUP(A233,Opening!$A:$D,4,0),0)</f>
        <v/>
      </c>
    </row>
    <row r="234">
      <c r="A234">
        <f>IF(Transactions!D234="","",UPPER(TRIM(Transactions!D234)))</f>
        <v/>
      </c>
      <c r="B234">
        <f>IF(Transactions!C234="","",UPPER(TRIM(Transactions!C234)))</f>
        <v/>
      </c>
      <c r="C234">
        <f>IF(Transactions!B234="",0,YEAR(Transactions!B234)*100+MONTH(Transactions!B234))</f>
        <v/>
      </c>
      <c r="D234">
        <f>IF(Transactions!A234="",1,IF(COUNTIF(Transactions!$A$1:A233,Transactions!A234)&gt;0,1,0))</f>
        <v/>
      </c>
      <c r="E234">
        <f>IF(D234=1,0,IF(B234="RETURN",IF(COUNTIFS($A$1:A233,A234,$B$1:B233,"SALE",$E$1:E233,1)&gt;0,1,0),1))</f>
        <v/>
      </c>
      <c r="F234">
        <f>IF(E234=1,IF(B234="RECEIPT",Transactions!E234,IF(AND(B234="RETURN",LOWER(TRIM(Transactions!H234))="resellable"),Transactions!E234,0)),0)</f>
        <v/>
      </c>
      <c r="G234">
        <f>IF(F234&gt;0,IF(B234="RECEIPT",Transactions!F234,IF(_xlfn.MAXIFS($H$2:H234,$A$2:A234,A234)&gt;0,INDEX(Transactions!$F:$F,_xlfn.MAXIFS($H$2:H234,$A$2:A234,A234)),W234)),0)</f>
        <v/>
      </c>
      <c r="H234">
        <f>IF(AND(E234=1,B234="RECEIPT"),ROW(),0)</f>
        <v/>
      </c>
      <c r="I234">
        <f>IF(E234=1,IF(OR(B234="SALE",B234="WRITEOFF"),Transactions!E234,0),0)</f>
        <v/>
      </c>
      <c r="J234">
        <f>SUMIFS($F$1:F233,$A$1:A233,A234)</f>
        <v/>
      </c>
      <c r="K234">
        <f>SUMIFS($I$1:I233,$A$1:A233,A234)</f>
        <v/>
      </c>
      <c r="L234">
        <f>IFERROR(VLOOKUP(A234,Opening!$A:$C,3,0),0)</f>
        <v/>
      </c>
      <c r="M234">
        <f>IF(I234=0,0,MAX(0,MIN(INDEX(Month!H$2:H$13,MATCH($A234,Month!$A$2:$A$13,0))-K234,I234)))</f>
        <v/>
      </c>
      <c r="N234">
        <f>IF(I234=0,0,MAX(0,MIN(INDEX(Month!I$2:I$13,MATCH($A234,Month!$A$2:$A$13,0))-K234,I234)))</f>
        <v/>
      </c>
      <c r="O234">
        <f>IF(I234=0,0,MAX(0,MIN(INDEX(Month!J$2:J$13,MATCH($A234,Month!$A$2:$A$13,0))-K234,I234)))</f>
        <v/>
      </c>
      <c r="P234">
        <f>IF(I234=0,0,(MIN(MAX(K234,0),L234)*W234+SUMPRODUCT((Calc!$A$2:$A$1001=A234)*Calc!$G$2:$G$1001*(((K234-(L234+Calc!$J$2:$J$1001))&gt;0)*((K234-(L234+Calc!$J$2:$J$1001))&lt;Calc!$F$2:$F$1001)*(K234-(L234+Calc!$J$2:$J$1001))+((K234-(L234+Calc!$J$2:$J$1001))&gt;=Calc!$F$2:$F$1001)*Calc!$F$2:$F$1001))))</f>
        <v/>
      </c>
      <c r="Q234">
        <f>IF(I234=0,0,(MIN(MAX((K234+M234),0),L234)*W234+SUMPRODUCT((Calc!$A$2:$A$1001=A234)*Calc!$G$2:$G$1001*((((K234+M234)-(L234+Calc!$J$2:$J$1001))&gt;0)*(((K234+M234)-(L234+Calc!$J$2:$J$1001))&lt;Calc!$F$2:$F$1001)*((K234+M234)-(L234+Calc!$J$2:$J$1001))+(((K234+M234)-(L234+Calc!$J$2:$J$1001))&gt;=Calc!$F$2:$F$1001)*Calc!$F$2:$F$1001))))</f>
        <v/>
      </c>
      <c r="R234">
        <f>IF(I234=0,0,(MIN(MAX((K234+N234),0),L234)*W234+SUMPRODUCT((Calc!$A$2:$A$1001=A234)*Calc!$G$2:$G$1001*((((K234+N234)-(L234+Calc!$J$2:$J$1001))&gt;0)*(((K234+N234)-(L234+Calc!$J$2:$J$1001))&lt;Calc!$F$2:$F$1001)*((K234+N234)-(L234+Calc!$J$2:$J$1001))+(((K234+N234)-(L234+Calc!$J$2:$J$1001))&gt;=Calc!$F$2:$F$1001)*Calc!$F$2:$F$1001))))</f>
        <v/>
      </c>
      <c r="S234">
        <f>IF(I234=0,0,(MIN(MAX((K234+O234),0),L234)*W234+SUMPRODUCT((Calc!$A$2:$A$1001=A234)*Calc!$G$2:$G$1001*((((K234+O234)-(L234+Calc!$J$2:$J$1001))&gt;0)*(((K234+O234)-(L234+Calc!$J$2:$J$1001))&lt;Calc!$F$2:$F$1001)*((K234+O234)-(L234+Calc!$J$2:$J$1001))+(((K234+O234)-(L234+Calc!$J$2:$J$1001))&gt;=Calc!$F$2:$F$1001)*Calc!$F$2:$F$1001))))</f>
        <v/>
      </c>
      <c r="T234">
        <f>IF(AND(E234=1,B234="RETURN"),Transactions!E234*Transactions!G234,0)</f>
        <v/>
      </c>
      <c r="U234">
        <f>IF(AND(E234=1,B234="EXPENSE"),Transactions!J234,0)</f>
        <v/>
      </c>
      <c r="V234">
        <f>IF(AND(Transactions!A234&lt;&gt;"",E234=0),ROW(),"")</f>
        <v/>
      </c>
      <c r="W234">
        <f>IFERROR(VLOOKUP(A234,Opening!$A:$D,4,0),0)</f>
        <v/>
      </c>
    </row>
    <row r="235">
      <c r="A235">
        <f>IF(Transactions!D235="","",UPPER(TRIM(Transactions!D235)))</f>
        <v/>
      </c>
      <c r="B235">
        <f>IF(Transactions!C235="","",UPPER(TRIM(Transactions!C235)))</f>
        <v/>
      </c>
      <c r="C235">
        <f>IF(Transactions!B235="",0,YEAR(Transactions!B235)*100+MONTH(Transactions!B235))</f>
        <v/>
      </c>
      <c r="D235">
        <f>IF(Transactions!A235="",1,IF(COUNTIF(Transactions!$A$1:A234,Transactions!A235)&gt;0,1,0))</f>
        <v/>
      </c>
      <c r="E235">
        <f>IF(D235=1,0,IF(B235="RETURN",IF(COUNTIFS($A$1:A234,A235,$B$1:B234,"SALE",$E$1:E234,1)&gt;0,1,0),1))</f>
        <v/>
      </c>
      <c r="F235">
        <f>IF(E235=1,IF(B235="RECEIPT",Transactions!E235,IF(AND(B235="RETURN",LOWER(TRIM(Transactions!H235))="resellable"),Transactions!E235,0)),0)</f>
        <v/>
      </c>
      <c r="G235">
        <f>IF(F235&gt;0,IF(B235="RECEIPT",Transactions!F235,IF(_xlfn.MAXIFS($H$2:H235,$A$2:A235,A235)&gt;0,INDEX(Transactions!$F:$F,_xlfn.MAXIFS($H$2:H235,$A$2:A235,A235)),W235)),0)</f>
        <v/>
      </c>
      <c r="H235">
        <f>IF(AND(E235=1,B235="RECEIPT"),ROW(),0)</f>
        <v/>
      </c>
      <c r="I235">
        <f>IF(E235=1,IF(OR(B235="SALE",B235="WRITEOFF"),Transactions!E235,0),0)</f>
        <v/>
      </c>
      <c r="J235">
        <f>SUMIFS($F$1:F234,$A$1:A234,A235)</f>
        <v/>
      </c>
      <c r="K235">
        <f>SUMIFS($I$1:I234,$A$1:A234,A235)</f>
        <v/>
      </c>
      <c r="L235">
        <f>IFERROR(VLOOKUP(A235,Opening!$A:$C,3,0),0)</f>
        <v/>
      </c>
      <c r="M235">
        <f>IF(I235=0,0,MAX(0,MIN(INDEX(Month!H$2:H$13,MATCH($A235,Month!$A$2:$A$13,0))-K235,I235)))</f>
        <v/>
      </c>
      <c r="N235">
        <f>IF(I235=0,0,MAX(0,MIN(INDEX(Month!I$2:I$13,MATCH($A235,Month!$A$2:$A$13,0))-K235,I235)))</f>
        <v/>
      </c>
      <c r="O235">
        <f>IF(I235=0,0,MAX(0,MIN(INDEX(Month!J$2:J$13,MATCH($A235,Month!$A$2:$A$13,0))-K235,I235)))</f>
        <v/>
      </c>
      <c r="P235">
        <f>IF(I235=0,0,(MIN(MAX(K235,0),L235)*W235+SUMPRODUCT((Calc!$A$2:$A$1001=A235)*Calc!$G$2:$G$1001*(((K235-(L235+Calc!$J$2:$J$1001))&gt;0)*((K235-(L235+Calc!$J$2:$J$1001))&lt;Calc!$F$2:$F$1001)*(K235-(L235+Calc!$J$2:$J$1001))+((K235-(L235+Calc!$J$2:$J$1001))&gt;=Calc!$F$2:$F$1001)*Calc!$F$2:$F$1001))))</f>
        <v/>
      </c>
      <c r="Q235">
        <f>IF(I235=0,0,(MIN(MAX((K235+M235),0),L235)*W235+SUMPRODUCT((Calc!$A$2:$A$1001=A235)*Calc!$G$2:$G$1001*((((K235+M235)-(L235+Calc!$J$2:$J$1001))&gt;0)*(((K235+M235)-(L235+Calc!$J$2:$J$1001))&lt;Calc!$F$2:$F$1001)*((K235+M235)-(L235+Calc!$J$2:$J$1001))+(((K235+M235)-(L235+Calc!$J$2:$J$1001))&gt;=Calc!$F$2:$F$1001)*Calc!$F$2:$F$1001))))</f>
        <v/>
      </c>
      <c r="R235">
        <f>IF(I235=0,0,(MIN(MAX((K235+N235),0),L235)*W235+SUMPRODUCT((Calc!$A$2:$A$1001=A235)*Calc!$G$2:$G$1001*((((K235+N235)-(L235+Calc!$J$2:$J$1001))&gt;0)*(((K235+N235)-(L235+Calc!$J$2:$J$1001))&lt;Calc!$F$2:$F$1001)*((K235+N235)-(L235+Calc!$J$2:$J$1001))+(((K235+N235)-(L235+Calc!$J$2:$J$1001))&gt;=Calc!$F$2:$F$1001)*Calc!$F$2:$F$1001))))</f>
        <v/>
      </c>
      <c r="S235">
        <f>IF(I235=0,0,(MIN(MAX((K235+O235),0),L235)*W235+SUMPRODUCT((Calc!$A$2:$A$1001=A235)*Calc!$G$2:$G$1001*((((K235+O235)-(L235+Calc!$J$2:$J$1001))&gt;0)*(((K235+O235)-(L235+Calc!$J$2:$J$1001))&lt;Calc!$F$2:$F$1001)*((K235+O235)-(L235+Calc!$J$2:$J$1001))+(((K235+O235)-(L235+Calc!$J$2:$J$1001))&gt;=Calc!$F$2:$F$1001)*Calc!$F$2:$F$1001))))</f>
        <v/>
      </c>
      <c r="T235">
        <f>IF(AND(E235=1,B235="RETURN"),Transactions!E235*Transactions!G235,0)</f>
        <v/>
      </c>
      <c r="U235">
        <f>IF(AND(E235=1,B235="EXPENSE"),Transactions!J235,0)</f>
        <v/>
      </c>
      <c r="V235">
        <f>IF(AND(Transactions!A235&lt;&gt;"",E235=0),ROW(),"")</f>
        <v/>
      </c>
      <c r="W235">
        <f>IFERROR(VLOOKUP(A235,Opening!$A:$D,4,0),0)</f>
        <v/>
      </c>
    </row>
    <row r="236">
      <c r="A236">
        <f>IF(Transactions!D236="","",UPPER(TRIM(Transactions!D236)))</f>
        <v/>
      </c>
      <c r="B236">
        <f>IF(Transactions!C236="","",UPPER(TRIM(Transactions!C236)))</f>
        <v/>
      </c>
      <c r="C236">
        <f>IF(Transactions!B236="",0,YEAR(Transactions!B236)*100+MONTH(Transactions!B236))</f>
        <v/>
      </c>
      <c r="D236">
        <f>IF(Transactions!A236="",1,IF(COUNTIF(Transactions!$A$1:A235,Transactions!A236)&gt;0,1,0))</f>
        <v/>
      </c>
      <c r="E236">
        <f>IF(D236=1,0,IF(B236="RETURN",IF(COUNTIFS($A$1:A235,A236,$B$1:B235,"SALE",$E$1:E235,1)&gt;0,1,0),1))</f>
        <v/>
      </c>
      <c r="F236">
        <f>IF(E236=1,IF(B236="RECEIPT",Transactions!E236,IF(AND(B236="RETURN",LOWER(TRIM(Transactions!H236))="resellable"),Transactions!E236,0)),0)</f>
        <v/>
      </c>
      <c r="G236">
        <f>IF(F236&gt;0,IF(B236="RECEIPT",Transactions!F236,IF(_xlfn.MAXIFS($H$2:H236,$A$2:A236,A236)&gt;0,INDEX(Transactions!$F:$F,_xlfn.MAXIFS($H$2:H236,$A$2:A236,A236)),W236)),0)</f>
        <v/>
      </c>
      <c r="H236">
        <f>IF(AND(E236=1,B236="RECEIPT"),ROW(),0)</f>
        <v/>
      </c>
      <c r="I236">
        <f>IF(E236=1,IF(OR(B236="SALE",B236="WRITEOFF"),Transactions!E236,0),0)</f>
        <v/>
      </c>
      <c r="J236">
        <f>SUMIFS($F$1:F235,$A$1:A235,A236)</f>
        <v/>
      </c>
      <c r="K236">
        <f>SUMIFS($I$1:I235,$A$1:A235,A236)</f>
        <v/>
      </c>
      <c r="L236">
        <f>IFERROR(VLOOKUP(A236,Opening!$A:$C,3,0),0)</f>
        <v/>
      </c>
      <c r="M236">
        <f>IF(I236=0,0,MAX(0,MIN(INDEX(Month!H$2:H$13,MATCH($A236,Month!$A$2:$A$13,0))-K236,I236)))</f>
        <v/>
      </c>
      <c r="N236">
        <f>IF(I236=0,0,MAX(0,MIN(INDEX(Month!I$2:I$13,MATCH($A236,Month!$A$2:$A$13,0))-K236,I236)))</f>
        <v/>
      </c>
      <c r="O236">
        <f>IF(I236=0,0,MAX(0,MIN(INDEX(Month!J$2:J$13,MATCH($A236,Month!$A$2:$A$13,0))-K236,I236)))</f>
        <v/>
      </c>
      <c r="P236">
        <f>IF(I236=0,0,(MIN(MAX(K236,0),L236)*W236+SUMPRODUCT((Calc!$A$2:$A$1001=A236)*Calc!$G$2:$G$1001*(((K236-(L236+Calc!$J$2:$J$1001))&gt;0)*((K236-(L236+Calc!$J$2:$J$1001))&lt;Calc!$F$2:$F$1001)*(K236-(L236+Calc!$J$2:$J$1001))+((K236-(L236+Calc!$J$2:$J$1001))&gt;=Calc!$F$2:$F$1001)*Calc!$F$2:$F$1001))))</f>
        <v/>
      </c>
      <c r="Q236">
        <f>IF(I236=0,0,(MIN(MAX((K236+M236),0),L236)*W236+SUMPRODUCT((Calc!$A$2:$A$1001=A236)*Calc!$G$2:$G$1001*((((K236+M236)-(L236+Calc!$J$2:$J$1001))&gt;0)*(((K236+M236)-(L236+Calc!$J$2:$J$1001))&lt;Calc!$F$2:$F$1001)*((K236+M236)-(L236+Calc!$J$2:$J$1001))+(((K236+M236)-(L236+Calc!$J$2:$J$1001))&gt;=Calc!$F$2:$F$1001)*Calc!$F$2:$F$1001))))</f>
        <v/>
      </c>
      <c r="R236">
        <f>IF(I236=0,0,(MIN(MAX((K236+N236),0),L236)*W236+SUMPRODUCT((Calc!$A$2:$A$1001=A236)*Calc!$G$2:$G$1001*((((K236+N236)-(L236+Calc!$J$2:$J$1001))&gt;0)*(((K236+N236)-(L236+Calc!$J$2:$J$1001))&lt;Calc!$F$2:$F$1001)*((K236+N236)-(L236+Calc!$J$2:$J$1001))+(((K236+N236)-(L236+Calc!$J$2:$J$1001))&gt;=Calc!$F$2:$F$1001)*Calc!$F$2:$F$1001))))</f>
        <v/>
      </c>
      <c r="S236">
        <f>IF(I236=0,0,(MIN(MAX((K236+O236),0),L236)*W236+SUMPRODUCT((Calc!$A$2:$A$1001=A236)*Calc!$G$2:$G$1001*((((K236+O236)-(L236+Calc!$J$2:$J$1001))&gt;0)*(((K236+O236)-(L236+Calc!$J$2:$J$1001))&lt;Calc!$F$2:$F$1001)*((K236+O236)-(L236+Calc!$J$2:$J$1001))+(((K236+O236)-(L236+Calc!$J$2:$J$1001))&gt;=Calc!$F$2:$F$1001)*Calc!$F$2:$F$1001))))</f>
        <v/>
      </c>
      <c r="T236">
        <f>IF(AND(E236=1,B236="RETURN"),Transactions!E236*Transactions!G236,0)</f>
        <v/>
      </c>
      <c r="U236">
        <f>IF(AND(E236=1,B236="EXPENSE"),Transactions!J236,0)</f>
        <v/>
      </c>
      <c r="V236">
        <f>IF(AND(Transactions!A236&lt;&gt;"",E236=0),ROW(),"")</f>
        <v/>
      </c>
      <c r="W236">
        <f>IFERROR(VLOOKUP(A236,Opening!$A:$D,4,0),0)</f>
        <v/>
      </c>
    </row>
    <row r="237">
      <c r="A237">
        <f>IF(Transactions!D237="","",UPPER(TRIM(Transactions!D237)))</f>
        <v/>
      </c>
      <c r="B237">
        <f>IF(Transactions!C237="","",UPPER(TRIM(Transactions!C237)))</f>
        <v/>
      </c>
      <c r="C237">
        <f>IF(Transactions!B237="",0,YEAR(Transactions!B237)*100+MONTH(Transactions!B237))</f>
        <v/>
      </c>
      <c r="D237">
        <f>IF(Transactions!A237="",1,IF(COUNTIF(Transactions!$A$1:A236,Transactions!A237)&gt;0,1,0))</f>
        <v/>
      </c>
      <c r="E237">
        <f>IF(D237=1,0,IF(B237="RETURN",IF(COUNTIFS($A$1:A236,A237,$B$1:B236,"SALE",$E$1:E236,1)&gt;0,1,0),1))</f>
        <v/>
      </c>
      <c r="F237">
        <f>IF(E237=1,IF(B237="RECEIPT",Transactions!E237,IF(AND(B237="RETURN",LOWER(TRIM(Transactions!H237))="resellable"),Transactions!E237,0)),0)</f>
        <v/>
      </c>
      <c r="G237">
        <f>IF(F237&gt;0,IF(B237="RECEIPT",Transactions!F237,IF(_xlfn.MAXIFS($H$2:H237,$A$2:A237,A237)&gt;0,INDEX(Transactions!$F:$F,_xlfn.MAXIFS($H$2:H237,$A$2:A237,A237)),W237)),0)</f>
        <v/>
      </c>
      <c r="H237">
        <f>IF(AND(E237=1,B237="RECEIPT"),ROW(),0)</f>
        <v/>
      </c>
      <c r="I237">
        <f>IF(E237=1,IF(OR(B237="SALE",B237="WRITEOFF"),Transactions!E237,0),0)</f>
        <v/>
      </c>
      <c r="J237">
        <f>SUMIFS($F$1:F236,$A$1:A236,A237)</f>
        <v/>
      </c>
      <c r="K237">
        <f>SUMIFS($I$1:I236,$A$1:A236,A237)</f>
        <v/>
      </c>
      <c r="L237">
        <f>IFERROR(VLOOKUP(A237,Opening!$A:$C,3,0),0)</f>
        <v/>
      </c>
      <c r="M237">
        <f>IF(I237=0,0,MAX(0,MIN(INDEX(Month!H$2:H$13,MATCH($A237,Month!$A$2:$A$13,0))-K237,I237)))</f>
        <v/>
      </c>
      <c r="N237">
        <f>IF(I237=0,0,MAX(0,MIN(INDEX(Month!I$2:I$13,MATCH($A237,Month!$A$2:$A$13,0))-K237,I237)))</f>
        <v/>
      </c>
      <c r="O237">
        <f>IF(I237=0,0,MAX(0,MIN(INDEX(Month!J$2:J$13,MATCH($A237,Month!$A$2:$A$13,0))-K237,I237)))</f>
        <v/>
      </c>
      <c r="P237">
        <f>IF(I237=0,0,(MIN(MAX(K237,0),L237)*W237+SUMPRODUCT((Calc!$A$2:$A$1001=A237)*Calc!$G$2:$G$1001*(((K237-(L237+Calc!$J$2:$J$1001))&gt;0)*((K237-(L237+Calc!$J$2:$J$1001))&lt;Calc!$F$2:$F$1001)*(K237-(L237+Calc!$J$2:$J$1001))+((K237-(L237+Calc!$J$2:$J$1001))&gt;=Calc!$F$2:$F$1001)*Calc!$F$2:$F$1001))))</f>
        <v/>
      </c>
      <c r="Q237">
        <f>IF(I237=0,0,(MIN(MAX((K237+M237),0),L237)*W237+SUMPRODUCT((Calc!$A$2:$A$1001=A237)*Calc!$G$2:$G$1001*((((K237+M237)-(L237+Calc!$J$2:$J$1001))&gt;0)*(((K237+M237)-(L237+Calc!$J$2:$J$1001))&lt;Calc!$F$2:$F$1001)*((K237+M237)-(L237+Calc!$J$2:$J$1001))+(((K237+M237)-(L237+Calc!$J$2:$J$1001))&gt;=Calc!$F$2:$F$1001)*Calc!$F$2:$F$1001))))</f>
        <v/>
      </c>
      <c r="R237">
        <f>IF(I237=0,0,(MIN(MAX((K237+N237),0),L237)*W237+SUMPRODUCT((Calc!$A$2:$A$1001=A237)*Calc!$G$2:$G$1001*((((K237+N237)-(L237+Calc!$J$2:$J$1001))&gt;0)*(((K237+N237)-(L237+Calc!$J$2:$J$1001))&lt;Calc!$F$2:$F$1001)*((K237+N237)-(L237+Calc!$J$2:$J$1001))+(((K237+N237)-(L237+Calc!$J$2:$J$1001))&gt;=Calc!$F$2:$F$1001)*Calc!$F$2:$F$1001))))</f>
        <v/>
      </c>
      <c r="S237">
        <f>IF(I237=0,0,(MIN(MAX((K237+O237),0),L237)*W237+SUMPRODUCT((Calc!$A$2:$A$1001=A237)*Calc!$G$2:$G$1001*((((K237+O237)-(L237+Calc!$J$2:$J$1001))&gt;0)*(((K237+O237)-(L237+Calc!$J$2:$J$1001))&lt;Calc!$F$2:$F$1001)*((K237+O237)-(L237+Calc!$J$2:$J$1001))+(((K237+O237)-(L237+Calc!$J$2:$J$1001))&gt;=Calc!$F$2:$F$1001)*Calc!$F$2:$F$1001))))</f>
        <v/>
      </c>
      <c r="T237">
        <f>IF(AND(E237=1,B237="RETURN"),Transactions!E237*Transactions!G237,0)</f>
        <v/>
      </c>
      <c r="U237">
        <f>IF(AND(E237=1,B237="EXPENSE"),Transactions!J237,0)</f>
        <v/>
      </c>
      <c r="V237">
        <f>IF(AND(Transactions!A237&lt;&gt;"",E237=0),ROW(),"")</f>
        <v/>
      </c>
      <c r="W237">
        <f>IFERROR(VLOOKUP(A237,Opening!$A:$D,4,0),0)</f>
        <v/>
      </c>
    </row>
    <row r="238">
      <c r="A238">
        <f>IF(Transactions!D238="","",UPPER(TRIM(Transactions!D238)))</f>
        <v/>
      </c>
      <c r="B238">
        <f>IF(Transactions!C238="","",UPPER(TRIM(Transactions!C238)))</f>
        <v/>
      </c>
      <c r="C238">
        <f>IF(Transactions!B238="",0,YEAR(Transactions!B238)*100+MONTH(Transactions!B238))</f>
        <v/>
      </c>
      <c r="D238">
        <f>IF(Transactions!A238="",1,IF(COUNTIF(Transactions!$A$1:A237,Transactions!A238)&gt;0,1,0))</f>
        <v/>
      </c>
      <c r="E238">
        <f>IF(D238=1,0,IF(B238="RETURN",IF(COUNTIFS($A$1:A237,A238,$B$1:B237,"SALE",$E$1:E237,1)&gt;0,1,0),1))</f>
        <v/>
      </c>
      <c r="F238">
        <f>IF(E238=1,IF(B238="RECEIPT",Transactions!E238,IF(AND(B238="RETURN",LOWER(TRIM(Transactions!H238))="resellable"),Transactions!E238,0)),0)</f>
        <v/>
      </c>
      <c r="G238">
        <f>IF(F238&gt;0,IF(B238="RECEIPT",Transactions!F238,IF(_xlfn.MAXIFS($H$2:H238,$A$2:A238,A238)&gt;0,INDEX(Transactions!$F:$F,_xlfn.MAXIFS($H$2:H238,$A$2:A238,A238)),W238)),0)</f>
        <v/>
      </c>
      <c r="H238">
        <f>IF(AND(E238=1,B238="RECEIPT"),ROW(),0)</f>
        <v/>
      </c>
      <c r="I238">
        <f>IF(E238=1,IF(OR(B238="SALE",B238="WRITEOFF"),Transactions!E238,0),0)</f>
        <v/>
      </c>
      <c r="J238">
        <f>SUMIFS($F$1:F237,$A$1:A237,A238)</f>
        <v/>
      </c>
      <c r="K238">
        <f>SUMIFS($I$1:I237,$A$1:A237,A238)</f>
        <v/>
      </c>
      <c r="L238">
        <f>IFERROR(VLOOKUP(A238,Opening!$A:$C,3,0),0)</f>
        <v/>
      </c>
      <c r="M238">
        <f>IF(I238=0,0,MAX(0,MIN(INDEX(Month!H$2:H$13,MATCH($A238,Month!$A$2:$A$13,0))-K238,I238)))</f>
        <v/>
      </c>
      <c r="N238">
        <f>IF(I238=0,0,MAX(0,MIN(INDEX(Month!I$2:I$13,MATCH($A238,Month!$A$2:$A$13,0))-K238,I238)))</f>
        <v/>
      </c>
      <c r="O238">
        <f>IF(I238=0,0,MAX(0,MIN(INDEX(Month!J$2:J$13,MATCH($A238,Month!$A$2:$A$13,0))-K238,I238)))</f>
        <v/>
      </c>
      <c r="P238">
        <f>IF(I238=0,0,(MIN(MAX(K238,0),L238)*W238+SUMPRODUCT((Calc!$A$2:$A$1001=A238)*Calc!$G$2:$G$1001*(((K238-(L238+Calc!$J$2:$J$1001))&gt;0)*((K238-(L238+Calc!$J$2:$J$1001))&lt;Calc!$F$2:$F$1001)*(K238-(L238+Calc!$J$2:$J$1001))+((K238-(L238+Calc!$J$2:$J$1001))&gt;=Calc!$F$2:$F$1001)*Calc!$F$2:$F$1001))))</f>
        <v/>
      </c>
      <c r="Q238">
        <f>IF(I238=0,0,(MIN(MAX((K238+M238),0),L238)*W238+SUMPRODUCT((Calc!$A$2:$A$1001=A238)*Calc!$G$2:$G$1001*((((K238+M238)-(L238+Calc!$J$2:$J$1001))&gt;0)*(((K238+M238)-(L238+Calc!$J$2:$J$1001))&lt;Calc!$F$2:$F$1001)*((K238+M238)-(L238+Calc!$J$2:$J$1001))+(((K238+M238)-(L238+Calc!$J$2:$J$1001))&gt;=Calc!$F$2:$F$1001)*Calc!$F$2:$F$1001))))</f>
        <v/>
      </c>
      <c r="R238">
        <f>IF(I238=0,0,(MIN(MAX((K238+N238),0),L238)*W238+SUMPRODUCT((Calc!$A$2:$A$1001=A238)*Calc!$G$2:$G$1001*((((K238+N238)-(L238+Calc!$J$2:$J$1001))&gt;0)*(((K238+N238)-(L238+Calc!$J$2:$J$1001))&lt;Calc!$F$2:$F$1001)*((K238+N238)-(L238+Calc!$J$2:$J$1001))+(((K238+N238)-(L238+Calc!$J$2:$J$1001))&gt;=Calc!$F$2:$F$1001)*Calc!$F$2:$F$1001))))</f>
        <v/>
      </c>
      <c r="S238">
        <f>IF(I238=0,0,(MIN(MAX((K238+O238),0),L238)*W238+SUMPRODUCT((Calc!$A$2:$A$1001=A238)*Calc!$G$2:$G$1001*((((K238+O238)-(L238+Calc!$J$2:$J$1001))&gt;0)*(((K238+O238)-(L238+Calc!$J$2:$J$1001))&lt;Calc!$F$2:$F$1001)*((K238+O238)-(L238+Calc!$J$2:$J$1001))+(((K238+O238)-(L238+Calc!$J$2:$J$1001))&gt;=Calc!$F$2:$F$1001)*Calc!$F$2:$F$1001))))</f>
        <v/>
      </c>
      <c r="T238">
        <f>IF(AND(E238=1,B238="RETURN"),Transactions!E238*Transactions!G238,0)</f>
        <v/>
      </c>
      <c r="U238">
        <f>IF(AND(E238=1,B238="EXPENSE"),Transactions!J238,0)</f>
        <v/>
      </c>
      <c r="V238">
        <f>IF(AND(Transactions!A238&lt;&gt;"",E238=0),ROW(),"")</f>
        <v/>
      </c>
      <c r="W238">
        <f>IFERROR(VLOOKUP(A238,Opening!$A:$D,4,0),0)</f>
        <v/>
      </c>
    </row>
    <row r="239">
      <c r="A239">
        <f>IF(Transactions!D239="","",UPPER(TRIM(Transactions!D239)))</f>
        <v/>
      </c>
      <c r="B239">
        <f>IF(Transactions!C239="","",UPPER(TRIM(Transactions!C239)))</f>
        <v/>
      </c>
      <c r="C239">
        <f>IF(Transactions!B239="",0,YEAR(Transactions!B239)*100+MONTH(Transactions!B239))</f>
        <v/>
      </c>
      <c r="D239">
        <f>IF(Transactions!A239="",1,IF(COUNTIF(Transactions!$A$1:A238,Transactions!A239)&gt;0,1,0))</f>
        <v/>
      </c>
      <c r="E239">
        <f>IF(D239=1,0,IF(B239="RETURN",IF(COUNTIFS($A$1:A238,A239,$B$1:B238,"SALE",$E$1:E238,1)&gt;0,1,0),1))</f>
        <v/>
      </c>
      <c r="F239">
        <f>IF(E239=1,IF(B239="RECEIPT",Transactions!E239,IF(AND(B239="RETURN",LOWER(TRIM(Transactions!H239))="resellable"),Transactions!E239,0)),0)</f>
        <v/>
      </c>
      <c r="G239">
        <f>IF(F239&gt;0,IF(B239="RECEIPT",Transactions!F239,IF(_xlfn.MAXIFS($H$2:H239,$A$2:A239,A239)&gt;0,INDEX(Transactions!$F:$F,_xlfn.MAXIFS($H$2:H239,$A$2:A239,A239)),W239)),0)</f>
        <v/>
      </c>
      <c r="H239">
        <f>IF(AND(E239=1,B239="RECEIPT"),ROW(),0)</f>
        <v/>
      </c>
      <c r="I239">
        <f>IF(E239=1,IF(OR(B239="SALE",B239="WRITEOFF"),Transactions!E239,0),0)</f>
        <v/>
      </c>
      <c r="J239">
        <f>SUMIFS($F$1:F238,$A$1:A238,A239)</f>
        <v/>
      </c>
      <c r="K239">
        <f>SUMIFS($I$1:I238,$A$1:A238,A239)</f>
        <v/>
      </c>
      <c r="L239">
        <f>IFERROR(VLOOKUP(A239,Opening!$A:$C,3,0),0)</f>
        <v/>
      </c>
      <c r="M239">
        <f>IF(I239=0,0,MAX(0,MIN(INDEX(Month!H$2:H$13,MATCH($A239,Month!$A$2:$A$13,0))-K239,I239)))</f>
        <v/>
      </c>
      <c r="N239">
        <f>IF(I239=0,0,MAX(0,MIN(INDEX(Month!I$2:I$13,MATCH($A239,Month!$A$2:$A$13,0))-K239,I239)))</f>
        <v/>
      </c>
      <c r="O239">
        <f>IF(I239=0,0,MAX(0,MIN(INDEX(Month!J$2:J$13,MATCH($A239,Month!$A$2:$A$13,0))-K239,I239)))</f>
        <v/>
      </c>
      <c r="P239">
        <f>IF(I239=0,0,(MIN(MAX(K239,0),L239)*W239+SUMPRODUCT((Calc!$A$2:$A$1001=A239)*Calc!$G$2:$G$1001*(((K239-(L239+Calc!$J$2:$J$1001))&gt;0)*((K239-(L239+Calc!$J$2:$J$1001))&lt;Calc!$F$2:$F$1001)*(K239-(L239+Calc!$J$2:$J$1001))+((K239-(L239+Calc!$J$2:$J$1001))&gt;=Calc!$F$2:$F$1001)*Calc!$F$2:$F$1001))))</f>
        <v/>
      </c>
      <c r="Q239">
        <f>IF(I239=0,0,(MIN(MAX((K239+M239),0),L239)*W239+SUMPRODUCT((Calc!$A$2:$A$1001=A239)*Calc!$G$2:$G$1001*((((K239+M239)-(L239+Calc!$J$2:$J$1001))&gt;0)*(((K239+M239)-(L239+Calc!$J$2:$J$1001))&lt;Calc!$F$2:$F$1001)*((K239+M239)-(L239+Calc!$J$2:$J$1001))+(((K239+M239)-(L239+Calc!$J$2:$J$1001))&gt;=Calc!$F$2:$F$1001)*Calc!$F$2:$F$1001))))</f>
        <v/>
      </c>
      <c r="R239">
        <f>IF(I239=0,0,(MIN(MAX((K239+N239),0),L239)*W239+SUMPRODUCT((Calc!$A$2:$A$1001=A239)*Calc!$G$2:$G$1001*((((K239+N239)-(L239+Calc!$J$2:$J$1001))&gt;0)*(((K239+N239)-(L239+Calc!$J$2:$J$1001))&lt;Calc!$F$2:$F$1001)*((K239+N239)-(L239+Calc!$J$2:$J$1001))+(((K239+N239)-(L239+Calc!$J$2:$J$1001))&gt;=Calc!$F$2:$F$1001)*Calc!$F$2:$F$1001))))</f>
        <v/>
      </c>
      <c r="S239">
        <f>IF(I239=0,0,(MIN(MAX((K239+O239),0),L239)*W239+SUMPRODUCT((Calc!$A$2:$A$1001=A239)*Calc!$G$2:$G$1001*((((K239+O239)-(L239+Calc!$J$2:$J$1001))&gt;0)*(((K239+O239)-(L239+Calc!$J$2:$J$1001))&lt;Calc!$F$2:$F$1001)*((K239+O239)-(L239+Calc!$J$2:$J$1001))+(((K239+O239)-(L239+Calc!$J$2:$J$1001))&gt;=Calc!$F$2:$F$1001)*Calc!$F$2:$F$1001))))</f>
        <v/>
      </c>
      <c r="T239">
        <f>IF(AND(E239=1,B239="RETURN"),Transactions!E239*Transactions!G239,0)</f>
        <v/>
      </c>
      <c r="U239">
        <f>IF(AND(E239=1,B239="EXPENSE"),Transactions!J239,0)</f>
        <v/>
      </c>
      <c r="V239">
        <f>IF(AND(Transactions!A239&lt;&gt;"",E239=0),ROW(),"")</f>
        <v/>
      </c>
      <c r="W239">
        <f>IFERROR(VLOOKUP(A239,Opening!$A:$D,4,0),0)</f>
        <v/>
      </c>
    </row>
    <row r="240">
      <c r="A240">
        <f>IF(Transactions!D240="","",UPPER(TRIM(Transactions!D240)))</f>
        <v/>
      </c>
      <c r="B240">
        <f>IF(Transactions!C240="","",UPPER(TRIM(Transactions!C240)))</f>
        <v/>
      </c>
      <c r="C240">
        <f>IF(Transactions!B240="",0,YEAR(Transactions!B240)*100+MONTH(Transactions!B240))</f>
        <v/>
      </c>
      <c r="D240">
        <f>IF(Transactions!A240="",1,IF(COUNTIF(Transactions!$A$1:A239,Transactions!A240)&gt;0,1,0))</f>
        <v/>
      </c>
      <c r="E240">
        <f>IF(D240=1,0,IF(B240="RETURN",IF(COUNTIFS($A$1:A239,A240,$B$1:B239,"SALE",$E$1:E239,1)&gt;0,1,0),1))</f>
        <v/>
      </c>
      <c r="F240">
        <f>IF(E240=1,IF(B240="RECEIPT",Transactions!E240,IF(AND(B240="RETURN",LOWER(TRIM(Transactions!H240))="resellable"),Transactions!E240,0)),0)</f>
        <v/>
      </c>
      <c r="G240">
        <f>IF(F240&gt;0,IF(B240="RECEIPT",Transactions!F240,IF(_xlfn.MAXIFS($H$2:H240,$A$2:A240,A240)&gt;0,INDEX(Transactions!$F:$F,_xlfn.MAXIFS($H$2:H240,$A$2:A240,A240)),W240)),0)</f>
        <v/>
      </c>
      <c r="H240">
        <f>IF(AND(E240=1,B240="RECEIPT"),ROW(),0)</f>
        <v/>
      </c>
      <c r="I240">
        <f>IF(E240=1,IF(OR(B240="SALE",B240="WRITEOFF"),Transactions!E240,0),0)</f>
        <v/>
      </c>
      <c r="J240">
        <f>SUMIFS($F$1:F239,$A$1:A239,A240)</f>
        <v/>
      </c>
      <c r="K240">
        <f>SUMIFS($I$1:I239,$A$1:A239,A240)</f>
        <v/>
      </c>
      <c r="L240">
        <f>IFERROR(VLOOKUP(A240,Opening!$A:$C,3,0),0)</f>
        <v/>
      </c>
      <c r="M240">
        <f>IF(I240=0,0,MAX(0,MIN(INDEX(Month!H$2:H$13,MATCH($A240,Month!$A$2:$A$13,0))-K240,I240)))</f>
        <v/>
      </c>
      <c r="N240">
        <f>IF(I240=0,0,MAX(0,MIN(INDEX(Month!I$2:I$13,MATCH($A240,Month!$A$2:$A$13,0))-K240,I240)))</f>
        <v/>
      </c>
      <c r="O240">
        <f>IF(I240=0,0,MAX(0,MIN(INDEX(Month!J$2:J$13,MATCH($A240,Month!$A$2:$A$13,0))-K240,I240)))</f>
        <v/>
      </c>
      <c r="P240">
        <f>IF(I240=0,0,(MIN(MAX(K240,0),L240)*W240+SUMPRODUCT((Calc!$A$2:$A$1001=A240)*Calc!$G$2:$G$1001*(((K240-(L240+Calc!$J$2:$J$1001))&gt;0)*((K240-(L240+Calc!$J$2:$J$1001))&lt;Calc!$F$2:$F$1001)*(K240-(L240+Calc!$J$2:$J$1001))+((K240-(L240+Calc!$J$2:$J$1001))&gt;=Calc!$F$2:$F$1001)*Calc!$F$2:$F$1001))))</f>
        <v/>
      </c>
      <c r="Q240">
        <f>IF(I240=0,0,(MIN(MAX((K240+M240),0),L240)*W240+SUMPRODUCT((Calc!$A$2:$A$1001=A240)*Calc!$G$2:$G$1001*((((K240+M240)-(L240+Calc!$J$2:$J$1001))&gt;0)*(((K240+M240)-(L240+Calc!$J$2:$J$1001))&lt;Calc!$F$2:$F$1001)*((K240+M240)-(L240+Calc!$J$2:$J$1001))+(((K240+M240)-(L240+Calc!$J$2:$J$1001))&gt;=Calc!$F$2:$F$1001)*Calc!$F$2:$F$1001))))</f>
        <v/>
      </c>
      <c r="R240">
        <f>IF(I240=0,0,(MIN(MAX((K240+N240),0),L240)*W240+SUMPRODUCT((Calc!$A$2:$A$1001=A240)*Calc!$G$2:$G$1001*((((K240+N240)-(L240+Calc!$J$2:$J$1001))&gt;0)*(((K240+N240)-(L240+Calc!$J$2:$J$1001))&lt;Calc!$F$2:$F$1001)*((K240+N240)-(L240+Calc!$J$2:$J$1001))+(((K240+N240)-(L240+Calc!$J$2:$J$1001))&gt;=Calc!$F$2:$F$1001)*Calc!$F$2:$F$1001))))</f>
        <v/>
      </c>
      <c r="S240">
        <f>IF(I240=0,0,(MIN(MAX((K240+O240),0),L240)*W240+SUMPRODUCT((Calc!$A$2:$A$1001=A240)*Calc!$G$2:$G$1001*((((K240+O240)-(L240+Calc!$J$2:$J$1001))&gt;0)*(((K240+O240)-(L240+Calc!$J$2:$J$1001))&lt;Calc!$F$2:$F$1001)*((K240+O240)-(L240+Calc!$J$2:$J$1001))+(((K240+O240)-(L240+Calc!$J$2:$J$1001))&gt;=Calc!$F$2:$F$1001)*Calc!$F$2:$F$1001))))</f>
        <v/>
      </c>
      <c r="T240">
        <f>IF(AND(E240=1,B240="RETURN"),Transactions!E240*Transactions!G240,0)</f>
        <v/>
      </c>
      <c r="U240">
        <f>IF(AND(E240=1,B240="EXPENSE"),Transactions!J240,0)</f>
        <v/>
      </c>
      <c r="V240">
        <f>IF(AND(Transactions!A240&lt;&gt;"",E240=0),ROW(),"")</f>
        <v/>
      </c>
      <c r="W240">
        <f>IFERROR(VLOOKUP(A240,Opening!$A:$D,4,0),0)</f>
        <v/>
      </c>
    </row>
    <row r="241">
      <c r="A241">
        <f>IF(Transactions!D241="","",UPPER(TRIM(Transactions!D241)))</f>
        <v/>
      </c>
      <c r="B241">
        <f>IF(Transactions!C241="","",UPPER(TRIM(Transactions!C241)))</f>
        <v/>
      </c>
      <c r="C241">
        <f>IF(Transactions!B241="",0,YEAR(Transactions!B241)*100+MONTH(Transactions!B241))</f>
        <v/>
      </c>
      <c r="D241">
        <f>IF(Transactions!A241="",1,IF(COUNTIF(Transactions!$A$1:A240,Transactions!A241)&gt;0,1,0))</f>
        <v/>
      </c>
      <c r="E241">
        <f>IF(D241=1,0,IF(B241="RETURN",IF(COUNTIFS($A$1:A240,A241,$B$1:B240,"SALE",$E$1:E240,1)&gt;0,1,0),1))</f>
        <v/>
      </c>
      <c r="F241">
        <f>IF(E241=1,IF(B241="RECEIPT",Transactions!E241,IF(AND(B241="RETURN",LOWER(TRIM(Transactions!H241))="resellable"),Transactions!E241,0)),0)</f>
        <v/>
      </c>
      <c r="G241">
        <f>IF(F241&gt;0,IF(B241="RECEIPT",Transactions!F241,IF(_xlfn.MAXIFS($H$2:H241,$A$2:A241,A241)&gt;0,INDEX(Transactions!$F:$F,_xlfn.MAXIFS($H$2:H241,$A$2:A241,A241)),W241)),0)</f>
        <v/>
      </c>
      <c r="H241">
        <f>IF(AND(E241=1,B241="RECEIPT"),ROW(),0)</f>
        <v/>
      </c>
      <c r="I241">
        <f>IF(E241=1,IF(OR(B241="SALE",B241="WRITEOFF"),Transactions!E241,0),0)</f>
        <v/>
      </c>
      <c r="J241">
        <f>SUMIFS($F$1:F240,$A$1:A240,A241)</f>
        <v/>
      </c>
      <c r="K241">
        <f>SUMIFS($I$1:I240,$A$1:A240,A241)</f>
        <v/>
      </c>
      <c r="L241">
        <f>IFERROR(VLOOKUP(A241,Opening!$A:$C,3,0),0)</f>
        <v/>
      </c>
      <c r="M241">
        <f>IF(I241=0,0,MAX(0,MIN(INDEX(Month!H$2:H$13,MATCH($A241,Month!$A$2:$A$13,0))-K241,I241)))</f>
        <v/>
      </c>
      <c r="N241">
        <f>IF(I241=0,0,MAX(0,MIN(INDEX(Month!I$2:I$13,MATCH($A241,Month!$A$2:$A$13,0))-K241,I241)))</f>
        <v/>
      </c>
      <c r="O241">
        <f>IF(I241=0,0,MAX(0,MIN(INDEX(Month!J$2:J$13,MATCH($A241,Month!$A$2:$A$13,0))-K241,I241)))</f>
        <v/>
      </c>
      <c r="P241">
        <f>IF(I241=0,0,(MIN(MAX(K241,0),L241)*W241+SUMPRODUCT((Calc!$A$2:$A$1001=A241)*Calc!$G$2:$G$1001*(((K241-(L241+Calc!$J$2:$J$1001))&gt;0)*((K241-(L241+Calc!$J$2:$J$1001))&lt;Calc!$F$2:$F$1001)*(K241-(L241+Calc!$J$2:$J$1001))+((K241-(L241+Calc!$J$2:$J$1001))&gt;=Calc!$F$2:$F$1001)*Calc!$F$2:$F$1001))))</f>
        <v/>
      </c>
      <c r="Q241">
        <f>IF(I241=0,0,(MIN(MAX((K241+M241),0),L241)*W241+SUMPRODUCT((Calc!$A$2:$A$1001=A241)*Calc!$G$2:$G$1001*((((K241+M241)-(L241+Calc!$J$2:$J$1001))&gt;0)*(((K241+M241)-(L241+Calc!$J$2:$J$1001))&lt;Calc!$F$2:$F$1001)*((K241+M241)-(L241+Calc!$J$2:$J$1001))+(((K241+M241)-(L241+Calc!$J$2:$J$1001))&gt;=Calc!$F$2:$F$1001)*Calc!$F$2:$F$1001))))</f>
        <v/>
      </c>
      <c r="R241">
        <f>IF(I241=0,0,(MIN(MAX((K241+N241),0),L241)*W241+SUMPRODUCT((Calc!$A$2:$A$1001=A241)*Calc!$G$2:$G$1001*((((K241+N241)-(L241+Calc!$J$2:$J$1001))&gt;0)*(((K241+N241)-(L241+Calc!$J$2:$J$1001))&lt;Calc!$F$2:$F$1001)*((K241+N241)-(L241+Calc!$J$2:$J$1001))+(((K241+N241)-(L241+Calc!$J$2:$J$1001))&gt;=Calc!$F$2:$F$1001)*Calc!$F$2:$F$1001))))</f>
        <v/>
      </c>
      <c r="S241">
        <f>IF(I241=0,0,(MIN(MAX((K241+O241),0),L241)*W241+SUMPRODUCT((Calc!$A$2:$A$1001=A241)*Calc!$G$2:$G$1001*((((K241+O241)-(L241+Calc!$J$2:$J$1001))&gt;0)*(((K241+O241)-(L241+Calc!$J$2:$J$1001))&lt;Calc!$F$2:$F$1001)*((K241+O241)-(L241+Calc!$J$2:$J$1001))+(((K241+O241)-(L241+Calc!$J$2:$J$1001))&gt;=Calc!$F$2:$F$1001)*Calc!$F$2:$F$1001))))</f>
        <v/>
      </c>
      <c r="T241">
        <f>IF(AND(E241=1,B241="RETURN"),Transactions!E241*Transactions!G241,0)</f>
        <v/>
      </c>
      <c r="U241">
        <f>IF(AND(E241=1,B241="EXPENSE"),Transactions!J241,0)</f>
        <v/>
      </c>
      <c r="V241">
        <f>IF(AND(Transactions!A241&lt;&gt;"",E241=0),ROW(),"")</f>
        <v/>
      </c>
      <c r="W241">
        <f>IFERROR(VLOOKUP(A241,Opening!$A:$D,4,0),0)</f>
        <v/>
      </c>
    </row>
    <row r="242">
      <c r="A242">
        <f>IF(Transactions!D242="","",UPPER(TRIM(Transactions!D242)))</f>
        <v/>
      </c>
      <c r="B242">
        <f>IF(Transactions!C242="","",UPPER(TRIM(Transactions!C242)))</f>
        <v/>
      </c>
      <c r="C242">
        <f>IF(Transactions!B242="",0,YEAR(Transactions!B242)*100+MONTH(Transactions!B242))</f>
        <v/>
      </c>
      <c r="D242">
        <f>IF(Transactions!A242="",1,IF(COUNTIF(Transactions!$A$1:A241,Transactions!A242)&gt;0,1,0))</f>
        <v/>
      </c>
      <c r="E242">
        <f>IF(D242=1,0,IF(B242="RETURN",IF(COUNTIFS($A$1:A241,A242,$B$1:B241,"SALE",$E$1:E241,1)&gt;0,1,0),1))</f>
        <v/>
      </c>
      <c r="F242">
        <f>IF(E242=1,IF(B242="RECEIPT",Transactions!E242,IF(AND(B242="RETURN",LOWER(TRIM(Transactions!H242))="resellable"),Transactions!E242,0)),0)</f>
        <v/>
      </c>
      <c r="G242">
        <f>IF(F242&gt;0,IF(B242="RECEIPT",Transactions!F242,IF(_xlfn.MAXIFS($H$2:H242,$A$2:A242,A242)&gt;0,INDEX(Transactions!$F:$F,_xlfn.MAXIFS($H$2:H242,$A$2:A242,A242)),W242)),0)</f>
        <v/>
      </c>
      <c r="H242">
        <f>IF(AND(E242=1,B242="RECEIPT"),ROW(),0)</f>
        <v/>
      </c>
      <c r="I242">
        <f>IF(E242=1,IF(OR(B242="SALE",B242="WRITEOFF"),Transactions!E242,0),0)</f>
        <v/>
      </c>
      <c r="J242">
        <f>SUMIFS($F$1:F241,$A$1:A241,A242)</f>
        <v/>
      </c>
      <c r="K242">
        <f>SUMIFS($I$1:I241,$A$1:A241,A242)</f>
        <v/>
      </c>
      <c r="L242">
        <f>IFERROR(VLOOKUP(A242,Opening!$A:$C,3,0),0)</f>
        <v/>
      </c>
      <c r="M242">
        <f>IF(I242=0,0,MAX(0,MIN(INDEX(Month!H$2:H$13,MATCH($A242,Month!$A$2:$A$13,0))-K242,I242)))</f>
        <v/>
      </c>
      <c r="N242">
        <f>IF(I242=0,0,MAX(0,MIN(INDEX(Month!I$2:I$13,MATCH($A242,Month!$A$2:$A$13,0))-K242,I242)))</f>
        <v/>
      </c>
      <c r="O242">
        <f>IF(I242=0,0,MAX(0,MIN(INDEX(Month!J$2:J$13,MATCH($A242,Month!$A$2:$A$13,0))-K242,I242)))</f>
        <v/>
      </c>
      <c r="P242">
        <f>IF(I242=0,0,(MIN(MAX(K242,0),L242)*W242+SUMPRODUCT((Calc!$A$2:$A$1001=A242)*Calc!$G$2:$G$1001*(((K242-(L242+Calc!$J$2:$J$1001))&gt;0)*((K242-(L242+Calc!$J$2:$J$1001))&lt;Calc!$F$2:$F$1001)*(K242-(L242+Calc!$J$2:$J$1001))+((K242-(L242+Calc!$J$2:$J$1001))&gt;=Calc!$F$2:$F$1001)*Calc!$F$2:$F$1001))))</f>
        <v/>
      </c>
      <c r="Q242">
        <f>IF(I242=0,0,(MIN(MAX((K242+M242),0),L242)*W242+SUMPRODUCT((Calc!$A$2:$A$1001=A242)*Calc!$G$2:$G$1001*((((K242+M242)-(L242+Calc!$J$2:$J$1001))&gt;0)*(((K242+M242)-(L242+Calc!$J$2:$J$1001))&lt;Calc!$F$2:$F$1001)*((K242+M242)-(L242+Calc!$J$2:$J$1001))+(((K242+M242)-(L242+Calc!$J$2:$J$1001))&gt;=Calc!$F$2:$F$1001)*Calc!$F$2:$F$1001))))</f>
        <v/>
      </c>
      <c r="R242">
        <f>IF(I242=0,0,(MIN(MAX((K242+N242),0),L242)*W242+SUMPRODUCT((Calc!$A$2:$A$1001=A242)*Calc!$G$2:$G$1001*((((K242+N242)-(L242+Calc!$J$2:$J$1001))&gt;0)*(((K242+N242)-(L242+Calc!$J$2:$J$1001))&lt;Calc!$F$2:$F$1001)*((K242+N242)-(L242+Calc!$J$2:$J$1001))+(((K242+N242)-(L242+Calc!$J$2:$J$1001))&gt;=Calc!$F$2:$F$1001)*Calc!$F$2:$F$1001))))</f>
        <v/>
      </c>
      <c r="S242">
        <f>IF(I242=0,0,(MIN(MAX((K242+O242),0),L242)*W242+SUMPRODUCT((Calc!$A$2:$A$1001=A242)*Calc!$G$2:$G$1001*((((K242+O242)-(L242+Calc!$J$2:$J$1001))&gt;0)*(((K242+O242)-(L242+Calc!$J$2:$J$1001))&lt;Calc!$F$2:$F$1001)*((K242+O242)-(L242+Calc!$J$2:$J$1001))+(((K242+O242)-(L242+Calc!$J$2:$J$1001))&gt;=Calc!$F$2:$F$1001)*Calc!$F$2:$F$1001))))</f>
        <v/>
      </c>
      <c r="T242">
        <f>IF(AND(E242=1,B242="RETURN"),Transactions!E242*Transactions!G242,0)</f>
        <v/>
      </c>
      <c r="U242">
        <f>IF(AND(E242=1,B242="EXPENSE"),Transactions!J242,0)</f>
        <v/>
      </c>
      <c r="V242">
        <f>IF(AND(Transactions!A242&lt;&gt;"",E242=0),ROW(),"")</f>
        <v/>
      </c>
      <c r="W242">
        <f>IFERROR(VLOOKUP(A242,Opening!$A:$D,4,0),0)</f>
        <v/>
      </c>
    </row>
    <row r="243">
      <c r="A243">
        <f>IF(Transactions!D243="","",UPPER(TRIM(Transactions!D243)))</f>
        <v/>
      </c>
      <c r="B243">
        <f>IF(Transactions!C243="","",UPPER(TRIM(Transactions!C243)))</f>
        <v/>
      </c>
      <c r="C243">
        <f>IF(Transactions!B243="",0,YEAR(Transactions!B243)*100+MONTH(Transactions!B243))</f>
        <v/>
      </c>
      <c r="D243">
        <f>IF(Transactions!A243="",1,IF(COUNTIF(Transactions!$A$1:A242,Transactions!A243)&gt;0,1,0))</f>
        <v/>
      </c>
      <c r="E243">
        <f>IF(D243=1,0,IF(B243="RETURN",IF(COUNTIFS($A$1:A242,A243,$B$1:B242,"SALE",$E$1:E242,1)&gt;0,1,0),1))</f>
        <v/>
      </c>
      <c r="F243">
        <f>IF(E243=1,IF(B243="RECEIPT",Transactions!E243,IF(AND(B243="RETURN",LOWER(TRIM(Transactions!H243))="resellable"),Transactions!E243,0)),0)</f>
        <v/>
      </c>
      <c r="G243">
        <f>IF(F243&gt;0,IF(B243="RECEIPT",Transactions!F243,IF(_xlfn.MAXIFS($H$2:H243,$A$2:A243,A243)&gt;0,INDEX(Transactions!$F:$F,_xlfn.MAXIFS($H$2:H243,$A$2:A243,A243)),W243)),0)</f>
        <v/>
      </c>
      <c r="H243">
        <f>IF(AND(E243=1,B243="RECEIPT"),ROW(),0)</f>
        <v/>
      </c>
      <c r="I243">
        <f>IF(E243=1,IF(OR(B243="SALE",B243="WRITEOFF"),Transactions!E243,0),0)</f>
        <v/>
      </c>
      <c r="J243">
        <f>SUMIFS($F$1:F242,$A$1:A242,A243)</f>
        <v/>
      </c>
      <c r="K243">
        <f>SUMIFS($I$1:I242,$A$1:A242,A243)</f>
        <v/>
      </c>
      <c r="L243">
        <f>IFERROR(VLOOKUP(A243,Opening!$A:$C,3,0),0)</f>
        <v/>
      </c>
      <c r="M243">
        <f>IF(I243=0,0,MAX(0,MIN(INDEX(Month!H$2:H$13,MATCH($A243,Month!$A$2:$A$13,0))-K243,I243)))</f>
        <v/>
      </c>
      <c r="N243">
        <f>IF(I243=0,0,MAX(0,MIN(INDEX(Month!I$2:I$13,MATCH($A243,Month!$A$2:$A$13,0))-K243,I243)))</f>
        <v/>
      </c>
      <c r="O243">
        <f>IF(I243=0,0,MAX(0,MIN(INDEX(Month!J$2:J$13,MATCH($A243,Month!$A$2:$A$13,0))-K243,I243)))</f>
        <v/>
      </c>
      <c r="P243">
        <f>IF(I243=0,0,(MIN(MAX(K243,0),L243)*W243+SUMPRODUCT((Calc!$A$2:$A$1001=A243)*Calc!$G$2:$G$1001*(((K243-(L243+Calc!$J$2:$J$1001))&gt;0)*((K243-(L243+Calc!$J$2:$J$1001))&lt;Calc!$F$2:$F$1001)*(K243-(L243+Calc!$J$2:$J$1001))+((K243-(L243+Calc!$J$2:$J$1001))&gt;=Calc!$F$2:$F$1001)*Calc!$F$2:$F$1001))))</f>
        <v/>
      </c>
      <c r="Q243">
        <f>IF(I243=0,0,(MIN(MAX((K243+M243),0),L243)*W243+SUMPRODUCT((Calc!$A$2:$A$1001=A243)*Calc!$G$2:$G$1001*((((K243+M243)-(L243+Calc!$J$2:$J$1001))&gt;0)*(((K243+M243)-(L243+Calc!$J$2:$J$1001))&lt;Calc!$F$2:$F$1001)*((K243+M243)-(L243+Calc!$J$2:$J$1001))+(((K243+M243)-(L243+Calc!$J$2:$J$1001))&gt;=Calc!$F$2:$F$1001)*Calc!$F$2:$F$1001))))</f>
        <v/>
      </c>
      <c r="R243">
        <f>IF(I243=0,0,(MIN(MAX((K243+N243),0),L243)*W243+SUMPRODUCT((Calc!$A$2:$A$1001=A243)*Calc!$G$2:$G$1001*((((K243+N243)-(L243+Calc!$J$2:$J$1001))&gt;0)*(((K243+N243)-(L243+Calc!$J$2:$J$1001))&lt;Calc!$F$2:$F$1001)*((K243+N243)-(L243+Calc!$J$2:$J$1001))+(((K243+N243)-(L243+Calc!$J$2:$J$1001))&gt;=Calc!$F$2:$F$1001)*Calc!$F$2:$F$1001))))</f>
        <v/>
      </c>
      <c r="S243">
        <f>IF(I243=0,0,(MIN(MAX((K243+O243),0),L243)*W243+SUMPRODUCT((Calc!$A$2:$A$1001=A243)*Calc!$G$2:$G$1001*((((K243+O243)-(L243+Calc!$J$2:$J$1001))&gt;0)*(((K243+O243)-(L243+Calc!$J$2:$J$1001))&lt;Calc!$F$2:$F$1001)*((K243+O243)-(L243+Calc!$J$2:$J$1001))+(((K243+O243)-(L243+Calc!$J$2:$J$1001))&gt;=Calc!$F$2:$F$1001)*Calc!$F$2:$F$1001))))</f>
        <v/>
      </c>
      <c r="T243">
        <f>IF(AND(E243=1,B243="RETURN"),Transactions!E243*Transactions!G243,0)</f>
        <v/>
      </c>
      <c r="U243">
        <f>IF(AND(E243=1,B243="EXPENSE"),Transactions!J243,0)</f>
        <v/>
      </c>
      <c r="V243">
        <f>IF(AND(Transactions!A243&lt;&gt;"",E243=0),ROW(),"")</f>
        <v/>
      </c>
      <c r="W243">
        <f>IFERROR(VLOOKUP(A243,Opening!$A:$D,4,0),0)</f>
        <v/>
      </c>
    </row>
    <row r="244">
      <c r="A244">
        <f>IF(Transactions!D244="","",UPPER(TRIM(Transactions!D244)))</f>
        <v/>
      </c>
      <c r="B244">
        <f>IF(Transactions!C244="","",UPPER(TRIM(Transactions!C244)))</f>
        <v/>
      </c>
      <c r="C244">
        <f>IF(Transactions!B244="",0,YEAR(Transactions!B244)*100+MONTH(Transactions!B244))</f>
        <v/>
      </c>
      <c r="D244">
        <f>IF(Transactions!A244="",1,IF(COUNTIF(Transactions!$A$1:A243,Transactions!A244)&gt;0,1,0))</f>
        <v/>
      </c>
      <c r="E244">
        <f>IF(D244=1,0,IF(B244="RETURN",IF(COUNTIFS($A$1:A243,A244,$B$1:B243,"SALE",$E$1:E243,1)&gt;0,1,0),1))</f>
        <v/>
      </c>
      <c r="F244">
        <f>IF(E244=1,IF(B244="RECEIPT",Transactions!E244,IF(AND(B244="RETURN",LOWER(TRIM(Transactions!H244))="resellable"),Transactions!E244,0)),0)</f>
        <v/>
      </c>
      <c r="G244">
        <f>IF(F244&gt;0,IF(B244="RECEIPT",Transactions!F244,IF(_xlfn.MAXIFS($H$2:H244,$A$2:A244,A244)&gt;0,INDEX(Transactions!$F:$F,_xlfn.MAXIFS($H$2:H244,$A$2:A244,A244)),W244)),0)</f>
        <v/>
      </c>
      <c r="H244">
        <f>IF(AND(E244=1,B244="RECEIPT"),ROW(),0)</f>
        <v/>
      </c>
      <c r="I244">
        <f>IF(E244=1,IF(OR(B244="SALE",B244="WRITEOFF"),Transactions!E244,0),0)</f>
        <v/>
      </c>
      <c r="J244">
        <f>SUMIFS($F$1:F243,$A$1:A243,A244)</f>
        <v/>
      </c>
      <c r="K244">
        <f>SUMIFS($I$1:I243,$A$1:A243,A244)</f>
        <v/>
      </c>
      <c r="L244">
        <f>IFERROR(VLOOKUP(A244,Opening!$A:$C,3,0),0)</f>
        <v/>
      </c>
      <c r="M244">
        <f>IF(I244=0,0,MAX(0,MIN(INDEX(Month!H$2:H$13,MATCH($A244,Month!$A$2:$A$13,0))-K244,I244)))</f>
        <v/>
      </c>
      <c r="N244">
        <f>IF(I244=0,0,MAX(0,MIN(INDEX(Month!I$2:I$13,MATCH($A244,Month!$A$2:$A$13,0))-K244,I244)))</f>
        <v/>
      </c>
      <c r="O244">
        <f>IF(I244=0,0,MAX(0,MIN(INDEX(Month!J$2:J$13,MATCH($A244,Month!$A$2:$A$13,0))-K244,I244)))</f>
        <v/>
      </c>
      <c r="P244">
        <f>IF(I244=0,0,(MIN(MAX(K244,0),L244)*W244+SUMPRODUCT((Calc!$A$2:$A$1001=A244)*Calc!$G$2:$G$1001*(((K244-(L244+Calc!$J$2:$J$1001))&gt;0)*((K244-(L244+Calc!$J$2:$J$1001))&lt;Calc!$F$2:$F$1001)*(K244-(L244+Calc!$J$2:$J$1001))+((K244-(L244+Calc!$J$2:$J$1001))&gt;=Calc!$F$2:$F$1001)*Calc!$F$2:$F$1001))))</f>
        <v/>
      </c>
      <c r="Q244">
        <f>IF(I244=0,0,(MIN(MAX((K244+M244),0),L244)*W244+SUMPRODUCT((Calc!$A$2:$A$1001=A244)*Calc!$G$2:$G$1001*((((K244+M244)-(L244+Calc!$J$2:$J$1001))&gt;0)*(((K244+M244)-(L244+Calc!$J$2:$J$1001))&lt;Calc!$F$2:$F$1001)*((K244+M244)-(L244+Calc!$J$2:$J$1001))+(((K244+M244)-(L244+Calc!$J$2:$J$1001))&gt;=Calc!$F$2:$F$1001)*Calc!$F$2:$F$1001))))</f>
        <v/>
      </c>
      <c r="R244">
        <f>IF(I244=0,0,(MIN(MAX((K244+N244),0),L244)*W244+SUMPRODUCT((Calc!$A$2:$A$1001=A244)*Calc!$G$2:$G$1001*((((K244+N244)-(L244+Calc!$J$2:$J$1001))&gt;0)*(((K244+N244)-(L244+Calc!$J$2:$J$1001))&lt;Calc!$F$2:$F$1001)*((K244+N244)-(L244+Calc!$J$2:$J$1001))+(((K244+N244)-(L244+Calc!$J$2:$J$1001))&gt;=Calc!$F$2:$F$1001)*Calc!$F$2:$F$1001))))</f>
        <v/>
      </c>
      <c r="S244">
        <f>IF(I244=0,0,(MIN(MAX((K244+O244),0),L244)*W244+SUMPRODUCT((Calc!$A$2:$A$1001=A244)*Calc!$G$2:$G$1001*((((K244+O244)-(L244+Calc!$J$2:$J$1001))&gt;0)*(((K244+O244)-(L244+Calc!$J$2:$J$1001))&lt;Calc!$F$2:$F$1001)*((K244+O244)-(L244+Calc!$J$2:$J$1001))+(((K244+O244)-(L244+Calc!$J$2:$J$1001))&gt;=Calc!$F$2:$F$1001)*Calc!$F$2:$F$1001))))</f>
        <v/>
      </c>
      <c r="T244">
        <f>IF(AND(E244=1,B244="RETURN"),Transactions!E244*Transactions!G244,0)</f>
        <v/>
      </c>
      <c r="U244">
        <f>IF(AND(E244=1,B244="EXPENSE"),Transactions!J244,0)</f>
        <v/>
      </c>
      <c r="V244">
        <f>IF(AND(Transactions!A244&lt;&gt;"",E244=0),ROW(),"")</f>
        <v/>
      </c>
      <c r="W244">
        <f>IFERROR(VLOOKUP(A244,Opening!$A:$D,4,0),0)</f>
        <v/>
      </c>
    </row>
    <row r="245">
      <c r="A245">
        <f>IF(Transactions!D245="","",UPPER(TRIM(Transactions!D245)))</f>
        <v/>
      </c>
      <c r="B245">
        <f>IF(Transactions!C245="","",UPPER(TRIM(Transactions!C245)))</f>
        <v/>
      </c>
      <c r="C245">
        <f>IF(Transactions!B245="",0,YEAR(Transactions!B245)*100+MONTH(Transactions!B245))</f>
        <v/>
      </c>
      <c r="D245">
        <f>IF(Transactions!A245="",1,IF(COUNTIF(Transactions!$A$1:A244,Transactions!A245)&gt;0,1,0))</f>
        <v/>
      </c>
      <c r="E245">
        <f>IF(D245=1,0,IF(B245="RETURN",IF(COUNTIFS($A$1:A244,A245,$B$1:B244,"SALE",$E$1:E244,1)&gt;0,1,0),1))</f>
        <v/>
      </c>
      <c r="F245">
        <f>IF(E245=1,IF(B245="RECEIPT",Transactions!E245,IF(AND(B245="RETURN",LOWER(TRIM(Transactions!H245))="resellable"),Transactions!E245,0)),0)</f>
        <v/>
      </c>
      <c r="G245">
        <f>IF(F245&gt;0,IF(B245="RECEIPT",Transactions!F245,IF(_xlfn.MAXIFS($H$2:H245,$A$2:A245,A245)&gt;0,INDEX(Transactions!$F:$F,_xlfn.MAXIFS($H$2:H245,$A$2:A245,A245)),W245)),0)</f>
        <v/>
      </c>
      <c r="H245">
        <f>IF(AND(E245=1,B245="RECEIPT"),ROW(),0)</f>
        <v/>
      </c>
      <c r="I245">
        <f>IF(E245=1,IF(OR(B245="SALE",B245="WRITEOFF"),Transactions!E245,0),0)</f>
        <v/>
      </c>
      <c r="J245">
        <f>SUMIFS($F$1:F244,$A$1:A244,A245)</f>
        <v/>
      </c>
      <c r="K245">
        <f>SUMIFS($I$1:I244,$A$1:A244,A245)</f>
        <v/>
      </c>
      <c r="L245">
        <f>IFERROR(VLOOKUP(A245,Opening!$A:$C,3,0),0)</f>
        <v/>
      </c>
      <c r="M245">
        <f>IF(I245=0,0,MAX(0,MIN(INDEX(Month!H$2:H$13,MATCH($A245,Month!$A$2:$A$13,0))-K245,I245)))</f>
        <v/>
      </c>
      <c r="N245">
        <f>IF(I245=0,0,MAX(0,MIN(INDEX(Month!I$2:I$13,MATCH($A245,Month!$A$2:$A$13,0))-K245,I245)))</f>
        <v/>
      </c>
      <c r="O245">
        <f>IF(I245=0,0,MAX(0,MIN(INDEX(Month!J$2:J$13,MATCH($A245,Month!$A$2:$A$13,0))-K245,I245)))</f>
        <v/>
      </c>
      <c r="P245">
        <f>IF(I245=0,0,(MIN(MAX(K245,0),L245)*W245+SUMPRODUCT((Calc!$A$2:$A$1001=A245)*Calc!$G$2:$G$1001*(((K245-(L245+Calc!$J$2:$J$1001))&gt;0)*((K245-(L245+Calc!$J$2:$J$1001))&lt;Calc!$F$2:$F$1001)*(K245-(L245+Calc!$J$2:$J$1001))+((K245-(L245+Calc!$J$2:$J$1001))&gt;=Calc!$F$2:$F$1001)*Calc!$F$2:$F$1001))))</f>
        <v/>
      </c>
      <c r="Q245">
        <f>IF(I245=0,0,(MIN(MAX((K245+M245),0),L245)*W245+SUMPRODUCT((Calc!$A$2:$A$1001=A245)*Calc!$G$2:$G$1001*((((K245+M245)-(L245+Calc!$J$2:$J$1001))&gt;0)*(((K245+M245)-(L245+Calc!$J$2:$J$1001))&lt;Calc!$F$2:$F$1001)*((K245+M245)-(L245+Calc!$J$2:$J$1001))+(((K245+M245)-(L245+Calc!$J$2:$J$1001))&gt;=Calc!$F$2:$F$1001)*Calc!$F$2:$F$1001))))</f>
        <v/>
      </c>
      <c r="R245">
        <f>IF(I245=0,0,(MIN(MAX((K245+N245),0),L245)*W245+SUMPRODUCT((Calc!$A$2:$A$1001=A245)*Calc!$G$2:$G$1001*((((K245+N245)-(L245+Calc!$J$2:$J$1001))&gt;0)*(((K245+N245)-(L245+Calc!$J$2:$J$1001))&lt;Calc!$F$2:$F$1001)*((K245+N245)-(L245+Calc!$J$2:$J$1001))+(((K245+N245)-(L245+Calc!$J$2:$J$1001))&gt;=Calc!$F$2:$F$1001)*Calc!$F$2:$F$1001))))</f>
        <v/>
      </c>
      <c r="S245">
        <f>IF(I245=0,0,(MIN(MAX((K245+O245),0),L245)*W245+SUMPRODUCT((Calc!$A$2:$A$1001=A245)*Calc!$G$2:$G$1001*((((K245+O245)-(L245+Calc!$J$2:$J$1001))&gt;0)*(((K245+O245)-(L245+Calc!$J$2:$J$1001))&lt;Calc!$F$2:$F$1001)*((K245+O245)-(L245+Calc!$J$2:$J$1001))+(((K245+O245)-(L245+Calc!$J$2:$J$1001))&gt;=Calc!$F$2:$F$1001)*Calc!$F$2:$F$1001))))</f>
        <v/>
      </c>
      <c r="T245">
        <f>IF(AND(E245=1,B245="RETURN"),Transactions!E245*Transactions!G245,0)</f>
        <v/>
      </c>
      <c r="U245">
        <f>IF(AND(E245=1,B245="EXPENSE"),Transactions!J245,0)</f>
        <v/>
      </c>
      <c r="V245">
        <f>IF(AND(Transactions!A245&lt;&gt;"",E245=0),ROW(),"")</f>
        <v/>
      </c>
      <c r="W245">
        <f>IFERROR(VLOOKUP(A245,Opening!$A:$D,4,0),0)</f>
        <v/>
      </c>
    </row>
    <row r="246">
      <c r="A246">
        <f>IF(Transactions!D246="","",UPPER(TRIM(Transactions!D246)))</f>
        <v/>
      </c>
      <c r="B246">
        <f>IF(Transactions!C246="","",UPPER(TRIM(Transactions!C246)))</f>
        <v/>
      </c>
      <c r="C246">
        <f>IF(Transactions!B246="",0,YEAR(Transactions!B246)*100+MONTH(Transactions!B246))</f>
        <v/>
      </c>
      <c r="D246">
        <f>IF(Transactions!A246="",1,IF(COUNTIF(Transactions!$A$1:A245,Transactions!A246)&gt;0,1,0))</f>
        <v/>
      </c>
      <c r="E246">
        <f>IF(D246=1,0,IF(B246="RETURN",IF(COUNTIFS($A$1:A245,A246,$B$1:B245,"SALE",$E$1:E245,1)&gt;0,1,0),1))</f>
        <v/>
      </c>
      <c r="F246">
        <f>IF(E246=1,IF(B246="RECEIPT",Transactions!E246,IF(AND(B246="RETURN",LOWER(TRIM(Transactions!H246))="resellable"),Transactions!E246,0)),0)</f>
        <v/>
      </c>
      <c r="G246">
        <f>IF(F246&gt;0,IF(B246="RECEIPT",Transactions!F246,IF(_xlfn.MAXIFS($H$2:H246,$A$2:A246,A246)&gt;0,INDEX(Transactions!$F:$F,_xlfn.MAXIFS($H$2:H246,$A$2:A246,A246)),W246)),0)</f>
        <v/>
      </c>
      <c r="H246">
        <f>IF(AND(E246=1,B246="RECEIPT"),ROW(),0)</f>
        <v/>
      </c>
      <c r="I246">
        <f>IF(E246=1,IF(OR(B246="SALE",B246="WRITEOFF"),Transactions!E246,0),0)</f>
        <v/>
      </c>
      <c r="J246">
        <f>SUMIFS($F$1:F245,$A$1:A245,A246)</f>
        <v/>
      </c>
      <c r="K246">
        <f>SUMIFS($I$1:I245,$A$1:A245,A246)</f>
        <v/>
      </c>
      <c r="L246">
        <f>IFERROR(VLOOKUP(A246,Opening!$A:$C,3,0),0)</f>
        <v/>
      </c>
      <c r="M246">
        <f>IF(I246=0,0,MAX(0,MIN(INDEX(Month!H$2:H$13,MATCH($A246,Month!$A$2:$A$13,0))-K246,I246)))</f>
        <v/>
      </c>
      <c r="N246">
        <f>IF(I246=0,0,MAX(0,MIN(INDEX(Month!I$2:I$13,MATCH($A246,Month!$A$2:$A$13,0))-K246,I246)))</f>
        <v/>
      </c>
      <c r="O246">
        <f>IF(I246=0,0,MAX(0,MIN(INDEX(Month!J$2:J$13,MATCH($A246,Month!$A$2:$A$13,0))-K246,I246)))</f>
        <v/>
      </c>
      <c r="P246">
        <f>IF(I246=0,0,(MIN(MAX(K246,0),L246)*W246+SUMPRODUCT((Calc!$A$2:$A$1001=A246)*Calc!$G$2:$G$1001*(((K246-(L246+Calc!$J$2:$J$1001))&gt;0)*((K246-(L246+Calc!$J$2:$J$1001))&lt;Calc!$F$2:$F$1001)*(K246-(L246+Calc!$J$2:$J$1001))+((K246-(L246+Calc!$J$2:$J$1001))&gt;=Calc!$F$2:$F$1001)*Calc!$F$2:$F$1001))))</f>
        <v/>
      </c>
      <c r="Q246">
        <f>IF(I246=0,0,(MIN(MAX((K246+M246),0),L246)*W246+SUMPRODUCT((Calc!$A$2:$A$1001=A246)*Calc!$G$2:$G$1001*((((K246+M246)-(L246+Calc!$J$2:$J$1001))&gt;0)*(((K246+M246)-(L246+Calc!$J$2:$J$1001))&lt;Calc!$F$2:$F$1001)*((K246+M246)-(L246+Calc!$J$2:$J$1001))+(((K246+M246)-(L246+Calc!$J$2:$J$1001))&gt;=Calc!$F$2:$F$1001)*Calc!$F$2:$F$1001))))</f>
        <v/>
      </c>
      <c r="R246">
        <f>IF(I246=0,0,(MIN(MAX((K246+N246),0),L246)*W246+SUMPRODUCT((Calc!$A$2:$A$1001=A246)*Calc!$G$2:$G$1001*((((K246+N246)-(L246+Calc!$J$2:$J$1001))&gt;0)*(((K246+N246)-(L246+Calc!$J$2:$J$1001))&lt;Calc!$F$2:$F$1001)*((K246+N246)-(L246+Calc!$J$2:$J$1001))+(((K246+N246)-(L246+Calc!$J$2:$J$1001))&gt;=Calc!$F$2:$F$1001)*Calc!$F$2:$F$1001))))</f>
        <v/>
      </c>
      <c r="S246">
        <f>IF(I246=0,0,(MIN(MAX((K246+O246),0),L246)*W246+SUMPRODUCT((Calc!$A$2:$A$1001=A246)*Calc!$G$2:$G$1001*((((K246+O246)-(L246+Calc!$J$2:$J$1001))&gt;0)*(((K246+O246)-(L246+Calc!$J$2:$J$1001))&lt;Calc!$F$2:$F$1001)*((K246+O246)-(L246+Calc!$J$2:$J$1001))+(((K246+O246)-(L246+Calc!$J$2:$J$1001))&gt;=Calc!$F$2:$F$1001)*Calc!$F$2:$F$1001))))</f>
        <v/>
      </c>
      <c r="T246">
        <f>IF(AND(E246=1,B246="RETURN"),Transactions!E246*Transactions!G246,0)</f>
        <v/>
      </c>
      <c r="U246">
        <f>IF(AND(E246=1,B246="EXPENSE"),Transactions!J246,0)</f>
        <v/>
      </c>
      <c r="V246">
        <f>IF(AND(Transactions!A246&lt;&gt;"",E246=0),ROW(),"")</f>
        <v/>
      </c>
      <c r="W246">
        <f>IFERROR(VLOOKUP(A246,Opening!$A:$D,4,0),0)</f>
        <v/>
      </c>
    </row>
    <row r="247">
      <c r="A247">
        <f>IF(Transactions!D247="","",UPPER(TRIM(Transactions!D247)))</f>
        <v/>
      </c>
      <c r="B247">
        <f>IF(Transactions!C247="","",UPPER(TRIM(Transactions!C247)))</f>
        <v/>
      </c>
      <c r="C247">
        <f>IF(Transactions!B247="",0,YEAR(Transactions!B247)*100+MONTH(Transactions!B247))</f>
        <v/>
      </c>
      <c r="D247">
        <f>IF(Transactions!A247="",1,IF(COUNTIF(Transactions!$A$1:A246,Transactions!A247)&gt;0,1,0))</f>
        <v/>
      </c>
      <c r="E247">
        <f>IF(D247=1,0,IF(B247="RETURN",IF(COUNTIFS($A$1:A246,A247,$B$1:B246,"SALE",$E$1:E246,1)&gt;0,1,0),1))</f>
        <v/>
      </c>
      <c r="F247">
        <f>IF(E247=1,IF(B247="RECEIPT",Transactions!E247,IF(AND(B247="RETURN",LOWER(TRIM(Transactions!H247))="resellable"),Transactions!E247,0)),0)</f>
        <v/>
      </c>
      <c r="G247">
        <f>IF(F247&gt;0,IF(B247="RECEIPT",Transactions!F247,IF(_xlfn.MAXIFS($H$2:H247,$A$2:A247,A247)&gt;0,INDEX(Transactions!$F:$F,_xlfn.MAXIFS($H$2:H247,$A$2:A247,A247)),W247)),0)</f>
        <v/>
      </c>
      <c r="H247">
        <f>IF(AND(E247=1,B247="RECEIPT"),ROW(),0)</f>
        <v/>
      </c>
      <c r="I247">
        <f>IF(E247=1,IF(OR(B247="SALE",B247="WRITEOFF"),Transactions!E247,0),0)</f>
        <v/>
      </c>
      <c r="J247">
        <f>SUMIFS($F$1:F246,$A$1:A246,A247)</f>
        <v/>
      </c>
      <c r="K247">
        <f>SUMIFS($I$1:I246,$A$1:A246,A247)</f>
        <v/>
      </c>
      <c r="L247">
        <f>IFERROR(VLOOKUP(A247,Opening!$A:$C,3,0),0)</f>
        <v/>
      </c>
      <c r="M247">
        <f>IF(I247=0,0,MAX(0,MIN(INDEX(Month!H$2:H$13,MATCH($A247,Month!$A$2:$A$13,0))-K247,I247)))</f>
        <v/>
      </c>
      <c r="N247">
        <f>IF(I247=0,0,MAX(0,MIN(INDEX(Month!I$2:I$13,MATCH($A247,Month!$A$2:$A$13,0))-K247,I247)))</f>
        <v/>
      </c>
      <c r="O247">
        <f>IF(I247=0,0,MAX(0,MIN(INDEX(Month!J$2:J$13,MATCH($A247,Month!$A$2:$A$13,0))-K247,I247)))</f>
        <v/>
      </c>
      <c r="P247">
        <f>IF(I247=0,0,(MIN(MAX(K247,0),L247)*W247+SUMPRODUCT((Calc!$A$2:$A$1001=A247)*Calc!$G$2:$G$1001*(((K247-(L247+Calc!$J$2:$J$1001))&gt;0)*((K247-(L247+Calc!$J$2:$J$1001))&lt;Calc!$F$2:$F$1001)*(K247-(L247+Calc!$J$2:$J$1001))+((K247-(L247+Calc!$J$2:$J$1001))&gt;=Calc!$F$2:$F$1001)*Calc!$F$2:$F$1001))))</f>
        <v/>
      </c>
      <c r="Q247">
        <f>IF(I247=0,0,(MIN(MAX((K247+M247),0),L247)*W247+SUMPRODUCT((Calc!$A$2:$A$1001=A247)*Calc!$G$2:$G$1001*((((K247+M247)-(L247+Calc!$J$2:$J$1001))&gt;0)*(((K247+M247)-(L247+Calc!$J$2:$J$1001))&lt;Calc!$F$2:$F$1001)*((K247+M247)-(L247+Calc!$J$2:$J$1001))+(((K247+M247)-(L247+Calc!$J$2:$J$1001))&gt;=Calc!$F$2:$F$1001)*Calc!$F$2:$F$1001))))</f>
        <v/>
      </c>
      <c r="R247">
        <f>IF(I247=0,0,(MIN(MAX((K247+N247),0),L247)*W247+SUMPRODUCT((Calc!$A$2:$A$1001=A247)*Calc!$G$2:$G$1001*((((K247+N247)-(L247+Calc!$J$2:$J$1001))&gt;0)*(((K247+N247)-(L247+Calc!$J$2:$J$1001))&lt;Calc!$F$2:$F$1001)*((K247+N247)-(L247+Calc!$J$2:$J$1001))+(((K247+N247)-(L247+Calc!$J$2:$J$1001))&gt;=Calc!$F$2:$F$1001)*Calc!$F$2:$F$1001))))</f>
        <v/>
      </c>
      <c r="S247">
        <f>IF(I247=0,0,(MIN(MAX((K247+O247),0),L247)*W247+SUMPRODUCT((Calc!$A$2:$A$1001=A247)*Calc!$G$2:$G$1001*((((K247+O247)-(L247+Calc!$J$2:$J$1001))&gt;0)*(((K247+O247)-(L247+Calc!$J$2:$J$1001))&lt;Calc!$F$2:$F$1001)*((K247+O247)-(L247+Calc!$J$2:$J$1001))+(((K247+O247)-(L247+Calc!$J$2:$J$1001))&gt;=Calc!$F$2:$F$1001)*Calc!$F$2:$F$1001))))</f>
        <v/>
      </c>
      <c r="T247">
        <f>IF(AND(E247=1,B247="RETURN"),Transactions!E247*Transactions!G247,0)</f>
        <v/>
      </c>
      <c r="U247">
        <f>IF(AND(E247=1,B247="EXPENSE"),Transactions!J247,0)</f>
        <v/>
      </c>
      <c r="V247">
        <f>IF(AND(Transactions!A247&lt;&gt;"",E247=0),ROW(),"")</f>
        <v/>
      </c>
      <c r="W247">
        <f>IFERROR(VLOOKUP(A247,Opening!$A:$D,4,0),0)</f>
        <v/>
      </c>
    </row>
    <row r="248">
      <c r="A248">
        <f>IF(Transactions!D248="","",UPPER(TRIM(Transactions!D248)))</f>
        <v/>
      </c>
      <c r="B248">
        <f>IF(Transactions!C248="","",UPPER(TRIM(Transactions!C248)))</f>
        <v/>
      </c>
      <c r="C248">
        <f>IF(Transactions!B248="",0,YEAR(Transactions!B248)*100+MONTH(Transactions!B248))</f>
        <v/>
      </c>
      <c r="D248">
        <f>IF(Transactions!A248="",1,IF(COUNTIF(Transactions!$A$1:A247,Transactions!A248)&gt;0,1,0))</f>
        <v/>
      </c>
      <c r="E248">
        <f>IF(D248=1,0,IF(B248="RETURN",IF(COUNTIFS($A$1:A247,A248,$B$1:B247,"SALE",$E$1:E247,1)&gt;0,1,0),1))</f>
        <v/>
      </c>
      <c r="F248">
        <f>IF(E248=1,IF(B248="RECEIPT",Transactions!E248,IF(AND(B248="RETURN",LOWER(TRIM(Transactions!H248))="resellable"),Transactions!E248,0)),0)</f>
        <v/>
      </c>
      <c r="G248">
        <f>IF(F248&gt;0,IF(B248="RECEIPT",Transactions!F248,IF(_xlfn.MAXIFS($H$2:H248,$A$2:A248,A248)&gt;0,INDEX(Transactions!$F:$F,_xlfn.MAXIFS($H$2:H248,$A$2:A248,A248)),W248)),0)</f>
        <v/>
      </c>
      <c r="H248">
        <f>IF(AND(E248=1,B248="RECEIPT"),ROW(),0)</f>
        <v/>
      </c>
      <c r="I248">
        <f>IF(E248=1,IF(OR(B248="SALE",B248="WRITEOFF"),Transactions!E248,0),0)</f>
        <v/>
      </c>
      <c r="J248">
        <f>SUMIFS($F$1:F247,$A$1:A247,A248)</f>
        <v/>
      </c>
      <c r="K248">
        <f>SUMIFS($I$1:I247,$A$1:A247,A248)</f>
        <v/>
      </c>
      <c r="L248">
        <f>IFERROR(VLOOKUP(A248,Opening!$A:$C,3,0),0)</f>
        <v/>
      </c>
      <c r="M248">
        <f>IF(I248=0,0,MAX(0,MIN(INDEX(Month!H$2:H$13,MATCH($A248,Month!$A$2:$A$13,0))-K248,I248)))</f>
        <v/>
      </c>
      <c r="N248">
        <f>IF(I248=0,0,MAX(0,MIN(INDEX(Month!I$2:I$13,MATCH($A248,Month!$A$2:$A$13,0))-K248,I248)))</f>
        <v/>
      </c>
      <c r="O248">
        <f>IF(I248=0,0,MAX(0,MIN(INDEX(Month!J$2:J$13,MATCH($A248,Month!$A$2:$A$13,0))-K248,I248)))</f>
        <v/>
      </c>
      <c r="P248">
        <f>IF(I248=0,0,(MIN(MAX(K248,0),L248)*W248+SUMPRODUCT((Calc!$A$2:$A$1001=A248)*Calc!$G$2:$G$1001*(((K248-(L248+Calc!$J$2:$J$1001))&gt;0)*((K248-(L248+Calc!$J$2:$J$1001))&lt;Calc!$F$2:$F$1001)*(K248-(L248+Calc!$J$2:$J$1001))+((K248-(L248+Calc!$J$2:$J$1001))&gt;=Calc!$F$2:$F$1001)*Calc!$F$2:$F$1001))))</f>
        <v/>
      </c>
      <c r="Q248">
        <f>IF(I248=0,0,(MIN(MAX((K248+M248),0),L248)*W248+SUMPRODUCT((Calc!$A$2:$A$1001=A248)*Calc!$G$2:$G$1001*((((K248+M248)-(L248+Calc!$J$2:$J$1001))&gt;0)*(((K248+M248)-(L248+Calc!$J$2:$J$1001))&lt;Calc!$F$2:$F$1001)*((K248+M248)-(L248+Calc!$J$2:$J$1001))+(((K248+M248)-(L248+Calc!$J$2:$J$1001))&gt;=Calc!$F$2:$F$1001)*Calc!$F$2:$F$1001))))</f>
        <v/>
      </c>
      <c r="R248">
        <f>IF(I248=0,0,(MIN(MAX((K248+N248),0),L248)*W248+SUMPRODUCT((Calc!$A$2:$A$1001=A248)*Calc!$G$2:$G$1001*((((K248+N248)-(L248+Calc!$J$2:$J$1001))&gt;0)*(((K248+N248)-(L248+Calc!$J$2:$J$1001))&lt;Calc!$F$2:$F$1001)*((K248+N248)-(L248+Calc!$J$2:$J$1001))+(((K248+N248)-(L248+Calc!$J$2:$J$1001))&gt;=Calc!$F$2:$F$1001)*Calc!$F$2:$F$1001))))</f>
        <v/>
      </c>
      <c r="S248">
        <f>IF(I248=0,0,(MIN(MAX((K248+O248),0),L248)*W248+SUMPRODUCT((Calc!$A$2:$A$1001=A248)*Calc!$G$2:$G$1001*((((K248+O248)-(L248+Calc!$J$2:$J$1001))&gt;0)*(((K248+O248)-(L248+Calc!$J$2:$J$1001))&lt;Calc!$F$2:$F$1001)*((K248+O248)-(L248+Calc!$J$2:$J$1001))+(((K248+O248)-(L248+Calc!$J$2:$J$1001))&gt;=Calc!$F$2:$F$1001)*Calc!$F$2:$F$1001))))</f>
        <v/>
      </c>
      <c r="T248">
        <f>IF(AND(E248=1,B248="RETURN"),Transactions!E248*Transactions!G248,0)</f>
        <v/>
      </c>
      <c r="U248">
        <f>IF(AND(E248=1,B248="EXPENSE"),Transactions!J248,0)</f>
        <v/>
      </c>
      <c r="V248">
        <f>IF(AND(Transactions!A248&lt;&gt;"",E248=0),ROW(),"")</f>
        <v/>
      </c>
      <c r="W248">
        <f>IFERROR(VLOOKUP(A248,Opening!$A:$D,4,0),0)</f>
        <v/>
      </c>
    </row>
    <row r="249">
      <c r="A249">
        <f>IF(Transactions!D249="","",UPPER(TRIM(Transactions!D249)))</f>
        <v/>
      </c>
      <c r="B249">
        <f>IF(Transactions!C249="","",UPPER(TRIM(Transactions!C249)))</f>
        <v/>
      </c>
      <c r="C249">
        <f>IF(Transactions!B249="",0,YEAR(Transactions!B249)*100+MONTH(Transactions!B249))</f>
        <v/>
      </c>
      <c r="D249">
        <f>IF(Transactions!A249="",1,IF(COUNTIF(Transactions!$A$1:A248,Transactions!A249)&gt;0,1,0))</f>
        <v/>
      </c>
      <c r="E249">
        <f>IF(D249=1,0,IF(B249="RETURN",IF(COUNTIFS($A$1:A248,A249,$B$1:B248,"SALE",$E$1:E248,1)&gt;0,1,0),1))</f>
        <v/>
      </c>
      <c r="F249">
        <f>IF(E249=1,IF(B249="RECEIPT",Transactions!E249,IF(AND(B249="RETURN",LOWER(TRIM(Transactions!H249))="resellable"),Transactions!E249,0)),0)</f>
        <v/>
      </c>
      <c r="G249">
        <f>IF(F249&gt;0,IF(B249="RECEIPT",Transactions!F249,IF(_xlfn.MAXIFS($H$2:H249,$A$2:A249,A249)&gt;0,INDEX(Transactions!$F:$F,_xlfn.MAXIFS($H$2:H249,$A$2:A249,A249)),W249)),0)</f>
        <v/>
      </c>
      <c r="H249">
        <f>IF(AND(E249=1,B249="RECEIPT"),ROW(),0)</f>
        <v/>
      </c>
      <c r="I249">
        <f>IF(E249=1,IF(OR(B249="SALE",B249="WRITEOFF"),Transactions!E249,0),0)</f>
        <v/>
      </c>
      <c r="J249">
        <f>SUMIFS($F$1:F248,$A$1:A248,A249)</f>
        <v/>
      </c>
      <c r="K249">
        <f>SUMIFS($I$1:I248,$A$1:A248,A249)</f>
        <v/>
      </c>
      <c r="L249">
        <f>IFERROR(VLOOKUP(A249,Opening!$A:$C,3,0),0)</f>
        <v/>
      </c>
      <c r="M249">
        <f>IF(I249=0,0,MAX(0,MIN(INDEX(Month!H$2:H$13,MATCH($A249,Month!$A$2:$A$13,0))-K249,I249)))</f>
        <v/>
      </c>
      <c r="N249">
        <f>IF(I249=0,0,MAX(0,MIN(INDEX(Month!I$2:I$13,MATCH($A249,Month!$A$2:$A$13,0))-K249,I249)))</f>
        <v/>
      </c>
      <c r="O249">
        <f>IF(I249=0,0,MAX(0,MIN(INDEX(Month!J$2:J$13,MATCH($A249,Month!$A$2:$A$13,0))-K249,I249)))</f>
        <v/>
      </c>
      <c r="P249">
        <f>IF(I249=0,0,(MIN(MAX(K249,0),L249)*W249+SUMPRODUCT((Calc!$A$2:$A$1001=A249)*Calc!$G$2:$G$1001*(((K249-(L249+Calc!$J$2:$J$1001))&gt;0)*((K249-(L249+Calc!$J$2:$J$1001))&lt;Calc!$F$2:$F$1001)*(K249-(L249+Calc!$J$2:$J$1001))+((K249-(L249+Calc!$J$2:$J$1001))&gt;=Calc!$F$2:$F$1001)*Calc!$F$2:$F$1001))))</f>
        <v/>
      </c>
      <c r="Q249">
        <f>IF(I249=0,0,(MIN(MAX((K249+M249),0),L249)*W249+SUMPRODUCT((Calc!$A$2:$A$1001=A249)*Calc!$G$2:$G$1001*((((K249+M249)-(L249+Calc!$J$2:$J$1001))&gt;0)*(((K249+M249)-(L249+Calc!$J$2:$J$1001))&lt;Calc!$F$2:$F$1001)*((K249+M249)-(L249+Calc!$J$2:$J$1001))+(((K249+M249)-(L249+Calc!$J$2:$J$1001))&gt;=Calc!$F$2:$F$1001)*Calc!$F$2:$F$1001))))</f>
        <v/>
      </c>
      <c r="R249">
        <f>IF(I249=0,0,(MIN(MAX((K249+N249),0),L249)*W249+SUMPRODUCT((Calc!$A$2:$A$1001=A249)*Calc!$G$2:$G$1001*((((K249+N249)-(L249+Calc!$J$2:$J$1001))&gt;0)*(((K249+N249)-(L249+Calc!$J$2:$J$1001))&lt;Calc!$F$2:$F$1001)*((K249+N249)-(L249+Calc!$J$2:$J$1001))+(((K249+N249)-(L249+Calc!$J$2:$J$1001))&gt;=Calc!$F$2:$F$1001)*Calc!$F$2:$F$1001))))</f>
        <v/>
      </c>
      <c r="S249">
        <f>IF(I249=0,0,(MIN(MAX((K249+O249),0),L249)*W249+SUMPRODUCT((Calc!$A$2:$A$1001=A249)*Calc!$G$2:$G$1001*((((K249+O249)-(L249+Calc!$J$2:$J$1001))&gt;0)*(((K249+O249)-(L249+Calc!$J$2:$J$1001))&lt;Calc!$F$2:$F$1001)*((K249+O249)-(L249+Calc!$J$2:$J$1001))+(((K249+O249)-(L249+Calc!$J$2:$J$1001))&gt;=Calc!$F$2:$F$1001)*Calc!$F$2:$F$1001))))</f>
        <v/>
      </c>
      <c r="T249">
        <f>IF(AND(E249=1,B249="RETURN"),Transactions!E249*Transactions!G249,0)</f>
        <v/>
      </c>
      <c r="U249">
        <f>IF(AND(E249=1,B249="EXPENSE"),Transactions!J249,0)</f>
        <v/>
      </c>
      <c r="V249">
        <f>IF(AND(Transactions!A249&lt;&gt;"",E249=0),ROW(),"")</f>
        <v/>
      </c>
      <c r="W249">
        <f>IFERROR(VLOOKUP(A249,Opening!$A:$D,4,0),0)</f>
        <v/>
      </c>
    </row>
    <row r="250">
      <c r="A250">
        <f>IF(Transactions!D250="","",UPPER(TRIM(Transactions!D250)))</f>
        <v/>
      </c>
      <c r="B250">
        <f>IF(Transactions!C250="","",UPPER(TRIM(Transactions!C250)))</f>
        <v/>
      </c>
      <c r="C250">
        <f>IF(Transactions!B250="",0,YEAR(Transactions!B250)*100+MONTH(Transactions!B250))</f>
        <v/>
      </c>
      <c r="D250">
        <f>IF(Transactions!A250="",1,IF(COUNTIF(Transactions!$A$1:A249,Transactions!A250)&gt;0,1,0))</f>
        <v/>
      </c>
      <c r="E250">
        <f>IF(D250=1,0,IF(B250="RETURN",IF(COUNTIFS($A$1:A249,A250,$B$1:B249,"SALE",$E$1:E249,1)&gt;0,1,0),1))</f>
        <v/>
      </c>
      <c r="F250">
        <f>IF(E250=1,IF(B250="RECEIPT",Transactions!E250,IF(AND(B250="RETURN",LOWER(TRIM(Transactions!H250))="resellable"),Transactions!E250,0)),0)</f>
        <v/>
      </c>
      <c r="G250">
        <f>IF(F250&gt;0,IF(B250="RECEIPT",Transactions!F250,IF(_xlfn.MAXIFS($H$2:H250,$A$2:A250,A250)&gt;0,INDEX(Transactions!$F:$F,_xlfn.MAXIFS($H$2:H250,$A$2:A250,A250)),W250)),0)</f>
        <v/>
      </c>
      <c r="H250">
        <f>IF(AND(E250=1,B250="RECEIPT"),ROW(),0)</f>
        <v/>
      </c>
      <c r="I250">
        <f>IF(E250=1,IF(OR(B250="SALE",B250="WRITEOFF"),Transactions!E250,0),0)</f>
        <v/>
      </c>
      <c r="J250">
        <f>SUMIFS($F$1:F249,$A$1:A249,A250)</f>
        <v/>
      </c>
      <c r="K250">
        <f>SUMIFS($I$1:I249,$A$1:A249,A250)</f>
        <v/>
      </c>
      <c r="L250">
        <f>IFERROR(VLOOKUP(A250,Opening!$A:$C,3,0),0)</f>
        <v/>
      </c>
      <c r="M250">
        <f>IF(I250=0,0,MAX(0,MIN(INDEX(Month!H$2:H$13,MATCH($A250,Month!$A$2:$A$13,0))-K250,I250)))</f>
        <v/>
      </c>
      <c r="N250">
        <f>IF(I250=0,0,MAX(0,MIN(INDEX(Month!I$2:I$13,MATCH($A250,Month!$A$2:$A$13,0))-K250,I250)))</f>
        <v/>
      </c>
      <c r="O250">
        <f>IF(I250=0,0,MAX(0,MIN(INDEX(Month!J$2:J$13,MATCH($A250,Month!$A$2:$A$13,0))-K250,I250)))</f>
        <v/>
      </c>
      <c r="P250">
        <f>IF(I250=0,0,(MIN(MAX(K250,0),L250)*W250+SUMPRODUCT((Calc!$A$2:$A$1001=A250)*Calc!$G$2:$G$1001*(((K250-(L250+Calc!$J$2:$J$1001))&gt;0)*((K250-(L250+Calc!$J$2:$J$1001))&lt;Calc!$F$2:$F$1001)*(K250-(L250+Calc!$J$2:$J$1001))+((K250-(L250+Calc!$J$2:$J$1001))&gt;=Calc!$F$2:$F$1001)*Calc!$F$2:$F$1001))))</f>
        <v/>
      </c>
      <c r="Q250">
        <f>IF(I250=0,0,(MIN(MAX((K250+M250),0),L250)*W250+SUMPRODUCT((Calc!$A$2:$A$1001=A250)*Calc!$G$2:$G$1001*((((K250+M250)-(L250+Calc!$J$2:$J$1001))&gt;0)*(((K250+M250)-(L250+Calc!$J$2:$J$1001))&lt;Calc!$F$2:$F$1001)*((K250+M250)-(L250+Calc!$J$2:$J$1001))+(((K250+M250)-(L250+Calc!$J$2:$J$1001))&gt;=Calc!$F$2:$F$1001)*Calc!$F$2:$F$1001))))</f>
        <v/>
      </c>
      <c r="R250">
        <f>IF(I250=0,0,(MIN(MAX((K250+N250),0),L250)*W250+SUMPRODUCT((Calc!$A$2:$A$1001=A250)*Calc!$G$2:$G$1001*((((K250+N250)-(L250+Calc!$J$2:$J$1001))&gt;0)*(((K250+N250)-(L250+Calc!$J$2:$J$1001))&lt;Calc!$F$2:$F$1001)*((K250+N250)-(L250+Calc!$J$2:$J$1001))+(((K250+N250)-(L250+Calc!$J$2:$J$1001))&gt;=Calc!$F$2:$F$1001)*Calc!$F$2:$F$1001))))</f>
        <v/>
      </c>
      <c r="S250">
        <f>IF(I250=0,0,(MIN(MAX((K250+O250),0),L250)*W250+SUMPRODUCT((Calc!$A$2:$A$1001=A250)*Calc!$G$2:$G$1001*((((K250+O250)-(L250+Calc!$J$2:$J$1001))&gt;0)*(((K250+O250)-(L250+Calc!$J$2:$J$1001))&lt;Calc!$F$2:$F$1001)*((K250+O250)-(L250+Calc!$J$2:$J$1001))+(((K250+O250)-(L250+Calc!$J$2:$J$1001))&gt;=Calc!$F$2:$F$1001)*Calc!$F$2:$F$1001))))</f>
        <v/>
      </c>
      <c r="T250">
        <f>IF(AND(E250=1,B250="RETURN"),Transactions!E250*Transactions!G250,0)</f>
        <v/>
      </c>
      <c r="U250">
        <f>IF(AND(E250=1,B250="EXPENSE"),Transactions!J250,0)</f>
        <v/>
      </c>
      <c r="V250">
        <f>IF(AND(Transactions!A250&lt;&gt;"",E250=0),ROW(),"")</f>
        <v/>
      </c>
      <c r="W250">
        <f>IFERROR(VLOOKUP(A250,Opening!$A:$D,4,0),0)</f>
        <v/>
      </c>
    </row>
    <row r="251">
      <c r="A251">
        <f>IF(Transactions!D251="","",UPPER(TRIM(Transactions!D251)))</f>
        <v/>
      </c>
      <c r="B251">
        <f>IF(Transactions!C251="","",UPPER(TRIM(Transactions!C251)))</f>
        <v/>
      </c>
      <c r="C251">
        <f>IF(Transactions!B251="",0,YEAR(Transactions!B251)*100+MONTH(Transactions!B251))</f>
        <v/>
      </c>
      <c r="D251">
        <f>IF(Transactions!A251="",1,IF(COUNTIF(Transactions!$A$1:A250,Transactions!A251)&gt;0,1,0))</f>
        <v/>
      </c>
      <c r="E251">
        <f>IF(D251=1,0,IF(B251="RETURN",IF(COUNTIFS($A$1:A250,A251,$B$1:B250,"SALE",$E$1:E250,1)&gt;0,1,0),1))</f>
        <v/>
      </c>
      <c r="F251">
        <f>IF(E251=1,IF(B251="RECEIPT",Transactions!E251,IF(AND(B251="RETURN",LOWER(TRIM(Transactions!H251))="resellable"),Transactions!E251,0)),0)</f>
        <v/>
      </c>
      <c r="G251">
        <f>IF(F251&gt;0,IF(B251="RECEIPT",Transactions!F251,IF(_xlfn.MAXIFS($H$2:H251,$A$2:A251,A251)&gt;0,INDEX(Transactions!$F:$F,_xlfn.MAXIFS($H$2:H251,$A$2:A251,A251)),W251)),0)</f>
        <v/>
      </c>
      <c r="H251">
        <f>IF(AND(E251=1,B251="RECEIPT"),ROW(),0)</f>
        <v/>
      </c>
      <c r="I251">
        <f>IF(E251=1,IF(OR(B251="SALE",B251="WRITEOFF"),Transactions!E251,0),0)</f>
        <v/>
      </c>
      <c r="J251">
        <f>SUMIFS($F$1:F250,$A$1:A250,A251)</f>
        <v/>
      </c>
      <c r="K251">
        <f>SUMIFS($I$1:I250,$A$1:A250,A251)</f>
        <v/>
      </c>
      <c r="L251">
        <f>IFERROR(VLOOKUP(A251,Opening!$A:$C,3,0),0)</f>
        <v/>
      </c>
      <c r="M251">
        <f>IF(I251=0,0,MAX(0,MIN(INDEX(Month!H$2:H$13,MATCH($A251,Month!$A$2:$A$13,0))-K251,I251)))</f>
        <v/>
      </c>
      <c r="N251">
        <f>IF(I251=0,0,MAX(0,MIN(INDEX(Month!I$2:I$13,MATCH($A251,Month!$A$2:$A$13,0))-K251,I251)))</f>
        <v/>
      </c>
      <c r="O251">
        <f>IF(I251=0,0,MAX(0,MIN(INDEX(Month!J$2:J$13,MATCH($A251,Month!$A$2:$A$13,0))-K251,I251)))</f>
        <v/>
      </c>
      <c r="P251">
        <f>IF(I251=0,0,(MIN(MAX(K251,0),L251)*W251+SUMPRODUCT((Calc!$A$2:$A$1001=A251)*Calc!$G$2:$G$1001*(((K251-(L251+Calc!$J$2:$J$1001))&gt;0)*((K251-(L251+Calc!$J$2:$J$1001))&lt;Calc!$F$2:$F$1001)*(K251-(L251+Calc!$J$2:$J$1001))+((K251-(L251+Calc!$J$2:$J$1001))&gt;=Calc!$F$2:$F$1001)*Calc!$F$2:$F$1001))))</f>
        <v/>
      </c>
      <c r="Q251">
        <f>IF(I251=0,0,(MIN(MAX((K251+M251),0),L251)*W251+SUMPRODUCT((Calc!$A$2:$A$1001=A251)*Calc!$G$2:$G$1001*((((K251+M251)-(L251+Calc!$J$2:$J$1001))&gt;0)*(((K251+M251)-(L251+Calc!$J$2:$J$1001))&lt;Calc!$F$2:$F$1001)*((K251+M251)-(L251+Calc!$J$2:$J$1001))+(((K251+M251)-(L251+Calc!$J$2:$J$1001))&gt;=Calc!$F$2:$F$1001)*Calc!$F$2:$F$1001))))</f>
        <v/>
      </c>
      <c r="R251">
        <f>IF(I251=0,0,(MIN(MAX((K251+N251),0),L251)*W251+SUMPRODUCT((Calc!$A$2:$A$1001=A251)*Calc!$G$2:$G$1001*((((K251+N251)-(L251+Calc!$J$2:$J$1001))&gt;0)*(((K251+N251)-(L251+Calc!$J$2:$J$1001))&lt;Calc!$F$2:$F$1001)*((K251+N251)-(L251+Calc!$J$2:$J$1001))+(((K251+N251)-(L251+Calc!$J$2:$J$1001))&gt;=Calc!$F$2:$F$1001)*Calc!$F$2:$F$1001))))</f>
        <v/>
      </c>
      <c r="S251">
        <f>IF(I251=0,0,(MIN(MAX((K251+O251),0),L251)*W251+SUMPRODUCT((Calc!$A$2:$A$1001=A251)*Calc!$G$2:$G$1001*((((K251+O251)-(L251+Calc!$J$2:$J$1001))&gt;0)*(((K251+O251)-(L251+Calc!$J$2:$J$1001))&lt;Calc!$F$2:$F$1001)*((K251+O251)-(L251+Calc!$J$2:$J$1001))+(((K251+O251)-(L251+Calc!$J$2:$J$1001))&gt;=Calc!$F$2:$F$1001)*Calc!$F$2:$F$1001))))</f>
        <v/>
      </c>
      <c r="T251">
        <f>IF(AND(E251=1,B251="RETURN"),Transactions!E251*Transactions!G251,0)</f>
        <v/>
      </c>
      <c r="U251">
        <f>IF(AND(E251=1,B251="EXPENSE"),Transactions!J251,0)</f>
        <v/>
      </c>
      <c r="V251">
        <f>IF(AND(Transactions!A251&lt;&gt;"",E251=0),ROW(),"")</f>
        <v/>
      </c>
      <c r="W251">
        <f>IFERROR(VLOOKUP(A251,Opening!$A:$D,4,0),0)</f>
        <v/>
      </c>
    </row>
    <row r="252">
      <c r="A252">
        <f>IF(Transactions!D252="","",UPPER(TRIM(Transactions!D252)))</f>
        <v/>
      </c>
      <c r="B252">
        <f>IF(Transactions!C252="","",UPPER(TRIM(Transactions!C252)))</f>
        <v/>
      </c>
      <c r="C252">
        <f>IF(Transactions!B252="",0,YEAR(Transactions!B252)*100+MONTH(Transactions!B252))</f>
        <v/>
      </c>
      <c r="D252">
        <f>IF(Transactions!A252="",1,IF(COUNTIF(Transactions!$A$1:A251,Transactions!A252)&gt;0,1,0))</f>
        <v/>
      </c>
      <c r="E252">
        <f>IF(D252=1,0,IF(B252="RETURN",IF(COUNTIFS($A$1:A251,A252,$B$1:B251,"SALE",$E$1:E251,1)&gt;0,1,0),1))</f>
        <v/>
      </c>
      <c r="F252">
        <f>IF(E252=1,IF(B252="RECEIPT",Transactions!E252,IF(AND(B252="RETURN",LOWER(TRIM(Transactions!H252))="resellable"),Transactions!E252,0)),0)</f>
        <v/>
      </c>
      <c r="G252">
        <f>IF(F252&gt;0,IF(B252="RECEIPT",Transactions!F252,IF(_xlfn.MAXIFS($H$2:H252,$A$2:A252,A252)&gt;0,INDEX(Transactions!$F:$F,_xlfn.MAXIFS($H$2:H252,$A$2:A252,A252)),W252)),0)</f>
        <v/>
      </c>
      <c r="H252">
        <f>IF(AND(E252=1,B252="RECEIPT"),ROW(),0)</f>
        <v/>
      </c>
      <c r="I252">
        <f>IF(E252=1,IF(OR(B252="SALE",B252="WRITEOFF"),Transactions!E252,0),0)</f>
        <v/>
      </c>
      <c r="J252">
        <f>SUMIFS($F$1:F251,$A$1:A251,A252)</f>
        <v/>
      </c>
      <c r="K252">
        <f>SUMIFS($I$1:I251,$A$1:A251,A252)</f>
        <v/>
      </c>
      <c r="L252">
        <f>IFERROR(VLOOKUP(A252,Opening!$A:$C,3,0),0)</f>
        <v/>
      </c>
      <c r="M252">
        <f>IF(I252=0,0,MAX(0,MIN(INDEX(Month!H$2:H$13,MATCH($A252,Month!$A$2:$A$13,0))-K252,I252)))</f>
        <v/>
      </c>
      <c r="N252">
        <f>IF(I252=0,0,MAX(0,MIN(INDEX(Month!I$2:I$13,MATCH($A252,Month!$A$2:$A$13,0))-K252,I252)))</f>
        <v/>
      </c>
      <c r="O252">
        <f>IF(I252=0,0,MAX(0,MIN(INDEX(Month!J$2:J$13,MATCH($A252,Month!$A$2:$A$13,0))-K252,I252)))</f>
        <v/>
      </c>
      <c r="P252">
        <f>IF(I252=0,0,(MIN(MAX(K252,0),L252)*W252+SUMPRODUCT((Calc!$A$2:$A$1001=A252)*Calc!$G$2:$G$1001*(((K252-(L252+Calc!$J$2:$J$1001))&gt;0)*((K252-(L252+Calc!$J$2:$J$1001))&lt;Calc!$F$2:$F$1001)*(K252-(L252+Calc!$J$2:$J$1001))+((K252-(L252+Calc!$J$2:$J$1001))&gt;=Calc!$F$2:$F$1001)*Calc!$F$2:$F$1001))))</f>
        <v/>
      </c>
      <c r="Q252">
        <f>IF(I252=0,0,(MIN(MAX((K252+M252),0),L252)*W252+SUMPRODUCT((Calc!$A$2:$A$1001=A252)*Calc!$G$2:$G$1001*((((K252+M252)-(L252+Calc!$J$2:$J$1001))&gt;0)*(((K252+M252)-(L252+Calc!$J$2:$J$1001))&lt;Calc!$F$2:$F$1001)*((K252+M252)-(L252+Calc!$J$2:$J$1001))+(((K252+M252)-(L252+Calc!$J$2:$J$1001))&gt;=Calc!$F$2:$F$1001)*Calc!$F$2:$F$1001))))</f>
        <v/>
      </c>
      <c r="R252">
        <f>IF(I252=0,0,(MIN(MAX((K252+N252),0),L252)*W252+SUMPRODUCT((Calc!$A$2:$A$1001=A252)*Calc!$G$2:$G$1001*((((K252+N252)-(L252+Calc!$J$2:$J$1001))&gt;0)*(((K252+N252)-(L252+Calc!$J$2:$J$1001))&lt;Calc!$F$2:$F$1001)*((K252+N252)-(L252+Calc!$J$2:$J$1001))+(((K252+N252)-(L252+Calc!$J$2:$J$1001))&gt;=Calc!$F$2:$F$1001)*Calc!$F$2:$F$1001))))</f>
        <v/>
      </c>
      <c r="S252">
        <f>IF(I252=0,0,(MIN(MAX((K252+O252),0),L252)*W252+SUMPRODUCT((Calc!$A$2:$A$1001=A252)*Calc!$G$2:$G$1001*((((K252+O252)-(L252+Calc!$J$2:$J$1001))&gt;0)*(((K252+O252)-(L252+Calc!$J$2:$J$1001))&lt;Calc!$F$2:$F$1001)*((K252+O252)-(L252+Calc!$J$2:$J$1001))+(((K252+O252)-(L252+Calc!$J$2:$J$1001))&gt;=Calc!$F$2:$F$1001)*Calc!$F$2:$F$1001))))</f>
        <v/>
      </c>
      <c r="T252">
        <f>IF(AND(E252=1,B252="RETURN"),Transactions!E252*Transactions!G252,0)</f>
        <v/>
      </c>
      <c r="U252">
        <f>IF(AND(E252=1,B252="EXPENSE"),Transactions!J252,0)</f>
        <v/>
      </c>
      <c r="V252">
        <f>IF(AND(Transactions!A252&lt;&gt;"",E252=0),ROW(),"")</f>
        <v/>
      </c>
      <c r="W252">
        <f>IFERROR(VLOOKUP(A252,Opening!$A:$D,4,0),0)</f>
        <v/>
      </c>
    </row>
    <row r="253">
      <c r="A253">
        <f>IF(Transactions!D253="","",UPPER(TRIM(Transactions!D253)))</f>
        <v/>
      </c>
      <c r="B253">
        <f>IF(Transactions!C253="","",UPPER(TRIM(Transactions!C253)))</f>
        <v/>
      </c>
      <c r="C253">
        <f>IF(Transactions!B253="",0,YEAR(Transactions!B253)*100+MONTH(Transactions!B253))</f>
        <v/>
      </c>
      <c r="D253">
        <f>IF(Transactions!A253="",1,IF(COUNTIF(Transactions!$A$1:A252,Transactions!A253)&gt;0,1,0))</f>
        <v/>
      </c>
      <c r="E253">
        <f>IF(D253=1,0,IF(B253="RETURN",IF(COUNTIFS($A$1:A252,A253,$B$1:B252,"SALE",$E$1:E252,1)&gt;0,1,0),1))</f>
        <v/>
      </c>
      <c r="F253">
        <f>IF(E253=1,IF(B253="RECEIPT",Transactions!E253,IF(AND(B253="RETURN",LOWER(TRIM(Transactions!H253))="resellable"),Transactions!E253,0)),0)</f>
        <v/>
      </c>
      <c r="G253">
        <f>IF(F253&gt;0,IF(B253="RECEIPT",Transactions!F253,IF(_xlfn.MAXIFS($H$2:H253,$A$2:A253,A253)&gt;0,INDEX(Transactions!$F:$F,_xlfn.MAXIFS($H$2:H253,$A$2:A253,A253)),W253)),0)</f>
        <v/>
      </c>
      <c r="H253">
        <f>IF(AND(E253=1,B253="RECEIPT"),ROW(),0)</f>
        <v/>
      </c>
      <c r="I253">
        <f>IF(E253=1,IF(OR(B253="SALE",B253="WRITEOFF"),Transactions!E253,0),0)</f>
        <v/>
      </c>
      <c r="J253">
        <f>SUMIFS($F$1:F252,$A$1:A252,A253)</f>
        <v/>
      </c>
      <c r="K253">
        <f>SUMIFS($I$1:I252,$A$1:A252,A253)</f>
        <v/>
      </c>
      <c r="L253">
        <f>IFERROR(VLOOKUP(A253,Opening!$A:$C,3,0),0)</f>
        <v/>
      </c>
      <c r="M253">
        <f>IF(I253=0,0,MAX(0,MIN(INDEX(Month!H$2:H$13,MATCH($A253,Month!$A$2:$A$13,0))-K253,I253)))</f>
        <v/>
      </c>
      <c r="N253">
        <f>IF(I253=0,0,MAX(0,MIN(INDEX(Month!I$2:I$13,MATCH($A253,Month!$A$2:$A$13,0))-K253,I253)))</f>
        <v/>
      </c>
      <c r="O253">
        <f>IF(I253=0,0,MAX(0,MIN(INDEX(Month!J$2:J$13,MATCH($A253,Month!$A$2:$A$13,0))-K253,I253)))</f>
        <v/>
      </c>
      <c r="P253">
        <f>IF(I253=0,0,(MIN(MAX(K253,0),L253)*W253+SUMPRODUCT((Calc!$A$2:$A$1001=A253)*Calc!$G$2:$G$1001*(((K253-(L253+Calc!$J$2:$J$1001))&gt;0)*((K253-(L253+Calc!$J$2:$J$1001))&lt;Calc!$F$2:$F$1001)*(K253-(L253+Calc!$J$2:$J$1001))+((K253-(L253+Calc!$J$2:$J$1001))&gt;=Calc!$F$2:$F$1001)*Calc!$F$2:$F$1001))))</f>
        <v/>
      </c>
      <c r="Q253">
        <f>IF(I253=0,0,(MIN(MAX((K253+M253),0),L253)*W253+SUMPRODUCT((Calc!$A$2:$A$1001=A253)*Calc!$G$2:$G$1001*((((K253+M253)-(L253+Calc!$J$2:$J$1001))&gt;0)*(((K253+M253)-(L253+Calc!$J$2:$J$1001))&lt;Calc!$F$2:$F$1001)*((K253+M253)-(L253+Calc!$J$2:$J$1001))+(((K253+M253)-(L253+Calc!$J$2:$J$1001))&gt;=Calc!$F$2:$F$1001)*Calc!$F$2:$F$1001))))</f>
        <v/>
      </c>
      <c r="R253">
        <f>IF(I253=0,0,(MIN(MAX((K253+N253),0),L253)*W253+SUMPRODUCT((Calc!$A$2:$A$1001=A253)*Calc!$G$2:$G$1001*((((K253+N253)-(L253+Calc!$J$2:$J$1001))&gt;0)*(((K253+N253)-(L253+Calc!$J$2:$J$1001))&lt;Calc!$F$2:$F$1001)*((K253+N253)-(L253+Calc!$J$2:$J$1001))+(((K253+N253)-(L253+Calc!$J$2:$J$1001))&gt;=Calc!$F$2:$F$1001)*Calc!$F$2:$F$1001))))</f>
        <v/>
      </c>
      <c r="S253">
        <f>IF(I253=0,0,(MIN(MAX((K253+O253),0),L253)*W253+SUMPRODUCT((Calc!$A$2:$A$1001=A253)*Calc!$G$2:$G$1001*((((K253+O253)-(L253+Calc!$J$2:$J$1001))&gt;0)*(((K253+O253)-(L253+Calc!$J$2:$J$1001))&lt;Calc!$F$2:$F$1001)*((K253+O253)-(L253+Calc!$J$2:$J$1001))+(((K253+O253)-(L253+Calc!$J$2:$J$1001))&gt;=Calc!$F$2:$F$1001)*Calc!$F$2:$F$1001))))</f>
        <v/>
      </c>
      <c r="T253">
        <f>IF(AND(E253=1,B253="RETURN"),Transactions!E253*Transactions!G253,0)</f>
        <v/>
      </c>
      <c r="U253">
        <f>IF(AND(E253=1,B253="EXPENSE"),Transactions!J253,0)</f>
        <v/>
      </c>
      <c r="V253">
        <f>IF(AND(Transactions!A253&lt;&gt;"",E253=0),ROW(),"")</f>
        <v/>
      </c>
      <c r="W253">
        <f>IFERROR(VLOOKUP(A253,Opening!$A:$D,4,0),0)</f>
        <v/>
      </c>
    </row>
    <row r="254">
      <c r="A254">
        <f>IF(Transactions!D254="","",UPPER(TRIM(Transactions!D254)))</f>
        <v/>
      </c>
      <c r="B254">
        <f>IF(Transactions!C254="","",UPPER(TRIM(Transactions!C254)))</f>
        <v/>
      </c>
      <c r="C254">
        <f>IF(Transactions!B254="",0,YEAR(Transactions!B254)*100+MONTH(Transactions!B254))</f>
        <v/>
      </c>
      <c r="D254">
        <f>IF(Transactions!A254="",1,IF(COUNTIF(Transactions!$A$1:A253,Transactions!A254)&gt;0,1,0))</f>
        <v/>
      </c>
      <c r="E254">
        <f>IF(D254=1,0,IF(B254="RETURN",IF(COUNTIFS($A$1:A253,A254,$B$1:B253,"SALE",$E$1:E253,1)&gt;0,1,0),1))</f>
        <v/>
      </c>
      <c r="F254">
        <f>IF(E254=1,IF(B254="RECEIPT",Transactions!E254,IF(AND(B254="RETURN",LOWER(TRIM(Transactions!H254))="resellable"),Transactions!E254,0)),0)</f>
        <v/>
      </c>
      <c r="G254">
        <f>IF(F254&gt;0,IF(B254="RECEIPT",Transactions!F254,IF(_xlfn.MAXIFS($H$2:H254,$A$2:A254,A254)&gt;0,INDEX(Transactions!$F:$F,_xlfn.MAXIFS($H$2:H254,$A$2:A254,A254)),W254)),0)</f>
        <v/>
      </c>
      <c r="H254">
        <f>IF(AND(E254=1,B254="RECEIPT"),ROW(),0)</f>
        <v/>
      </c>
      <c r="I254">
        <f>IF(E254=1,IF(OR(B254="SALE",B254="WRITEOFF"),Transactions!E254,0),0)</f>
        <v/>
      </c>
      <c r="J254">
        <f>SUMIFS($F$1:F253,$A$1:A253,A254)</f>
        <v/>
      </c>
      <c r="K254">
        <f>SUMIFS($I$1:I253,$A$1:A253,A254)</f>
        <v/>
      </c>
      <c r="L254">
        <f>IFERROR(VLOOKUP(A254,Opening!$A:$C,3,0),0)</f>
        <v/>
      </c>
      <c r="M254">
        <f>IF(I254=0,0,MAX(0,MIN(INDEX(Month!H$2:H$13,MATCH($A254,Month!$A$2:$A$13,0))-K254,I254)))</f>
        <v/>
      </c>
      <c r="N254">
        <f>IF(I254=0,0,MAX(0,MIN(INDEX(Month!I$2:I$13,MATCH($A254,Month!$A$2:$A$13,0))-K254,I254)))</f>
        <v/>
      </c>
      <c r="O254">
        <f>IF(I254=0,0,MAX(0,MIN(INDEX(Month!J$2:J$13,MATCH($A254,Month!$A$2:$A$13,0))-K254,I254)))</f>
        <v/>
      </c>
      <c r="P254">
        <f>IF(I254=0,0,(MIN(MAX(K254,0),L254)*W254+SUMPRODUCT((Calc!$A$2:$A$1001=A254)*Calc!$G$2:$G$1001*(((K254-(L254+Calc!$J$2:$J$1001))&gt;0)*((K254-(L254+Calc!$J$2:$J$1001))&lt;Calc!$F$2:$F$1001)*(K254-(L254+Calc!$J$2:$J$1001))+((K254-(L254+Calc!$J$2:$J$1001))&gt;=Calc!$F$2:$F$1001)*Calc!$F$2:$F$1001))))</f>
        <v/>
      </c>
      <c r="Q254">
        <f>IF(I254=0,0,(MIN(MAX((K254+M254),0),L254)*W254+SUMPRODUCT((Calc!$A$2:$A$1001=A254)*Calc!$G$2:$G$1001*((((K254+M254)-(L254+Calc!$J$2:$J$1001))&gt;0)*(((K254+M254)-(L254+Calc!$J$2:$J$1001))&lt;Calc!$F$2:$F$1001)*((K254+M254)-(L254+Calc!$J$2:$J$1001))+(((K254+M254)-(L254+Calc!$J$2:$J$1001))&gt;=Calc!$F$2:$F$1001)*Calc!$F$2:$F$1001))))</f>
        <v/>
      </c>
      <c r="R254">
        <f>IF(I254=0,0,(MIN(MAX((K254+N254),0),L254)*W254+SUMPRODUCT((Calc!$A$2:$A$1001=A254)*Calc!$G$2:$G$1001*((((K254+N254)-(L254+Calc!$J$2:$J$1001))&gt;0)*(((K254+N254)-(L254+Calc!$J$2:$J$1001))&lt;Calc!$F$2:$F$1001)*((K254+N254)-(L254+Calc!$J$2:$J$1001))+(((K254+N254)-(L254+Calc!$J$2:$J$1001))&gt;=Calc!$F$2:$F$1001)*Calc!$F$2:$F$1001))))</f>
        <v/>
      </c>
      <c r="S254">
        <f>IF(I254=0,0,(MIN(MAX((K254+O254),0),L254)*W254+SUMPRODUCT((Calc!$A$2:$A$1001=A254)*Calc!$G$2:$G$1001*((((K254+O254)-(L254+Calc!$J$2:$J$1001))&gt;0)*(((K254+O254)-(L254+Calc!$J$2:$J$1001))&lt;Calc!$F$2:$F$1001)*((K254+O254)-(L254+Calc!$J$2:$J$1001))+(((K254+O254)-(L254+Calc!$J$2:$J$1001))&gt;=Calc!$F$2:$F$1001)*Calc!$F$2:$F$1001))))</f>
        <v/>
      </c>
      <c r="T254">
        <f>IF(AND(E254=1,B254="RETURN"),Transactions!E254*Transactions!G254,0)</f>
        <v/>
      </c>
      <c r="U254">
        <f>IF(AND(E254=1,B254="EXPENSE"),Transactions!J254,0)</f>
        <v/>
      </c>
      <c r="V254">
        <f>IF(AND(Transactions!A254&lt;&gt;"",E254=0),ROW(),"")</f>
        <v/>
      </c>
      <c r="W254">
        <f>IFERROR(VLOOKUP(A254,Opening!$A:$D,4,0),0)</f>
        <v/>
      </c>
    </row>
    <row r="255">
      <c r="A255">
        <f>IF(Transactions!D255="","",UPPER(TRIM(Transactions!D255)))</f>
        <v/>
      </c>
      <c r="B255">
        <f>IF(Transactions!C255="","",UPPER(TRIM(Transactions!C255)))</f>
        <v/>
      </c>
      <c r="C255">
        <f>IF(Transactions!B255="",0,YEAR(Transactions!B255)*100+MONTH(Transactions!B255))</f>
        <v/>
      </c>
      <c r="D255">
        <f>IF(Transactions!A255="",1,IF(COUNTIF(Transactions!$A$1:A254,Transactions!A255)&gt;0,1,0))</f>
        <v/>
      </c>
      <c r="E255">
        <f>IF(D255=1,0,IF(B255="RETURN",IF(COUNTIFS($A$1:A254,A255,$B$1:B254,"SALE",$E$1:E254,1)&gt;0,1,0),1))</f>
        <v/>
      </c>
      <c r="F255">
        <f>IF(E255=1,IF(B255="RECEIPT",Transactions!E255,IF(AND(B255="RETURN",LOWER(TRIM(Transactions!H255))="resellable"),Transactions!E255,0)),0)</f>
        <v/>
      </c>
      <c r="G255">
        <f>IF(F255&gt;0,IF(B255="RECEIPT",Transactions!F255,IF(_xlfn.MAXIFS($H$2:H255,$A$2:A255,A255)&gt;0,INDEX(Transactions!$F:$F,_xlfn.MAXIFS($H$2:H255,$A$2:A255,A255)),W255)),0)</f>
        <v/>
      </c>
      <c r="H255">
        <f>IF(AND(E255=1,B255="RECEIPT"),ROW(),0)</f>
        <v/>
      </c>
      <c r="I255">
        <f>IF(E255=1,IF(OR(B255="SALE",B255="WRITEOFF"),Transactions!E255,0),0)</f>
        <v/>
      </c>
      <c r="J255">
        <f>SUMIFS($F$1:F254,$A$1:A254,A255)</f>
        <v/>
      </c>
      <c r="K255">
        <f>SUMIFS($I$1:I254,$A$1:A254,A255)</f>
        <v/>
      </c>
      <c r="L255">
        <f>IFERROR(VLOOKUP(A255,Opening!$A:$C,3,0),0)</f>
        <v/>
      </c>
      <c r="M255">
        <f>IF(I255=0,0,MAX(0,MIN(INDEX(Month!H$2:H$13,MATCH($A255,Month!$A$2:$A$13,0))-K255,I255)))</f>
        <v/>
      </c>
      <c r="N255">
        <f>IF(I255=0,0,MAX(0,MIN(INDEX(Month!I$2:I$13,MATCH($A255,Month!$A$2:$A$13,0))-K255,I255)))</f>
        <v/>
      </c>
      <c r="O255">
        <f>IF(I255=0,0,MAX(0,MIN(INDEX(Month!J$2:J$13,MATCH($A255,Month!$A$2:$A$13,0))-K255,I255)))</f>
        <v/>
      </c>
      <c r="P255">
        <f>IF(I255=0,0,(MIN(MAX(K255,0),L255)*W255+SUMPRODUCT((Calc!$A$2:$A$1001=A255)*Calc!$G$2:$G$1001*(((K255-(L255+Calc!$J$2:$J$1001))&gt;0)*((K255-(L255+Calc!$J$2:$J$1001))&lt;Calc!$F$2:$F$1001)*(K255-(L255+Calc!$J$2:$J$1001))+((K255-(L255+Calc!$J$2:$J$1001))&gt;=Calc!$F$2:$F$1001)*Calc!$F$2:$F$1001))))</f>
        <v/>
      </c>
      <c r="Q255">
        <f>IF(I255=0,0,(MIN(MAX((K255+M255),0),L255)*W255+SUMPRODUCT((Calc!$A$2:$A$1001=A255)*Calc!$G$2:$G$1001*((((K255+M255)-(L255+Calc!$J$2:$J$1001))&gt;0)*(((K255+M255)-(L255+Calc!$J$2:$J$1001))&lt;Calc!$F$2:$F$1001)*((K255+M255)-(L255+Calc!$J$2:$J$1001))+(((K255+M255)-(L255+Calc!$J$2:$J$1001))&gt;=Calc!$F$2:$F$1001)*Calc!$F$2:$F$1001))))</f>
        <v/>
      </c>
      <c r="R255">
        <f>IF(I255=0,0,(MIN(MAX((K255+N255),0),L255)*W255+SUMPRODUCT((Calc!$A$2:$A$1001=A255)*Calc!$G$2:$G$1001*((((K255+N255)-(L255+Calc!$J$2:$J$1001))&gt;0)*(((K255+N255)-(L255+Calc!$J$2:$J$1001))&lt;Calc!$F$2:$F$1001)*((K255+N255)-(L255+Calc!$J$2:$J$1001))+(((K255+N255)-(L255+Calc!$J$2:$J$1001))&gt;=Calc!$F$2:$F$1001)*Calc!$F$2:$F$1001))))</f>
        <v/>
      </c>
      <c r="S255">
        <f>IF(I255=0,0,(MIN(MAX((K255+O255),0),L255)*W255+SUMPRODUCT((Calc!$A$2:$A$1001=A255)*Calc!$G$2:$G$1001*((((K255+O255)-(L255+Calc!$J$2:$J$1001))&gt;0)*(((K255+O255)-(L255+Calc!$J$2:$J$1001))&lt;Calc!$F$2:$F$1001)*((K255+O255)-(L255+Calc!$J$2:$J$1001))+(((K255+O255)-(L255+Calc!$J$2:$J$1001))&gt;=Calc!$F$2:$F$1001)*Calc!$F$2:$F$1001))))</f>
        <v/>
      </c>
      <c r="T255">
        <f>IF(AND(E255=1,B255="RETURN"),Transactions!E255*Transactions!G255,0)</f>
        <v/>
      </c>
      <c r="U255">
        <f>IF(AND(E255=1,B255="EXPENSE"),Transactions!J255,0)</f>
        <v/>
      </c>
      <c r="V255">
        <f>IF(AND(Transactions!A255&lt;&gt;"",E255=0),ROW(),"")</f>
        <v/>
      </c>
      <c r="W255">
        <f>IFERROR(VLOOKUP(A255,Opening!$A:$D,4,0),0)</f>
        <v/>
      </c>
    </row>
    <row r="256">
      <c r="A256">
        <f>IF(Transactions!D256="","",UPPER(TRIM(Transactions!D256)))</f>
        <v/>
      </c>
      <c r="B256">
        <f>IF(Transactions!C256="","",UPPER(TRIM(Transactions!C256)))</f>
        <v/>
      </c>
      <c r="C256">
        <f>IF(Transactions!B256="",0,YEAR(Transactions!B256)*100+MONTH(Transactions!B256))</f>
        <v/>
      </c>
      <c r="D256">
        <f>IF(Transactions!A256="",1,IF(COUNTIF(Transactions!$A$1:A255,Transactions!A256)&gt;0,1,0))</f>
        <v/>
      </c>
      <c r="E256">
        <f>IF(D256=1,0,IF(B256="RETURN",IF(COUNTIFS($A$1:A255,A256,$B$1:B255,"SALE",$E$1:E255,1)&gt;0,1,0),1))</f>
        <v/>
      </c>
      <c r="F256">
        <f>IF(E256=1,IF(B256="RECEIPT",Transactions!E256,IF(AND(B256="RETURN",LOWER(TRIM(Transactions!H256))="resellable"),Transactions!E256,0)),0)</f>
        <v/>
      </c>
      <c r="G256">
        <f>IF(F256&gt;0,IF(B256="RECEIPT",Transactions!F256,IF(_xlfn.MAXIFS($H$2:H256,$A$2:A256,A256)&gt;0,INDEX(Transactions!$F:$F,_xlfn.MAXIFS($H$2:H256,$A$2:A256,A256)),W256)),0)</f>
        <v/>
      </c>
      <c r="H256">
        <f>IF(AND(E256=1,B256="RECEIPT"),ROW(),0)</f>
        <v/>
      </c>
      <c r="I256">
        <f>IF(E256=1,IF(OR(B256="SALE",B256="WRITEOFF"),Transactions!E256,0),0)</f>
        <v/>
      </c>
      <c r="J256">
        <f>SUMIFS($F$1:F255,$A$1:A255,A256)</f>
        <v/>
      </c>
      <c r="K256">
        <f>SUMIFS($I$1:I255,$A$1:A255,A256)</f>
        <v/>
      </c>
      <c r="L256">
        <f>IFERROR(VLOOKUP(A256,Opening!$A:$C,3,0),0)</f>
        <v/>
      </c>
      <c r="M256">
        <f>IF(I256=0,0,MAX(0,MIN(INDEX(Month!H$2:H$13,MATCH($A256,Month!$A$2:$A$13,0))-K256,I256)))</f>
        <v/>
      </c>
      <c r="N256">
        <f>IF(I256=0,0,MAX(0,MIN(INDEX(Month!I$2:I$13,MATCH($A256,Month!$A$2:$A$13,0))-K256,I256)))</f>
        <v/>
      </c>
      <c r="O256">
        <f>IF(I256=0,0,MAX(0,MIN(INDEX(Month!J$2:J$13,MATCH($A256,Month!$A$2:$A$13,0))-K256,I256)))</f>
        <v/>
      </c>
      <c r="P256">
        <f>IF(I256=0,0,(MIN(MAX(K256,0),L256)*W256+SUMPRODUCT((Calc!$A$2:$A$1001=A256)*Calc!$G$2:$G$1001*(((K256-(L256+Calc!$J$2:$J$1001))&gt;0)*((K256-(L256+Calc!$J$2:$J$1001))&lt;Calc!$F$2:$F$1001)*(K256-(L256+Calc!$J$2:$J$1001))+((K256-(L256+Calc!$J$2:$J$1001))&gt;=Calc!$F$2:$F$1001)*Calc!$F$2:$F$1001))))</f>
        <v/>
      </c>
      <c r="Q256">
        <f>IF(I256=0,0,(MIN(MAX((K256+M256),0),L256)*W256+SUMPRODUCT((Calc!$A$2:$A$1001=A256)*Calc!$G$2:$G$1001*((((K256+M256)-(L256+Calc!$J$2:$J$1001))&gt;0)*(((K256+M256)-(L256+Calc!$J$2:$J$1001))&lt;Calc!$F$2:$F$1001)*((K256+M256)-(L256+Calc!$J$2:$J$1001))+(((K256+M256)-(L256+Calc!$J$2:$J$1001))&gt;=Calc!$F$2:$F$1001)*Calc!$F$2:$F$1001))))</f>
        <v/>
      </c>
      <c r="R256">
        <f>IF(I256=0,0,(MIN(MAX((K256+N256),0),L256)*W256+SUMPRODUCT((Calc!$A$2:$A$1001=A256)*Calc!$G$2:$G$1001*((((K256+N256)-(L256+Calc!$J$2:$J$1001))&gt;0)*(((K256+N256)-(L256+Calc!$J$2:$J$1001))&lt;Calc!$F$2:$F$1001)*((K256+N256)-(L256+Calc!$J$2:$J$1001))+(((K256+N256)-(L256+Calc!$J$2:$J$1001))&gt;=Calc!$F$2:$F$1001)*Calc!$F$2:$F$1001))))</f>
        <v/>
      </c>
      <c r="S256">
        <f>IF(I256=0,0,(MIN(MAX((K256+O256),0),L256)*W256+SUMPRODUCT((Calc!$A$2:$A$1001=A256)*Calc!$G$2:$G$1001*((((K256+O256)-(L256+Calc!$J$2:$J$1001))&gt;0)*(((K256+O256)-(L256+Calc!$J$2:$J$1001))&lt;Calc!$F$2:$F$1001)*((K256+O256)-(L256+Calc!$J$2:$J$1001))+(((K256+O256)-(L256+Calc!$J$2:$J$1001))&gt;=Calc!$F$2:$F$1001)*Calc!$F$2:$F$1001))))</f>
        <v/>
      </c>
      <c r="T256">
        <f>IF(AND(E256=1,B256="RETURN"),Transactions!E256*Transactions!G256,0)</f>
        <v/>
      </c>
      <c r="U256">
        <f>IF(AND(E256=1,B256="EXPENSE"),Transactions!J256,0)</f>
        <v/>
      </c>
      <c r="V256">
        <f>IF(AND(Transactions!A256&lt;&gt;"",E256=0),ROW(),"")</f>
        <v/>
      </c>
      <c r="W256">
        <f>IFERROR(VLOOKUP(A256,Opening!$A:$D,4,0),0)</f>
        <v/>
      </c>
    </row>
    <row r="257">
      <c r="A257">
        <f>IF(Transactions!D257="","",UPPER(TRIM(Transactions!D257)))</f>
        <v/>
      </c>
      <c r="B257">
        <f>IF(Transactions!C257="","",UPPER(TRIM(Transactions!C257)))</f>
        <v/>
      </c>
      <c r="C257">
        <f>IF(Transactions!B257="",0,YEAR(Transactions!B257)*100+MONTH(Transactions!B257))</f>
        <v/>
      </c>
      <c r="D257">
        <f>IF(Transactions!A257="",1,IF(COUNTIF(Transactions!$A$1:A256,Transactions!A257)&gt;0,1,0))</f>
        <v/>
      </c>
      <c r="E257">
        <f>IF(D257=1,0,IF(B257="RETURN",IF(COUNTIFS($A$1:A256,A257,$B$1:B256,"SALE",$E$1:E256,1)&gt;0,1,0),1))</f>
        <v/>
      </c>
      <c r="F257">
        <f>IF(E257=1,IF(B257="RECEIPT",Transactions!E257,IF(AND(B257="RETURN",LOWER(TRIM(Transactions!H257))="resellable"),Transactions!E257,0)),0)</f>
        <v/>
      </c>
      <c r="G257">
        <f>IF(F257&gt;0,IF(B257="RECEIPT",Transactions!F257,IF(_xlfn.MAXIFS($H$2:H257,$A$2:A257,A257)&gt;0,INDEX(Transactions!$F:$F,_xlfn.MAXIFS($H$2:H257,$A$2:A257,A257)),W257)),0)</f>
        <v/>
      </c>
      <c r="H257">
        <f>IF(AND(E257=1,B257="RECEIPT"),ROW(),0)</f>
        <v/>
      </c>
      <c r="I257">
        <f>IF(E257=1,IF(OR(B257="SALE",B257="WRITEOFF"),Transactions!E257,0),0)</f>
        <v/>
      </c>
      <c r="J257">
        <f>SUMIFS($F$1:F256,$A$1:A256,A257)</f>
        <v/>
      </c>
      <c r="K257">
        <f>SUMIFS($I$1:I256,$A$1:A256,A257)</f>
        <v/>
      </c>
      <c r="L257">
        <f>IFERROR(VLOOKUP(A257,Opening!$A:$C,3,0),0)</f>
        <v/>
      </c>
      <c r="M257">
        <f>IF(I257=0,0,MAX(0,MIN(INDEX(Month!H$2:H$13,MATCH($A257,Month!$A$2:$A$13,0))-K257,I257)))</f>
        <v/>
      </c>
      <c r="N257">
        <f>IF(I257=0,0,MAX(0,MIN(INDEX(Month!I$2:I$13,MATCH($A257,Month!$A$2:$A$13,0))-K257,I257)))</f>
        <v/>
      </c>
      <c r="O257">
        <f>IF(I257=0,0,MAX(0,MIN(INDEX(Month!J$2:J$13,MATCH($A257,Month!$A$2:$A$13,0))-K257,I257)))</f>
        <v/>
      </c>
      <c r="P257">
        <f>IF(I257=0,0,(MIN(MAX(K257,0),L257)*W257+SUMPRODUCT((Calc!$A$2:$A$1001=A257)*Calc!$G$2:$G$1001*(((K257-(L257+Calc!$J$2:$J$1001))&gt;0)*((K257-(L257+Calc!$J$2:$J$1001))&lt;Calc!$F$2:$F$1001)*(K257-(L257+Calc!$J$2:$J$1001))+((K257-(L257+Calc!$J$2:$J$1001))&gt;=Calc!$F$2:$F$1001)*Calc!$F$2:$F$1001))))</f>
        <v/>
      </c>
      <c r="Q257">
        <f>IF(I257=0,0,(MIN(MAX((K257+M257),0),L257)*W257+SUMPRODUCT((Calc!$A$2:$A$1001=A257)*Calc!$G$2:$G$1001*((((K257+M257)-(L257+Calc!$J$2:$J$1001))&gt;0)*(((K257+M257)-(L257+Calc!$J$2:$J$1001))&lt;Calc!$F$2:$F$1001)*((K257+M257)-(L257+Calc!$J$2:$J$1001))+(((K257+M257)-(L257+Calc!$J$2:$J$1001))&gt;=Calc!$F$2:$F$1001)*Calc!$F$2:$F$1001))))</f>
        <v/>
      </c>
      <c r="R257">
        <f>IF(I257=0,0,(MIN(MAX((K257+N257),0),L257)*W257+SUMPRODUCT((Calc!$A$2:$A$1001=A257)*Calc!$G$2:$G$1001*((((K257+N257)-(L257+Calc!$J$2:$J$1001))&gt;0)*(((K257+N257)-(L257+Calc!$J$2:$J$1001))&lt;Calc!$F$2:$F$1001)*((K257+N257)-(L257+Calc!$J$2:$J$1001))+(((K257+N257)-(L257+Calc!$J$2:$J$1001))&gt;=Calc!$F$2:$F$1001)*Calc!$F$2:$F$1001))))</f>
        <v/>
      </c>
      <c r="S257">
        <f>IF(I257=0,0,(MIN(MAX((K257+O257),0),L257)*W257+SUMPRODUCT((Calc!$A$2:$A$1001=A257)*Calc!$G$2:$G$1001*((((K257+O257)-(L257+Calc!$J$2:$J$1001))&gt;0)*(((K257+O257)-(L257+Calc!$J$2:$J$1001))&lt;Calc!$F$2:$F$1001)*((K257+O257)-(L257+Calc!$J$2:$J$1001))+(((K257+O257)-(L257+Calc!$J$2:$J$1001))&gt;=Calc!$F$2:$F$1001)*Calc!$F$2:$F$1001))))</f>
        <v/>
      </c>
      <c r="T257">
        <f>IF(AND(E257=1,B257="RETURN"),Transactions!E257*Transactions!G257,0)</f>
        <v/>
      </c>
      <c r="U257">
        <f>IF(AND(E257=1,B257="EXPENSE"),Transactions!J257,0)</f>
        <v/>
      </c>
      <c r="V257">
        <f>IF(AND(Transactions!A257&lt;&gt;"",E257=0),ROW(),"")</f>
        <v/>
      </c>
      <c r="W257">
        <f>IFERROR(VLOOKUP(A257,Opening!$A:$D,4,0),0)</f>
        <v/>
      </c>
    </row>
    <row r="258">
      <c r="A258">
        <f>IF(Transactions!D258="","",UPPER(TRIM(Transactions!D258)))</f>
        <v/>
      </c>
      <c r="B258">
        <f>IF(Transactions!C258="","",UPPER(TRIM(Transactions!C258)))</f>
        <v/>
      </c>
      <c r="C258">
        <f>IF(Transactions!B258="",0,YEAR(Transactions!B258)*100+MONTH(Transactions!B258))</f>
        <v/>
      </c>
      <c r="D258">
        <f>IF(Transactions!A258="",1,IF(COUNTIF(Transactions!$A$1:A257,Transactions!A258)&gt;0,1,0))</f>
        <v/>
      </c>
      <c r="E258">
        <f>IF(D258=1,0,IF(B258="RETURN",IF(COUNTIFS($A$1:A257,A258,$B$1:B257,"SALE",$E$1:E257,1)&gt;0,1,0),1))</f>
        <v/>
      </c>
      <c r="F258">
        <f>IF(E258=1,IF(B258="RECEIPT",Transactions!E258,IF(AND(B258="RETURN",LOWER(TRIM(Transactions!H258))="resellable"),Transactions!E258,0)),0)</f>
        <v/>
      </c>
      <c r="G258">
        <f>IF(F258&gt;0,IF(B258="RECEIPT",Transactions!F258,IF(_xlfn.MAXIFS($H$2:H258,$A$2:A258,A258)&gt;0,INDEX(Transactions!$F:$F,_xlfn.MAXIFS($H$2:H258,$A$2:A258,A258)),W258)),0)</f>
        <v/>
      </c>
      <c r="H258">
        <f>IF(AND(E258=1,B258="RECEIPT"),ROW(),0)</f>
        <v/>
      </c>
      <c r="I258">
        <f>IF(E258=1,IF(OR(B258="SALE",B258="WRITEOFF"),Transactions!E258,0),0)</f>
        <v/>
      </c>
      <c r="J258">
        <f>SUMIFS($F$1:F257,$A$1:A257,A258)</f>
        <v/>
      </c>
      <c r="K258">
        <f>SUMIFS($I$1:I257,$A$1:A257,A258)</f>
        <v/>
      </c>
      <c r="L258">
        <f>IFERROR(VLOOKUP(A258,Opening!$A:$C,3,0),0)</f>
        <v/>
      </c>
      <c r="M258">
        <f>IF(I258=0,0,MAX(0,MIN(INDEX(Month!H$2:H$13,MATCH($A258,Month!$A$2:$A$13,0))-K258,I258)))</f>
        <v/>
      </c>
      <c r="N258">
        <f>IF(I258=0,0,MAX(0,MIN(INDEX(Month!I$2:I$13,MATCH($A258,Month!$A$2:$A$13,0))-K258,I258)))</f>
        <v/>
      </c>
      <c r="O258">
        <f>IF(I258=0,0,MAX(0,MIN(INDEX(Month!J$2:J$13,MATCH($A258,Month!$A$2:$A$13,0))-K258,I258)))</f>
        <v/>
      </c>
      <c r="P258">
        <f>IF(I258=0,0,(MIN(MAX(K258,0),L258)*W258+SUMPRODUCT((Calc!$A$2:$A$1001=A258)*Calc!$G$2:$G$1001*(((K258-(L258+Calc!$J$2:$J$1001))&gt;0)*((K258-(L258+Calc!$J$2:$J$1001))&lt;Calc!$F$2:$F$1001)*(K258-(L258+Calc!$J$2:$J$1001))+((K258-(L258+Calc!$J$2:$J$1001))&gt;=Calc!$F$2:$F$1001)*Calc!$F$2:$F$1001))))</f>
        <v/>
      </c>
      <c r="Q258">
        <f>IF(I258=0,0,(MIN(MAX((K258+M258),0),L258)*W258+SUMPRODUCT((Calc!$A$2:$A$1001=A258)*Calc!$G$2:$G$1001*((((K258+M258)-(L258+Calc!$J$2:$J$1001))&gt;0)*(((K258+M258)-(L258+Calc!$J$2:$J$1001))&lt;Calc!$F$2:$F$1001)*((K258+M258)-(L258+Calc!$J$2:$J$1001))+(((K258+M258)-(L258+Calc!$J$2:$J$1001))&gt;=Calc!$F$2:$F$1001)*Calc!$F$2:$F$1001))))</f>
        <v/>
      </c>
      <c r="R258">
        <f>IF(I258=0,0,(MIN(MAX((K258+N258),0),L258)*W258+SUMPRODUCT((Calc!$A$2:$A$1001=A258)*Calc!$G$2:$G$1001*((((K258+N258)-(L258+Calc!$J$2:$J$1001))&gt;0)*(((K258+N258)-(L258+Calc!$J$2:$J$1001))&lt;Calc!$F$2:$F$1001)*((K258+N258)-(L258+Calc!$J$2:$J$1001))+(((K258+N258)-(L258+Calc!$J$2:$J$1001))&gt;=Calc!$F$2:$F$1001)*Calc!$F$2:$F$1001))))</f>
        <v/>
      </c>
      <c r="S258">
        <f>IF(I258=0,0,(MIN(MAX((K258+O258),0),L258)*W258+SUMPRODUCT((Calc!$A$2:$A$1001=A258)*Calc!$G$2:$G$1001*((((K258+O258)-(L258+Calc!$J$2:$J$1001))&gt;0)*(((K258+O258)-(L258+Calc!$J$2:$J$1001))&lt;Calc!$F$2:$F$1001)*((K258+O258)-(L258+Calc!$J$2:$J$1001))+(((K258+O258)-(L258+Calc!$J$2:$J$1001))&gt;=Calc!$F$2:$F$1001)*Calc!$F$2:$F$1001))))</f>
        <v/>
      </c>
      <c r="T258">
        <f>IF(AND(E258=1,B258="RETURN"),Transactions!E258*Transactions!G258,0)</f>
        <v/>
      </c>
      <c r="U258">
        <f>IF(AND(E258=1,B258="EXPENSE"),Transactions!J258,0)</f>
        <v/>
      </c>
      <c r="V258">
        <f>IF(AND(Transactions!A258&lt;&gt;"",E258=0),ROW(),"")</f>
        <v/>
      </c>
      <c r="W258">
        <f>IFERROR(VLOOKUP(A258,Opening!$A:$D,4,0),0)</f>
        <v/>
      </c>
    </row>
    <row r="259">
      <c r="A259">
        <f>IF(Transactions!D259="","",UPPER(TRIM(Transactions!D259)))</f>
        <v/>
      </c>
      <c r="B259">
        <f>IF(Transactions!C259="","",UPPER(TRIM(Transactions!C259)))</f>
        <v/>
      </c>
      <c r="C259">
        <f>IF(Transactions!B259="",0,YEAR(Transactions!B259)*100+MONTH(Transactions!B259))</f>
        <v/>
      </c>
      <c r="D259">
        <f>IF(Transactions!A259="",1,IF(COUNTIF(Transactions!$A$1:A258,Transactions!A259)&gt;0,1,0))</f>
        <v/>
      </c>
      <c r="E259">
        <f>IF(D259=1,0,IF(B259="RETURN",IF(COUNTIFS($A$1:A258,A259,$B$1:B258,"SALE",$E$1:E258,1)&gt;0,1,0),1))</f>
        <v/>
      </c>
      <c r="F259">
        <f>IF(E259=1,IF(B259="RECEIPT",Transactions!E259,IF(AND(B259="RETURN",LOWER(TRIM(Transactions!H259))="resellable"),Transactions!E259,0)),0)</f>
        <v/>
      </c>
      <c r="G259">
        <f>IF(F259&gt;0,IF(B259="RECEIPT",Transactions!F259,IF(_xlfn.MAXIFS($H$2:H259,$A$2:A259,A259)&gt;0,INDEX(Transactions!$F:$F,_xlfn.MAXIFS($H$2:H259,$A$2:A259,A259)),W259)),0)</f>
        <v/>
      </c>
      <c r="H259">
        <f>IF(AND(E259=1,B259="RECEIPT"),ROW(),0)</f>
        <v/>
      </c>
      <c r="I259">
        <f>IF(E259=1,IF(OR(B259="SALE",B259="WRITEOFF"),Transactions!E259,0),0)</f>
        <v/>
      </c>
      <c r="J259">
        <f>SUMIFS($F$1:F258,$A$1:A258,A259)</f>
        <v/>
      </c>
      <c r="K259">
        <f>SUMIFS($I$1:I258,$A$1:A258,A259)</f>
        <v/>
      </c>
      <c r="L259">
        <f>IFERROR(VLOOKUP(A259,Opening!$A:$C,3,0),0)</f>
        <v/>
      </c>
      <c r="M259">
        <f>IF(I259=0,0,MAX(0,MIN(INDEX(Month!H$2:H$13,MATCH($A259,Month!$A$2:$A$13,0))-K259,I259)))</f>
        <v/>
      </c>
      <c r="N259">
        <f>IF(I259=0,0,MAX(0,MIN(INDEX(Month!I$2:I$13,MATCH($A259,Month!$A$2:$A$13,0))-K259,I259)))</f>
        <v/>
      </c>
      <c r="O259">
        <f>IF(I259=0,0,MAX(0,MIN(INDEX(Month!J$2:J$13,MATCH($A259,Month!$A$2:$A$13,0))-K259,I259)))</f>
        <v/>
      </c>
      <c r="P259">
        <f>IF(I259=0,0,(MIN(MAX(K259,0),L259)*W259+SUMPRODUCT((Calc!$A$2:$A$1001=A259)*Calc!$G$2:$G$1001*(((K259-(L259+Calc!$J$2:$J$1001))&gt;0)*((K259-(L259+Calc!$J$2:$J$1001))&lt;Calc!$F$2:$F$1001)*(K259-(L259+Calc!$J$2:$J$1001))+((K259-(L259+Calc!$J$2:$J$1001))&gt;=Calc!$F$2:$F$1001)*Calc!$F$2:$F$1001))))</f>
        <v/>
      </c>
      <c r="Q259">
        <f>IF(I259=0,0,(MIN(MAX((K259+M259),0),L259)*W259+SUMPRODUCT((Calc!$A$2:$A$1001=A259)*Calc!$G$2:$G$1001*((((K259+M259)-(L259+Calc!$J$2:$J$1001))&gt;0)*(((K259+M259)-(L259+Calc!$J$2:$J$1001))&lt;Calc!$F$2:$F$1001)*((K259+M259)-(L259+Calc!$J$2:$J$1001))+(((K259+M259)-(L259+Calc!$J$2:$J$1001))&gt;=Calc!$F$2:$F$1001)*Calc!$F$2:$F$1001))))</f>
        <v/>
      </c>
      <c r="R259">
        <f>IF(I259=0,0,(MIN(MAX((K259+N259),0),L259)*W259+SUMPRODUCT((Calc!$A$2:$A$1001=A259)*Calc!$G$2:$G$1001*((((K259+N259)-(L259+Calc!$J$2:$J$1001))&gt;0)*(((K259+N259)-(L259+Calc!$J$2:$J$1001))&lt;Calc!$F$2:$F$1001)*((K259+N259)-(L259+Calc!$J$2:$J$1001))+(((K259+N259)-(L259+Calc!$J$2:$J$1001))&gt;=Calc!$F$2:$F$1001)*Calc!$F$2:$F$1001))))</f>
        <v/>
      </c>
      <c r="S259">
        <f>IF(I259=0,0,(MIN(MAX((K259+O259),0),L259)*W259+SUMPRODUCT((Calc!$A$2:$A$1001=A259)*Calc!$G$2:$G$1001*((((K259+O259)-(L259+Calc!$J$2:$J$1001))&gt;0)*(((K259+O259)-(L259+Calc!$J$2:$J$1001))&lt;Calc!$F$2:$F$1001)*((K259+O259)-(L259+Calc!$J$2:$J$1001))+(((K259+O259)-(L259+Calc!$J$2:$J$1001))&gt;=Calc!$F$2:$F$1001)*Calc!$F$2:$F$1001))))</f>
        <v/>
      </c>
      <c r="T259">
        <f>IF(AND(E259=1,B259="RETURN"),Transactions!E259*Transactions!G259,0)</f>
        <v/>
      </c>
      <c r="U259">
        <f>IF(AND(E259=1,B259="EXPENSE"),Transactions!J259,0)</f>
        <v/>
      </c>
      <c r="V259">
        <f>IF(AND(Transactions!A259&lt;&gt;"",E259=0),ROW(),"")</f>
        <v/>
      </c>
      <c r="W259">
        <f>IFERROR(VLOOKUP(A259,Opening!$A:$D,4,0),0)</f>
        <v/>
      </c>
    </row>
    <row r="260">
      <c r="A260">
        <f>IF(Transactions!D260="","",UPPER(TRIM(Transactions!D260)))</f>
        <v/>
      </c>
      <c r="B260">
        <f>IF(Transactions!C260="","",UPPER(TRIM(Transactions!C260)))</f>
        <v/>
      </c>
      <c r="C260">
        <f>IF(Transactions!B260="",0,YEAR(Transactions!B260)*100+MONTH(Transactions!B260))</f>
        <v/>
      </c>
      <c r="D260">
        <f>IF(Transactions!A260="",1,IF(COUNTIF(Transactions!$A$1:A259,Transactions!A260)&gt;0,1,0))</f>
        <v/>
      </c>
      <c r="E260">
        <f>IF(D260=1,0,IF(B260="RETURN",IF(COUNTIFS($A$1:A259,A260,$B$1:B259,"SALE",$E$1:E259,1)&gt;0,1,0),1))</f>
        <v/>
      </c>
      <c r="F260">
        <f>IF(E260=1,IF(B260="RECEIPT",Transactions!E260,IF(AND(B260="RETURN",LOWER(TRIM(Transactions!H260))="resellable"),Transactions!E260,0)),0)</f>
        <v/>
      </c>
      <c r="G260">
        <f>IF(F260&gt;0,IF(B260="RECEIPT",Transactions!F260,IF(_xlfn.MAXIFS($H$2:H260,$A$2:A260,A260)&gt;0,INDEX(Transactions!$F:$F,_xlfn.MAXIFS($H$2:H260,$A$2:A260,A260)),W260)),0)</f>
        <v/>
      </c>
      <c r="H260">
        <f>IF(AND(E260=1,B260="RECEIPT"),ROW(),0)</f>
        <v/>
      </c>
      <c r="I260">
        <f>IF(E260=1,IF(OR(B260="SALE",B260="WRITEOFF"),Transactions!E260,0),0)</f>
        <v/>
      </c>
      <c r="J260">
        <f>SUMIFS($F$1:F259,$A$1:A259,A260)</f>
        <v/>
      </c>
      <c r="K260">
        <f>SUMIFS($I$1:I259,$A$1:A259,A260)</f>
        <v/>
      </c>
      <c r="L260">
        <f>IFERROR(VLOOKUP(A260,Opening!$A:$C,3,0),0)</f>
        <v/>
      </c>
      <c r="M260">
        <f>IF(I260=0,0,MAX(0,MIN(INDEX(Month!H$2:H$13,MATCH($A260,Month!$A$2:$A$13,0))-K260,I260)))</f>
        <v/>
      </c>
      <c r="N260">
        <f>IF(I260=0,0,MAX(0,MIN(INDEX(Month!I$2:I$13,MATCH($A260,Month!$A$2:$A$13,0))-K260,I260)))</f>
        <v/>
      </c>
      <c r="O260">
        <f>IF(I260=0,0,MAX(0,MIN(INDEX(Month!J$2:J$13,MATCH($A260,Month!$A$2:$A$13,0))-K260,I260)))</f>
        <v/>
      </c>
      <c r="P260">
        <f>IF(I260=0,0,(MIN(MAX(K260,0),L260)*W260+SUMPRODUCT((Calc!$A$2:$A$1001=A260)*Calc!$G$2:$G$1001*(((K260-(L260+Calc!$J$2:$J$1001))&gt;0)*((K260-(L260+Calc!$J$2:$J$1001))&lt;Calc!$F$2:$F$1001)*(K260-(L260+Calc!$J$2:$J$1001))+((K260-(L260+Calc!$J$2:$J$1001))&gt;=Calc!$F$2:$F$1001)*Calc!$F$2:$F$1001))))</f>
        <v/>
      </c>
      <c r="Q260">
        <f>IF(I260=0,0,(MIN(MAX((K260+M260),0),L260)*W260+SUMPRODUCT((Calc!$A$2:$A$1001=A260)*Calc!$G$2:$G$1001*((((K260+M260)-(L260+Calc!$J$2:$J$1001))&gt;0)*(((K260+M260)-(L260+Calc!$J$2:$J$1001))&lt;Calc!$F$2:$F$1001)*((K260+M260)-(L260+Calc!$J$2:$J$1001))+(((K260+M260)-(L260+Calc!$J$2:$J$1001))&gt;=Calc!$F$2:$F$1001)*Calc!$F$2:$F$1001))))</f>
        <v/>
      </c>
      <c r="R260">
        <f>IF(I260=0,0,(MIN(MAX((K260+N260),0),L260)*W260+SUMPRODUCT((Calc!$A$2:$A$1001=A260)*Calc!$G$2:$G$1001*((((K260+N260)-(L260+Calc!$J$2:$J$1001))&gt;0)*(((K260+N260)-(L260+Calc!$J$2:$J$1001))&lt;Calc!$F$2:$F$1001)*((K260+N260)-(L260+Calc!$J$2:$J$1001))+(((K260+N260)-(L260+Calc!$J$2:$J$1001))&gt;=Calc!$F$2:$F$1001)*Calc!$F$2:$F$1001))))</f>
        <v/>
      </c>
      <c r="S260">
        <f>IF(I260=0,0,(MIN(MAX((K260+O260),0),L260)*W260+SUMPRODUCT((Calc!$A$2:$A$1001=A260)*Calc!$G$2:$G$1001*((((K260+O260)-(L260+Calc!$J$2:$J$1001))&gt;0)*(((K260+O260)-(L260+Calc!$J$2:$J$1001))&lt;Calc!$F$2:$F$1001)*((K260+O260)-(L260+Calc!$J$2:$J$1001))+(((K260+O260)-(L260+Calc!$J$2:$J$1001))&gt;=Calc!$F$2:$F$1001)*Calc!$F$2:$F$1001))))</f>
        <v/>
      </c>
      <c r="T260">
        <f>IF(AND(E260=1,B260="RETURN"),Transactions!E260*Transactions!G260,0)</f>
        <v/>
      </c>
      <c r="U260">
        <f>IF(AND(E260=1,B260="EXPENSE"),Transactions!J260,0)</f>
        <v/>
      </c>
      <c r="V260">
        <f>IF(AND(Transactions!A260&lt;&gt;"",E260=0),ROW(),"")</f>
        <v/>
      </c>
      <c r="W260">
        <f>IFERROR(VLOOKUP(A260,Opening!$A:$D,4,0),0)</f>
        <v/>
      </c>
    </row>
    <row r="261">
      <c r="A261">
        <f>IF(Transactions!D261="","",UPPER(TRIM(Transactions!D261)))</f>
        <v/>
      </c>
      <c r="B261">
        <f>IF(Transactions!C261="","",UPPER(TRIM(Transactions!C261)))</f>
        <v/>
      </c>
      <c r="C261">
        <f>IF(Transactions!B261="",0,YEAR(Transactions!B261)*100+MONTH(Transactions!B261))</f>
        <v/>
      </c>
      <c r="D261">
        <f>IF(Transactions!A261="",1,IF(COUNTIF(Transactions!$A$1:A260,Transactions!A261)&gt;0,1,0))</f>
        <v/>
      </c>
      <c r="E261">
        <f>IF(D261=1,0,IF(B261="RETURN",IF(COUNTIFS($A$1:A260,A261,$B$1:B260,"SALE",$E$1:E260,1)&gt;0,1,0),1))</f>
        <v/>
      </c>
      <c r="F261">
        <f>IF(E261=1,IF(B261="RECEIPT",Transactions!E261,IF(AND(B261="RETURN",LOWER(TRIM(Transactions!H261))="resellable"),Transactions!E261,0)),0)</f>
        <v/>
      </c>
      <c r="G261">
        <f>IF(F261&gt;0,IF(B261="RECEIPT",Transactions!F261,IF(_xlfn.MAXIFS($H$2:H261,$A$2:A261,A261)&gt;0,INDEX(Transactions!$F:$F,_xlfn.MAXIFS($H$2:H261,$A$2:A261,A261)),W261)),0)</f>
        <v/>
      </c>
      <c r="H261">
        <f>IF(AND(E261=1,B261="RECEIPT"),ROW(),0)</f>
        <v/>
      </c>
      <c r="I261">
        <f>IF(E261=1,IF(OR(B261="SALE",B261="WRITEOFF"),Transactions!E261,0),0)</f>
        <v/>
      </c>
      <c r="J261">
        <f>SUMIFS($F$1:F260,$A$1:A260,A261)</f>
        <v/>
      </c>
      <c r="K261">
        <f>SUMIFS($I$1:I260,$A$1:A260,A261)</f>
        <v/>
      </c>
      <c r="L261">
        <f>IFERROR(VLOOKUP(A261,Opening!$A:$C,3,0),0)</f>
        <v/>
      </c>
      <c r="M261">
        <f>IF(I261=0,0,MAX(0,MIN(INDEX(Month!H$2:H$13,MATCH($A261,Month!$A$2:$A$13,0))-K261,I261)))</f>
        <v/>
      </c>
      <c r="N261">
        <f>IF(I261=0,0,MAX(0,MIN(INDEX(Month!I$2:I$13,MATCH($A261,Month!$A$2:$A$13,0))-K261,I261)))</f>
        <v/>
      </c>
      <c r="O261">
        <f>IF(I261=0,0,MAX(0,MIN(INDEX(Month!J$2:J$13,MATCH($A261,Month!$A$2:$A$13,0))-K261,I261)))</f>
        <v/>
      </c>
      <c r="P261">
        <f>IF(I261=0,0,(MIN(MAX(K261,0),L261)*W261+SUMPRODUCT((Calc!$A$2:$A$1001=A261)*Calc!$G$2:$G$1001*(((K261-(L261+Calc!$J$2:$J$1001))&gt;0)*((K261-(L261+Calc!$J$2:$J$1001))&lt;Calc!$F$2:$F$1001)*(K261-(L261+Calc!$J$2:$J$1001))+((K261-(L261+Calc!$J$2:$J$1001))&gt;=Calc!$F$2:$F$1001)*Calc!$F$2:$F$1001))))</f>
        <v/>
      </c>
      <c r="Q261">
        <f>IF(I261=0,0,(MIN(MAX((K261+M261),0),L261)*W261+SUMPRODUCT((Calc!$A$2:$A$1001=A261)*Calc!$G$2:$G$1001*((((K261+M261)-(L261+Calc!$J$2:$J$1001))&gt;0)*(((K261+M261)-(L261+Calc!$J$2:$J$1001))&lt;Calc!$F$2:$F$1001)*((K261+M261)-(L261+Calc!$J$2:$J$1001))+(((K261+M261)-(L261+Calc!$J$2:$J$1001))&gt;=Calc!$F$2:$F$1001)*Calc!$F$2:$F$1001))))</f>
        <v/>
      </c>
      <c r="R261">
        <f>IF(I261=0,0,(MIN(MAX((K261+N261),0),L261)*W261+SUMPRODUCT((Calc!$A$2:$A$1001=A261)*Calc!$G$2:$G$1001*((((K261+N261)-(L261+Calc!$J$2:$J$1001))&gt;0)*(((K261+N261)-(L261+Calc!$J$2:$J$1001))&lt;Calc!$F$2:$F$1001)*((K261+N261)-(L261+Calc!$J$2:$J$1001))+(((K261+N261)-(L261+Calc!$J$2:$J$1001))&gt;=Calc!$F$2:$F$1001)*Calc!$F$2:$F$1001))))</f>
        <v/>
      </c>
      <c r="S261">
        <f>IF(I261=0,0,(MIN(MAX((K261+O261),0),L261)*W261+SUMPRODUCT((Calc!$A$2:$A$1001=A261)*Calc!$G$2:$G$1001*((((K261+O261)-(L261+Calc!$J$2:$J$1001))&gt;0)*(((K261+O261)-(L261+Calc!$J$2:$J$1001))&lt;Calc!$F$2:$F$1001)*((K261+O261)-(L261+Calc!$J$2:$J$1001))+(((K261+O261)-(L261+Calc!$J$2:$J$1001))&gt;=Calc!$F$2:$F$1001)*Calc!$F$2:$F$1001))))</f>
        <v/>
      </c>
      <c r="T261">
        <f>IF(AND(E261=1,B261="RETURN"),Transactions!E261*Transactions!G261,0)</f>
        <v/>
      </c>
      <c r="U261">
        <f>IF(AND(E261=1,B261="EXPENSE"),Transactions!J261,0)</f>
        <v/>
      </c>
      <c r="V261">
        <f>IF(AND(Transactions!A261&lt;&gt;"",E261=0),ROW(),"")</f>
        <v/>
      </c>
      <c r="W261">
        <f>IFERROR(VLOOKUP(A261,Opening!$A:$D,4,0),0)</f>
        <v/>
      </c>
    </row>
    <row r="262">
      <c r="A262">
        <f>IF(Transactions!D262="","",UPPER(TRIM(Transactions!D262)))</f>
        <v/>
      </c>
      <c r="B262">
        <f>IF(Transactions!C262="","",UPPER(TRIM(Transactions!C262)))</f>
        <v/>
      </c>
      <c r="C262">
        <f>IF(Transactions!B262="",0,YEAR(Transactions!B262)*100+MONTH(Transactions!B262))</f>
        <v/>
      </c>
      <c r="D262">
        <f>IF(Transactions!A262="",1,IF(COUNTIF(Transactions!$A$1:A261,Transactions!A262)&gt;0,1,0))</f>
        <v/>
      </c>
      <c r="E262">
        <f>IF(D262=1,0,IF(B262="RETURN",IF(COUNTIFS($A$1:A261,A262,$B$1:B261,"SALE",$E$1:E261,1)&gt;0,1,0),1))</f>
        <v/>
      </c>
      <c r="F262">
        <f>IF(E262=1,IF(B262="RECEIPT",Transactions!E262,IF(AND(B262="RETURN",LOWER(TRIM(Transactions!H262))="resellable"),Transactions!E262,0)),0)</f>
        <v/>
      </c>
      <c r="G262">
        <f>IF(F262&gt;0,IF(B262="RECEIPT",Transactions!F262,IF(_xlfn.MAXIFS($H$2:H262,$A$2:A262,A262)&gt;0,INDEX(Transactions!$F:$F,_xlfn.MAXIFS($H$2:H262,$A$2:A262,A262)),W262)),0)</f>
        <v/>
      </c>
      <c r="H262">
        <f>IF(AND(E262=1,B262="RECEIPT"),ROW(),0)</f>
        <v/>
      </c>
      <c r="I262">
        <f>IF(E262=1,IF(OR(B262="SALE",B262="WRITEOFF"),Transactions!E262,0),0)</f>
        <v/>
      </c>
      <c r="J262">
        <f>SUMIFS($F$1:F261,$A$1:A261,A262)</f>
        <v/>
      </c>
      <c r="K262">
        <f>SUMIFS($I$1:I261,$A$1:A261,A262)</f>
        <v/>
      </c>
      <c r="L262">
        <f>IFERROR(VLOOKUP(A262,Opening!$A:$C,3,0),0)</f>
        <v/>
      </c>
      <c r="M262">
        <f>IF(I262=0,0,MAX(0,MIN(INDEX(Month!H$2:H$13,MATCH($A262,Month!$A$2:$A$13,0))-K262,I262)))</f>
        <v/>
      </c>
      <c r="N262">
        <f>IF(I262=0,0,MAX(0,MIN(INDEX(Month!I$2:I$13,MATCH($A262,Month!$A$2:$A$13,0))-K262,I262)))</f>
        <v/>
      </c>
      <c r="O262">
        <f>IF(I262=0,0,MAX(0,MIN(INDEX(Month!J$2:J$13,MATCH($A262,Month!$A$2:$A$13,0))-K262,I262)))</f>
        <v/>
      </c>
      <c r="P262">
        <f>IF(I262=0,0,(MIN(MAX(K262,0),L262)*W262+SUMPRODUCT((Calc!$A$2:$A$1001=A262)*Calc!$G$2:$G$1001*(((K262-(L262+Calc!$J$2:$J$1001))&gt;0)*((K262-(L262+Calc!$J$2:$J$1001))&lt;Calc!$F$2:$F$1001)*(K262-(L262+Calc!$J$2:$J$1001))+((K262-(L262+Calc!$J$2:$J$1001))&gt;=Calc!$F$2:$F$1001)*Calc!$F$2:$F$1001))))</f>
        <v/>
      </c>
      <c r="Q262">
        <f>IF(I262=0,0,(MIN(MAX((K262+M262),0),L262)*W262+SUMPRODUCT((Calc!$A$2:$A$1001=A262)*Calc!$G$2:$G$1001*((((K262+M262)-(L262+Calc!$J$2:$J$1001))&gt;0)*(((K262+M262)-(L262+Calc!$J$2:$J$1001))&lt;Calc!$F$2:$F$1001)*((K262+M262)-(L262+Calc!$J$2:$J$1001))+(((K262+M262)-(L262+Calc!$J$2:$J$1001))&gt;=Calc!$F$2:$F$1001)*Calc!$F$2:$F$1001))))</f>
        <v/>
      </c>
      <c r="R262">
        <f>IF(I262=0,0,(MIN(MAX((K262+N262),0),L262)*W262+SUMPRODUCT((Calc!$A$2:$A$1001=A262)*Calc!$G$2:$G$1001*((((K262+N262)-(L262+Calc!$J$2:$J$1001))&gt;0)*(((K262+N262)-(L262+Calc!$J$2:$J$1001))&lt;Calc!$F$2:$F$1001)*((K262+N262)-(L262+Calc!$J$2:$J$1001))+(((K262+N262)-(L262+Calc!$J$2:$J$1001))&gt;=Calc!$F$2:$F$1001)*Calc!$F$2:$F$1001))))</f>
        <v/>
      </c>
      <c r="S262">
        <f>IF(I262=0,0,(MIN(MAX((K262+O262),0),L262)*W262+SUMPRODUCT((Calc!$A$2:$A$1001=A262)*Calc!$G$2:$G$1001*((((K262+O262)-(L262+Calc!$J$2:$J$1001))&gt;0)*(((K262+O262)-(L262+Calc!$J$2:$J$1001))&lt;Calc!$F$2:$F$1001)*((K262+O262)-(L262+Calc!$J$2:$J$1001))+(((K262+O262)-(L262+Calc!$J$2:$J$1001))&gt;=Calc!$F$2:$F$1001)*Calc!$F$2:$F$1001))))</f>
        <v/>
      </c>
      <c r="T262">
        <f>IF(AND(E262=1,B262="RETURN"),Transactions!E262*Transactions!G262,0)</f>
        <v/>
      </c>
      <c r="U262">
        <f>IF(AND(E262=1,B262="EXPENSE"),Transactions!J262,0)</f>
        <v/>
      </c>
      <c r="V262">
        <f>IF(AND(Transactions!A262&lt;&gt;"",E262=0),ROW(),"")</f>
        <v/>
      </c>
      <c r="W262">
        <f>IFERROR(VLOOKUP(A262,Opening!$A:$D,4,0),0)</f>
        <v/>
      </c>
    </row>
    <row r="263">
      <c r="A263">
        <f>IF(Transactions!D263="","",UPPER(TRIM(Transactions!D263)))</f>
        <v/>
      </c>
      <c r="B263">
        <f>IF(Transactions!C263="","",UPPER(TRIM(Transactions!C263)))</f>
        <v/>
      </c>
      <c r="C263">
        <f>IF(Transactions!B263="",0,YEAR(Transactions!B263)*100+MONTH(Transactions!B263))</f>
        <v/>
      </c>
      <c r="D263">
        <f>IF(Transactions!A263="",1,IF(COUNTIF(Transactions!$A$1:A262,Transactions!A263)&gt;0,1,0))</f>
        <v/>
      </c>
      <c r="E263">
        <f>IF(D263=1,0,IF(B263="RETURN",IF(COUNTIFS($A$1:A262,A263,$B$1:B262,"SALE",$E$1:E262,1)&gt;0,1,0),1))</f>
        <v/>
      </c>
      <c r="F263">
        <f>IF(E263=1,IF(B263="RECEIPT",Transactions!E263,IF(AND(B263="RETURN",LOWER(TRIM(Transactions!H263))="resellable"),Transactions!E263,0)),0)</f>
        <v/>
      </c>
      <c r="G263">
        <f>IF(F263&gt;0,IF(B263="RECEIPT",Transactions!F263,IF(_xlfn.MAXIFS($H$2:H263,$A$2:A263,A263)&gt;0,INDEX(Transactions!$F:$F,_xlfn.MAXIFS($H$2:H263,$A$2:A263,A263)),W263)),0)</f>
        <v/>
      </c>
      <c r="H263">
        <f>IF(AND(E263=1,B263="RECEIPT"),ROW(),0)</f>
        <v/>
      </c>
      <c r="I263">
        <f>IF(E263=1,IF(OR(B263="SALE",B263="WRITEOFF"),Transactions!E263,0),0)</f>
        <v/>
      </c>
      <c r="J263">
        <f>SUMIFS($F$1:F262,$A$1:A262,A263)</f>
        <v/>
      </c>
      <c r="K263">
        <f>SUMIFS($I$1:I262,$A$1:A262,A263)</f>
        <v/>
      </c>
      <c r="L263">
        <f>IFERROR(VLOOKUP(A263,Opening!$A:$C,3,0),0)</f>
        <v/>
      </c>
      <c r="M263">
        <f>IF(I263=0,0,MAX(0,MIN(INDEX(Month!H$2:H$13,MATCH($A263,Month!$A$2:$A$13,0))-K263,I263)))</f>
        <v/>
      </c>
      <c r="N263">
        <f>IF(I263=0,0,MAX(0,MIN(INDEX(Month!I$2:I$13,MATCH($A263,Month!$A$2:$A$13,0))-K263,I263)))</f>
        <v/>
      </c>
      <c r="O263">
        <f>IF(I263=0,0,MAX(0,MIN(INDEX(Month!J$2:J$13,MATCH($A263,Month!$A$2:$A$13,0))-K263,I263)))</f>
        <v/>
      </c>
      <c r="P263">
        <f>IF(I263=0,0,(MIN(MAX(K263,0),L263)*W263+SUMPRODUCT((Calc!$A$2:$A$1001=A263)*Calc!$G$2:$G$1001*(((K263-(L263+Calc!$J$2:$J$1001))&gt;0)*((K263-(L263+Calc!$J$2:$J$1001))&lt;Calc!$F$2:$F$1001)*(K263-(L263+Calc!$J$2:$J$1001))+((K263-(L263+Calc!$J$2:$J$1001))&gt;=Calc!$F$2:$F$1001)*Calc!$F$2:$F$1001))))</f>
        <v/>
      </c>
      <c r="Q263">
        <f>IF(I263=0,0,(MIN(MAX((K263+M263),0),L263)*W263+SUMPRODUCT((Calc!$A$2:$A$1001=A263)*Calc!$G$2:$G$1001*((((K263+M263)-(L263+Calc!$J$2:$J$1001))&gt;0)*(((K263+M263)-(L263+Calc!$J$2:$J$1001))&lt;Calc!$F$2:$F$1001)*((K263+M263)-(L263+Calc!$J$2:$J$1001))+(((K263+M263)-(L263+Calc!$J$2:$J$1001))&gt;=Calc!$F$2:$F$1001)*Calc!$F$2:$F$1001))))</f>
        <v/>
      </c>
      <c r="R263">
        <f>IF(I263=0,0,(MIN(MAX((K263+N263),0),L263)*W263+SUMPRODUCT((Calc!$A$2:$A$1001=A263)*Calc!$G$2:$G$1001*((((K263+N263)-(L263+Calc!$J$2:$J$1001))&gt;0)*(((K263+N263)-(L263+Calc!$J$2:$J$1001))&lt;Calc!$F$2:$F$1001)*((K263+N263)-(L263+Calc!$J$2:$J$1001))+(((K263+N263)-(L263+Calc!$J$2:$J$1001))&gt;=Calc!$F$2:$F$1001)*Calc!$F$2:$F$1001))))</f>
        <v/>
      </c>
      <c r="S263">
        <f>IF(I263=0,0,(MIN(MAX((K263+O263),0),L263)*W263+SUMPRODUCT((Calc!$A$2:$A$1001=A263)*Calc!$G$2:$G$1001*((((K263+O263)-(L263+Calc!$J$2:$J$1001))&gt;0)*(((K263+O263)-(L263+Calc!$J$2:$J$1001))&lt;Calc!$F$2:$F$1001)*((K263+O263)-(L263+Calc!$J$2:$J$1001))+(((K263+O263)-(L263+Calc!$J$2:$J$1001))&gt;=Calc!$F$2:$F$1001)*Calc!$F$2:$F$1001))))</f>
        <v/>
      </c>
      <c r="T263">
        <f>IF(AND(E263=1,B263="RETURN"),Transactions!E263*Transactions!G263,0)</f>
        <v/>
      </c>
      <c r="U263">
        <f>IF(AND(E263=1,B263="EXPENSE"),Transactions!J263,0)</f>
        <v/>
      </c>
      <c r="V263">
        <f>IF(AND(Transactions!A263&lt;&gt;"",E263=0),ROW(),"")</f>
        <v/>
      </c>
      <c r="W263">
        <f>IFERROR(VLOOKUP(A263,Opening!$A:$D,4,0),0)</f>
        <v/>
      </c>
    </row>
    <row r="264">
      <c r="A264">
        <f>IF(Transactions!D264="","",UPPER(TRIM(Transactions!D264)))</f>
        <v/>
      </c>
      <c r="B264">
        <f>IF(Transactions!C264="","",UPPER(TRIM(Transactions!C264)))</f>
        <v/>
      </c>
      <c r="C264">
        <f>IF(Transactions!B264="",0,YEAR(Transactions!B264)*100+MONTH(Transactions!B264))</f>
        <v/>
      </c>
      <c r="D264">
        <f>IF(Transactions!A264="",1,IF(COUNTIF(Transactions!$A$1:A263,Transactions!A264)&gt;0,1,0))</f>
        <v/>
      </c>
      <c r="E264">
        <f>IF(D264=1,0,IF(B264="RETURN",IF(COUNTIFS($A$1:A263,A264,$B$1:B263,"SALE",$E$1:E263,1)&gt;0,1,0),1))</f>
        <v/>
      </c>
      <c r="F264">
        <f>IF(E264=1,IF(B264="RECEIPT",Transactions!E264,IF(AND(B264="RETURN",LOWER(TRIM(Transactions!H264))="resellable"),Transactions!E264,0)),0)</f>
        <v/>
      </c>
      <c r="G264">
        <f>IF(F264&gt;0,IF(B264="RECEIPT",Transactions!F264,IF(_xlfn.MAXIFS($H$2:H264,$A$2:A264,A264)&gt;0,INDEX(Transactions!$F:$F,_xlfn.MAXIFS($H$2:H264,$A$2:A264,A264)),W264)),0)</f>
        <v/>
      </c>
      <c r="H264">
        <f>IF(AND(E264=1,B264="RECEIPT"),ROW(),0)</f>
        <v/>
      </c>
      <c r="I264">
        <f>IF(E264=1,IF(OR(B264="SALE",B264="WRITEOFF"),Transactions!E264,0),0)</f>
        <v/>
      </c>
      <c r="J264">
        <f>SUMIFS($F$1:F263,$A$1:A263,A264)</f>
        <v/>
      </c>
      <c r="K264">
        <f>SUMIFS($I$1:I263,$A$1:A263,A264)</f>
        <v/>
      </c>
      <c r="L264">
        <f>IFERROR(VLOOKUP(A264,Opening!$A:$C,3,0),0)</f>
        <v/>
      </c>
      <c r="M264">
        <f>IF(I264=0,0,MAX(0,MIN(INDEX(Month!H$2:H$13,MATCH($A264,Month!$A$2:$A$13,0))-K264,I264)))</f>
        <v/>
      </c>
      <c r="N264">
        <f>IF(I264=0,0,MAX(0,MIN(INDEX(Month!I$2:I$13,MATCH($A264,Month!$A$2:$A$13,0))-K264,I264)))</f>
        <v/>
      </c>
      <c r="O264">
        <f>IF(I264=0,0,MAX(0,MIN(INDEX(Month!J$2:J$13,MATCH($A264,Month!$A$2:$A$13,0))-K264,I264)))</f>
        <v/>
      </c>
      <c r="P264">
        <f>IF(I264=0,0,(MIN(MAX(K264,0),L264)*W264+SUMPRODUCT((Calc!$A$2:$A$1001=A264)*Calc!$G$2:$G$1001*(((K264-(L264+Calc!$J$2:$J$1001))&gt;0)*((K264-(L264+Calc!$J$2:$J$1001))&lt;Calc!$F$2:$F$1001)*(K264-(L264+Calc!$J$2:$J$1001))+((K264-(L264+Calc!$J$2:$J$1001))&gt;=Calc!$F$2:$F$1001)*Calc!$F$2:$F$1001))))</f>
        <v/>
      </c>
      <c r="Q264">
        <f>IF(I264=0,0,(MIN(MAX((K264+M264),0),L264)*W264+SUMPRODUCT((Calc!$A$2:$A$1001=A264)*Calc!$G$2:$G$1001*((((K264+M264)-(L264+Calc!$J$2:$J$1001))&gt;0)*(((K264+M264)-(L264+Calc!$J$2:$J$1001))&lt;Calc!$F$2:$F$1001)*((K264+M264)-(L264+Calc!$J$2:$J$1001))+(((K264+M264)-(L264+Calc!$J$2:$J$1001))&gt;=Calc!$F$2:$F$1001)*Calc!$F$2:$F$1001))))</f>
        <v/>
      </c>
      <c r="R264">
        <f>IF(I264=0,0,(MIN(MAX((K264+N264),0),L264)*W264+SUMPRODUCT((Calc!$A$2:$A$1001=A264)*Calc!$G$2:$G$1001*((((K264+N264)-(L264+Calc!$J$2:$J$1001))&gt;0)*(((K264+N264)-(L264+Calc!$J$2:$J$1001))&lt;Calc!$F$2:$F$1001)*((K264+N264)-(L264+Calc!$J$2:$J$1001))+(((K264+N264)-(L264+Calc!$J$2:$J$1001))&gt;=Calc!$F$2:$F$1001)*Calc!$F$2:$F$1001))))</f>
        <v/>
      </c>
      <c r="S264">
        <f>IF(I264=0,0,(MIN(MAX((K264+O264),0),L264)*W264+SUMPRODUCT((Calc!$A$2:$A$1001=A264)*Calc!$G$2:$G$1001*((((K264+O264)-(L264+Calc!$J$2:$J$1001))&gt;0)*(((K264+O264)-(L264+Calc!$J$2:$J$1001))&lt;Calc!$F$2:$F$1001)*((K264+O264)-(L264+Calc!$J$2:$J$1001))+(((K264+O264)-(L264+Calc!$J$2:$J$1001))&gt;=Calc!$F$2:$F$1001)*Calc!$F$2:$F$1001))))</f>
        <v/>
      </c>
      <c r="T264">
        <f>IF(AND(E264=1,B264="RETURN"),Transactions!E264*Transactions!G264,0)</f>
        <v/>
      </c>
      <c r="U264">
        <f>IF(AND(E264=1,B264="EXPENSE"),Transactions!J264,0)</f>
        <v/>
      </c>
      <c r="V264">
        <f>IF(AND(Transactions!A264&lt;&gt;"",E264=0),ROW(),"")</f>
        <v/>
      </c>
      <c r="W264">
        <f>IFERROR(VLOOKUP(A264,Opening!$A:$D,4,0),0)</f>
        <v/>
      </c>
    </row>
    <row r="265">
      <c r="A265">
        <f>IF(Transactions!D265="","",UPPER(TRIM(Transactions!D265)))</f>
        <v/>
      </c>
      <c r="B265">
        <f>IF(Transactions!C265="","",UPPER(TRIM(Transactions!C265)))</f>
        <v/>
      </c>
      <c r="C265">
        <f>IF(Transactions!B265="",0,YEAR(Transactions!B265)*100+MONTH(Transactions!B265))</f>
        <v/>
      </c>
      <c r="D265">
        <f>IF(Transactions!A265="",1,IF(COUNTIF(Transactions!$A$1:A264,Transactions!A265)&gt;0,1,0))</f>
        <v/>
      </c>
      <c r="E265">
        <f>IF(D265=1,0,IF(B265="RETURN",IF(COUNTIFS($A$1:A264,A265,$B$1:B264,"SALE",$E$1:E264,1)&gt;0,1,0),1))</f>
        <v/>
      </c>
      <c r="F265">
        <f>IF(E265=1,IF(B265="RECEIPT",Transactions!E265,IF(AND(B265="RETURN",LOWER(TRIM(Transactions!H265))="resellable"),Transactions!E265,0)),0)</f>
        <v/>
      </c>
      <c r="G265">
        <f>IF(F265&gt;0,IF(B265="RECEIPT",Transactions!F265,IF(_xlfn.MAXIFS($H$2:H265,$A$2:A265,A265)&gt;0,INDEX(Transactions!$F:$F,_xlfn.MAXIFS($H$2:H265,$A$2:A265,A265)),W265)),0)</f>
        <v/>
      </c>
      <c r="H265">
        <f>IF(AND(E265=1,B265="RECEIPT"),ROW(),0)</f>
        <v/>
      </c>
      <c r="I265">
        <f>IF(E265=1,IF(OR(B265="SALE",B265="WRITEOFF"),Transactions!E265,0),0)</f>
        <v/>
      </c>
      <c r="J265">
        <f>SUMIFS($F$1:F264,$A$1:A264,A265)</f>
        <v/>
      </c>
      <c r="K265">
        <f>SUMIFS($I$1:I264,$A$1:A264,A265)</f>
        <v/>
      </c>
      <c r="L265">
        <f>IFERROR(VLOOKUP(A265,Opening!$A:$C,3,0),0)</f>
        <v/>
      </c>
      <c r="M265">
        <f>IF(I265=0,0,MAX(0,MIN(INDEX(Month!H$2:H$13,MATCH($A265,Month!$A$2:$A$13,0))-K265,I265)))</f>
        <v/>
      </c>
      <c r="N265">
        <f>IF(I265=0,0,MAX(0,MIN(INDEX(Month!I$2:I$13,MATCH($A265,Month!$A$2:$A$13,0))-K265,I265)))</f>
        <v/>
      </c>
      <c r="O265">
        <f>IF(I265=0,0,MAX(0,MIN(INDEX(Month!J$2:J$13,MATCH($A265,Month!$A$2:$A$13,0))-K265,I265)))</f>
        <v/>
      </c>
      <c r="P265">
        <f>IF(I265=0,0,(MIN(MAX(K265,0),L265)*W265+SUMPRODUCT((Calc!$A$2:$A$1001=A265)*Calc!$G$2:$G$1001*(((K265-(L265+Calc!$J$2:$J$1001))&gt;0)*((K265-(L265+Calc!$J$2:$J$1001))&lt;Calc!$F$2:$F$1001)*(K265-(L265+Calc!$J$2:$J$1001))+((K265-(L265+Calc!$J$2:$J$1001))&gt;=Calc!$F$2:$F$1001)*Calc!$F$2:$F$1001))))</f>
        <v/>
      </c>
      <c r="Q265">
        <f>IF(I265=0,0,(MIN(MAX((K265+M265),0),L265)*W265+SUMPRODUCT((Calc!$A$2:$A$1001=A265)*Calc!$G$2:$G$1001*((((K265+M265)-(L265+Calc!$J$2:$J$1001))&gt;0)*(((K265+M265)-(L265+Calc!$J$2:$J$1001))&lt;Calc!$F$2:$F$1001)*((K265+M265)-(L265+Calc!$J$2:$J$1001))+(((K265+M265)-(L265+Calc!$J$2:$J$1001))&gt;=Calc!$F$2:$F$1001)*Calc!$F$2:$F$1001))))</f>
        <v/>
      </c>
      <c r="R265">
        <f>IF(I265=0,0,(MIN(MAX((K265+N265),0),L265)*W265+SUMPRODUCT((Calc!$A$2:$A$1001=A265)*Calc!$G$2:$G$1001*((((K265+N265)-(L265+Calc!$J$2:$J$1001))&gt;0)*(((K265+N265)-(L265+Calc!$J$2:$J$1001))&lt;Calc!$F$2:$F$1001)*((K265+N265)-(L265+Calc!$J$2:$J$1001))+(((K265+N265)-(L265+Calc!$J$2:$J$1001))&gt;=Calc!$F$2:$F$1001)*Calc!$F$2:$F$1001))))</f>
        <v/>
      </c>
      <c r="S265">
        <f>IF(I265=0,0,(MIN(MAX((K265+O265),0),L265)*W265+SUMPRODUCT((Calc!$A$2:$A$1001=A265)*Calc!$G$2:$G$1001*((((K265+O265)-(L265+Calc!$J$2:$J$1001))&gt;0)*(((K265+O265)-(L265+Calc!$J$2:$J$1001))&lt;Calc!$F$2:$F$1001)*((K265+O265)-(L265+Calc!$J$2:$J$1001))+(((K265+O265)-(L265+Calc!$J$2:$J$1001))&gt;=Calc!$F$2:$F$1001)*Calc!$F$2:$F$1001))))</f>
        <v/>
      </c>
      <c r="T265">
        <f>IF(AND(E265=1,B265="RETURN"),Transactions!E265*Transactions!G265,0)</f>
        <v/>
      </c>
      <c r="U265">
        <f>IF(AND(E265=1,B265="EXPENSE"),Transactions!J265,0)</f>
        <v/>
      </c>
      <c r="V265">
        <f>IF(AND(Transactions!A265&lt;&gt;"",E265=0),ROW(),"")</f>
        <v/>
      </c>
      <c r="W265">
        <f>IFERROR(VLOOKUP(A265,Opening!$A:$D,4,0),0)</f>
        <v/>
      </c>
    </row>
    <row r="266">
      <c r="A266">
        <f>IF(Transactions!D266="","",UPPER(TRIM(Transactions!D266)))</f>
        <v/>
      </c>
      <c r="B266">
        <f>IF(Transactions!C266="","",UPPER(TRIM(Transactions!C266)))</f>
        <v/>
      </c>
      <c r="C266">
        <f>IF(Transactions!B266="",0,YEAR(Transactions!B266)*100+MONTH(Transactions!B266))</f>
        <v/>
      </c>
      <c r="D266">
        <f>IF(Transactions!A266="",1,IF(COUNTIF(Transactions!$A$1:A265,Transactions!A266)&gt;0,1,0))</f>
        <v/>
      </c>
      <c r="E266">
        <f>IF(D266=1,0,IF(B266="RETURN",IF(COUNTIFS($A$1:A265,A266,$B$1:B265,"SALE",$E$1:E265,1)&gt;0,1,0),1))</f>
        <v/>
      </c>
      <c r="F266">
        <f>IF(E266=1,IF(B266="RECEIPT",Transactions!E266,IF(AND(B266="RETURN",LOWER(TRIM(Transactions!H266))="resellable"),Transactions!E266,0)),0)</f>
        <v/>
      </c>
      <c r="G266">
        <f>IF(F266&gt;0,IF(B266="RECEIPT",Transactions!F266,IF(_xlfn.MAXIFS($H$2:H266,$A$2:A266,A266)&gt;0,INDEX(Transactions!$F:$F,_xlfn.MAXIFS($H$2:H266,$A$2:A266,A266)),W266)),0)</f>
        <v/>
      </c>
      <c r="H266">
        <f>IF(AND(E266=1,B266="RECEIPT"),ROW(),0)</f>
        <v/>
      </c>
      <c r="I266">
        <f>IF(E266=1,IF(OR(B266="SALE",B266="WRITEOFF"),Transactions!E266,0),0)</f>
        <v/>
      </c>
      <c r="J266">
        <f>SUMIFS($F$1:F265,$A$1:A265,A266)</f>
        <v/>
      </c>
      <c r="K266">
        <f>SUMIFS($I$1:I265,$A$1:A265,A266)</f>
        <v/>
      </c>
      <c r="L266">
        <f>IFERROR(VLOOKUP(A266,Opening!$A:$C,3,0),0)</f>
        <v/>
      </c>
      <c r="M266">
        <f>IF(I266=0,0,MAX(0,MIN(INDEX(Month!H$2:H$13,MATCH($A266,Month!$A$2:$A$13,0))-K266,I266)))</f>
        <v/>
      </c>
      <c r="N266">
        <f>IF(I266=0,0,MAX(0,MIN(INDEX(Month!I$2:I$13,MATCH($A266,Month!$A$2:$A$13,0))-K266,I266)))</f>
        <v/>
      </c>
      <c r="O266">
        <f>IF(I266=0,0,MAX(0,MIN(INDEX(Month!J$2:J$13,MATCH($A266,Month!$A$2:$A$13,0))-K266,I266)))</f>
        <v/>
      </c>
      <c r="P266">
        <f>IF(I266=0,0,(MIN(MAX(K266,0),L266)*W266+SUMPRODUCT((Calc!$A$2:$A$1001=A266)*Calc!$G$2:$G$1001*(((K266-(L266+Calc!$J$2:$J$1001))&gt;0)*((K266-(L266+Calc!$J$2:$J$1001))&lt;Calc!$F$2:$F$1001)*(K266-(L266+Calc!$J$2:$J$1001))+((K266-(L266+Calc!$J$2:$J$1001))&gt;=Calc!$F$2:$F$1001)*Calc!$F$2:$F$1001))))</f>
        <v/>
      </c>
      <c r="Q266">
        <f>IF(I266=0,0,(MIN(MAX((K266+M266),0),L266)*W266+SUMPRODUCT((Calc!$A$2:$A$1001=A266)*Calc!$G$2:$G$1001*((((K266+M266)-(L266+Calc!$J$2:$J$1001))&gt;0)*(((K266+M266)-(L266+Calc!$J$2:$J$1001))&lt;Calc!$F$2:$F$1001)*((K266+M266)-(L266+Calc!$J$2:$J$1001))+(((K266+M266)-(L266+Calc!$J$2:$J$1001))&gt;=Calc!$F$2:$F$1001)*Calc!$F$2:$F$1001))))</f>
        <v/>
      </c>
      <c r="R266">
        <f>IF(I266=0,0,(MIN(MAX((K266+N266),0),L266)*W266+SUMPRODUCT((Calc!$A$2:$A$1001=A266)*Calc!$G$2:$G$1001*((((K266+N266)-(L266+Calc!$J$2:$J$1001))&gt;0)*(((K266+N266)-(L266+Calc!$J$2:$J$1001))&lt;Calc!$F$2:$F$1001)*((K266+N266)-(L266+Calc!$J$2:$J$1001))+(((K266+N266)-(L266+Calc!$J$2:$J$1001))&gt;=Calc!$F$2:$F$1001)*Calc!$F$2:$F$1001))))</f>
        <v/>
      </c>
      <c r="S266">
        <f>IF(I266=0,0,(MIN(MAX((K266+O266),0),L266)*W266+SUMPRODUCT((Calc!$A$2:$A$1001=A266)*Calc!$G$2:$G$1001*((((K266+O266)-(L266+Calc!$J$2:$J$1001))&gt;0)*(((K266+O266)-(L266+Calc!$J$2:$J$1001))&lt;Calc!$F$2:$F$1001)*((K266+O266)-(L266+Calc!$J$2:$J$1001))+(((K266+O266)-(L266+Calc!$J$2:$J$1001))&gt;=Calc!$F$2:$F$1001)*Calc!$F$2:$F$1001))))</f>
        <v/>
      </c>
      <c r="T266">
        <f>IF(AND(E266=1,B266="RETURN"),Transactions!E266*Transactions!G266,0)</f>
        <v/>
      </c>
      <c r="U266">
        <f>IF(AND(E266=1,B266="EXPENSE"),Transactions!J266,0)</f>
        <v/>
      </c>
      <c r="V266">
        <f>IF(AND(Transactions!A266&lt;&gt;"",E266=0),ROW(),"")</f>
        <v/>
      </c>
      <c r="W266">
        <f>IFERROR(VLOOKUP(A266,Opening!$A:$D,4,0),0)</f>
        <v/>
      </c>
    </row>
    <row r="267">
      <c r="A267">
        <f>IF(Transactions!D267="","",UPPER(TRIM(Transactions!D267)))</f>
        <v/>
      </c>
      <c r="B267">
        <f>IF(Transactions!C267="","",UPPER(TRIM(Transactions!C267)))</f>
        <v/>
      </c>
      <c r="C267">
        <f>IF(Transactions!B267="",0,YEAR(Transactions!B267)*100+MONTH(Transactions!B267))</f>
        <v/>
      </c>
      <c r="D267">
        <f>IF(Transactions!A267="",1,IF(COUNTIF(Transactions!$A$1:A266,Transactions!A267)&gt;0,1,0))</f>
        <v/>
      </c>
      <c r="E267">
        <f>IF(D267=1,0,IF(B267="RETURN",IF(COUNTIFS($A$1:A266,A267,$B$1:B266,"SALE",$E$1:E266,1)&gt;0,1,0),1))</f>
        <v/>
      </c>
      <c r="F267">
        <f>IF(E267=1,IF(B267="RECEIPT",Transactions!E267,IF(AND(B267="RETURN",LOWER(TRIM(Transactions!H267))="resellable"),Transactions!E267,0)),0)</f>
        <v/>
      </c>
      <c r="G267">
        <f>IF(F267&gt;0,IF(B267="RECEIPT",Transactions!F267,IF(_xlfn.MAXIFS($H$2:H267,$A$2:A267,A267)&gt;0,INDEX(Transactions!$F:$F,_xlfn.MAXIFS($H$2:H267,$A$2:A267,A267)),W267)),0)</f>
        <v/>
      </c>
      <c r="H267">
        <f>IF(AND(E267=1,B267="RECEIPT"),ROW(),0)</f>
        <v/>
      </c>
      <c r="I267">
        <f>IF(E267=1,IF(OR(B267="SALE",B267="WRITEOFF"),Transactions!E267,0),0)</f>
        <v/>
      </c>
      <c r="J267">
        <f>SUMIFS($F$1:F266,$A$1:A266,A267)</f>
        <v/>
      </c>
      <c r="K267">
        <f>SUMIFS($I$1:I266,$A$1:A266,A267)</f>
        <v/>
      </c>
      <c r="L267">
        <f>IFERROR(VLOOKUP(A267,Opening!$A:$C,3,0),0)</f>
        <v/>
      </c>
      <c r="M267">
        <f>IF(I267=0,0,MAX(0,MIN(INDEX(Month!H$2:H$13,MATCH($A267,Month!$A$2:$A$13,0))-K267,I267)))</f>
        <v/>
      </c>
      <c r="N267">
        <f>IF(I267=0,0,MAX(0,MIN(INDEX(Month!I$2:I$13,MATCH($A267,Month!$A$2:$A$13,0))-K267,I267)))</f>
        <v/>
      </c>
      <c r="O267">
        <f>IF(I267=0,0,MAX(0,MIN(INDEX(Month!J$2:J$13,MATCH($A267,Month!$A$2:$A$13,0))-K267,I267)))</f>
        <v/>
      </c>
      <c r="P267">
        <f>IF(I267=0,0,(MIN(MAX(K267,0),L267)*W267+SUMPRODUCT((Calc!$A$2:$A$1001=A267)*Calc!$G$2:$G$1001*(((K267-(L267+Calc!$J$2:$J$1001))&gt;0)*((K267-(L267+Calc!$J$2:$J$1001))&lt;Calc!$F$2:$F$1001)*(K267-(L267+Calc!$J$2:$J$1001))+((K267-(L267+Calc!$J$2:$J$1001))&gt;=Calc!$F$2:$F$1001)*Calc!$F$2:$F$1001))))</f>
        <v/>
      </c>
      <c r="Q267">
        <f>IF(I267=0,0,(MIN(MAX((K267+M267),0),L267)*W267+SUMPRODUCT((Calc!$A$2:$A$1001=A267)*Calc!$G$2:$G$1001*((((K267+M267)-(L267+Calc!$J$2:$J$1001))&gt;0)*(((K267+M267)-(L267+Calc!$J$2:$J$1001))&lt;Calc!$F$2:$F$1001)*((K267+M267)-(L267+Calc!$J$2:$J$1001))+(((K267+M267)-(L267+Calc!$J$2:$J$1001))&gt;=Calc!$F$2:$F$1001)*Calc!$F$2:$F$1001))))</f>
        <v/>
      </c>
      <c r="R267">
        <f>IF(I267=0,0,(MIN(MAX((K267+N267),0),L267)*W267+SUMPRODUCT((Calc!$A$2:$A$1001=A267)*Calc!$G$2:$G$1001*((((K267+N267)-(L267+Calc!$J$2:$J$1001))&gt;0)*(((K267+N267)-(L267+Calc!$J$2:$J$1001))&lt;Calc!$F$2:$F$1001)*((K267+N267)-(L267+Calc!$J$2:$J$1001))+(((K267+N267)-(L267+Calc!$J$2:$J$1001))&gt;=Calc!$F$2:$F$1001)*Calc!$F$2:$F$1001))))</f>
        <v/>
      </c>
      <c r="S267">
        <f>IF(I267=0,0,(MIN(MAX((K267+O267),0),L267)*W267+SUMPRODUCT((Calc!$A$2:$A$1001=A267)*Calc!$G$2:$G$1001*((((K267+O267)-(L267+Calc!$J$2:$J$1001))&gt;0)*(((K267+O267)-(L267+Calc!$J$2:$J$1001))&lt;Calc!$F$2:$F$1001)*((K267+O267)-(L267+Calc!$J$2:$J$1001))+(((K267+O267)-(L267+Calc!$J$2:$J$1001))&gt;=Calc!$F$2:$F$1001)*Calc!$F$2:$F$1001))))</f>
        <v/>
      </c>
      <c r="T267">
        <f>IF(AND(E267=1,B267="RETURN"),Transactions!E267*Transactions!G267,0)</f>
        <v/>
      </c>
      <c r="U267">
        <f>IF(AND(E267=1,B267="EXPENSE"),Transactions!J267,0)</f>
        <v/>
      </c>
      <c r="V267">
        <f>IF(AND(Transactions!A267&lt;&gt;"",E267=0),ROW(),"")</f>
        <v/>
      </c>
      <c r="W267">
        <f>IFERROR(VLOOKUP(A267,Opening!$A:$D,4,0),0)</f>
        <v/>
      </c>
    </row>
    <row r="268">
      <c r="A268">
        <f>IF(Transactions!D268="","",UPPER(TRIM(Transactions!D268)))</f>
        <v/>
      </c>
      <c r="B268">
        <f>IF(Transactions!C268="","",UPPER(TRIM(Transactions!C268)))</f>
        <v/>
      </c>
      <c r="C268">
        <f>IF(Transactions!B268="",0,YEAR(Transactions!B268)*100+MONTH(Transactions!B268))</f>
        <v/>
      </c>
      <c r="D268">
        <f>IF(Transactions!A268="",1,IF(COUNTIF(Transactions!$A$1:A267,Transactions!A268)&gt;0,1,0))</f>
        <v/>
      </c>
      <c r="E268">
        <f>IF(D268=1,0,IF(B268="RETURN",IF(COUNTIFS($A$1:A267,A268,$B$1:B267,"SALE",$E$1:E267,1)&gt;0,1,0),1))</f>
        <v/>
      </c>
      <c r="F268">
        <f>IF(E268=1,IF(B268="RECEIPT",Transactions!E268,IF(AND(B268="RETURN",LOWER(TRIM(Transactions!H268))="resellable"),Transactions!E268,0)),0)</f>
        <v/>
      </c>
      <c r="G268">
        <f>IF(F268&gt;0,IF(B268="RECEIPT",Transactions!F268,IF(_xlfn.MAXIFS($H$2:H268,$A$2:A268,A268)&gt;0,INDEX(Transactions!$F:$F,_xlfn.MAXIFS($H$2:H268,$A$2:A268,A268)),W268)),0)</f>
        <v/>
      </c>
      <c r="H268">
        <f>IF(AND(E268=1,B268="RECEIPT"),ROW(),0)</f>
        <v/>
      </c>
      <c r="I268">
        <f>IF(E268=1,IF(OR(B268="SALE",B268="WRITEOFF"),Transactions!E268,0),0)</f>
        <v/>
      </c>
      <c r="J268">
        <f>SUMIFS($F$1:F267,$A$1:A267,A268)</f>
        <v/>
      </c>
      <c r="K268">
        <f>SUMIFS($I$1:I267,$A$1:A267,A268)</f>
        <v/>
      </c>
      <c r="L268">
        <f>IFERROR(VLOOKUP(A268,Opening!$A:$C,3,0),0)</f>
        <v/>
      </c>
      <c r="M268">
        <f>IF(I268=0,0,MAX(0,MIN(INDEX(Month!H$2:H$13,MATCH($A268,Month!$A$2:$A$13,0))-K268,I268)))</f>
        <v/>
      </c>
      <c r="N268">
        <f>IF(I268=0,0,MAX(0,MIN(INDEX(Month!I$2:I$13,MATCH($A268,Month!$A$2:$A$13,0))-K268,I268)))</f>
        <v/>
      </c>
      <c r="O268">
        <f>IF(I268=0,0,MAX(0,MIN(INDEX(Month!J$2:J$13,MATCH($A268,Month!$A$2:$A$13,0))-K268,I268)))</f>
        <v/>
      </c>
      <c r="P268">
        <f>IF(I268=0,0,(MIN(MAX(K268,0),L268)*W268+SUMPRODUCT((Calc!$A$2:$A$1001=A268)*Calc!$G$2:$G$1001*(((K268-(L268+Calc!$J$2:$J$1001))&gt;0)*((K268-(L268+Calc!$J$2:$J$1001))&lt;Calc!$F$2:$F$1001)*(K268-(L268+Calc!$J$2:$J$1001))+((K268-(L268+Calc!$J$2:$J$1001))&gt;=Calc!$F$2:$F$1001)*Calc!$F$2:$F$1001))))</f>
        <v/>
      </c>
      <c r="Q268">
        <f>IF(I268=0,0,(MIN(MAX((K268+M268),0),L268)*W268+SUMPRODUCT((Calc!$A$2:$A$1001=A268)*Calc!$G$2:$G$1001*((((K268+M268)-(L268+Calc!$J$2:$J$1001))&gt;0)*(((K268+M268)-(L268+Calc!$J$2:$J$1001))&lt;Calc!$F$2:$F$1001)*((K268+M268)-(L268+Calc!$J$2:$J$1001))+(((K268+M268)-(L268+Calc!$J$2:$J$1001))&gt;=Calc!$F$2:$F$1001)*Calc!$F$2:$F$1001))))</f>
        <v/>
      </c>
      <c r="R268">
        <f>IF(I268=0,0,(MIN(MAX((K268+N268),0),L268)*W268+SUMPRODUCT((Calc!$A$2:$A$1001=A268)*Calc!$G$2:$G$1001*((((K268+N268)-(L268+Calc!$J$2:$J$1001))&gt;0)*(((K268+N268)-(L268+Calc!$J$2:$J$1001))&lt;Calc!$F$2:$F$1001)*((K268+N268)-(L268+Calc!$J$2:$J$1001))+(((K268+N268)-(L268+Calc!$J$2:$J$1001))&gt;=Calc!$F$2:$F$1001)*Calc!$F$2:$F$1001))))</f>
        <v/>
      </c>
      <c r="S268">
        <f>IF(I268=0,0,(MIN(MAX((K268+O268),0),L268)*W268+SUMPRODUCT((Calc!$A$2:$A$1001=A268)*Calc!$G$2:$G$1001*((((K268+O268)-(L268+Calc!$J$2:$J$1001))&gt;0)*(((K268+O268)-(L268+Calc!$J$2:$J$1001))&lt;Calc!$F$2:$F$1001)*((K268+O268)-(L268+Calc!$J$2:$J$1001))+(((K268+O268)-(L268+Calc!$J$2:$J$1001))&gt;=Calc!$F$2:$F$1001)*Calc!$F$2:$F$1001))))</f>
        <v/>
      </c>
      <c r="T268">
        <f>IF(AND(E268=1,B268="RETURN"),Transactions!E268*Transactions!G268,0)</f>
        <v/>
      </c>
      <c r="U268">
        <f>IF(AND(E268=1,B268="EXPENSE"),Transactions!J268,0)</f>
        <v/>
      </c>
      <c r="V268">
        <f>IF(AND(Transactions!A268&lt;&gt;"",E268=0),ROW(),"")</f>
        <v/>
      </c>
      <c r="W268">
        <f>IFERROR(VLOOKUP(A268,Opening!$A:$D,4,0),0)</f>
        <v/>
      </c>
    </row>
    <row r="269">
      <c r="A269">
        <f>IF(Transactions!D269="","",UPPER(TRIM(Transactions!D269)))</f>
        <v/>
      </c>
      <c r="B269">
        <f>IF(Transactions!C269="","",UPPER(TRIM(Transactions!C269)))</f>
        <v/>
      </c>
      <c r="C269">
        <f>IF(Transactions!B269="",0,YEAR(Transactions!B269)*100+MONTH(Transactions!B269))</f>
        <v/>
      </c>
      <c r="D269">
        <f>IF(Transactions!A269="",1,IF(COUNTIF(Transactions!$A$1:A268,Transactions!A269)&gt;0,1,0))</f>
        <v/>
      </c>
      <c r="E269">
        <f>IF(D269=1,0,IF(B269="RETURN",IF(COUNTIFS($A$1:A268,A269,$B$1:B268,"SALE",$E$1:E268,1)&gt;0,1,0),1))</f>
        <v/>
      </c>
      <c r="F269">
        <f>IF(E269=1,IF(B269="RECEIPT",Transactions!E269,IF(AND(B269="RETURN",LOWER(TRIM(Transactions!H269))="resellable"),Transactions!E269,0)),0)</f>
        <v/>
      </c>
      <c r="G269">
        <f>IF(F269&gt;0,IF(B269="RECEIPT",Transactions!F269,IF(_xlfn.MAXIFS($H$2:H269,$A$2:A269,A269)&gt;0,INDEX(Transactions!$F:$F,_xlfn.MAXIFS($H$2:H269,$A$2:A269,A269)),W269)),0)</f>
        <v/>
      </c>
      <c r="H269">
        <f>IF(AND(E269=1,B269="RECEIPT"),ROW(),0)</f>
        <v/>
      </c>
      <c r="I269">
        <f>IF(E269=1,IF(OR(B269="SALE",B269="WRITEOFF"),Transactions!E269,0),0)</f>
        <v/>
      </c>
      <c r="J269">
        <f>SUMIFS($F$1:F268,$A$1:A268,A269)</f>
        <v/>
      </c>
      <c r="K269">
        <f>SUMIFS($I$1:I268,$A$1:A268,A269)</f>
        <v/>
      </c>
      <c r="L269">
        <f>IFERROR(VLOOKUP(A269,Opening!$A:$C,3,0),0)</f>
        <v/>
      </c>
      <c r="M269">
        <f>IF(I269=0,0,MAX(0,MIN(INDEX(Month!H$2:H$13,MATCH($A269,Month!$A$2:$A$13,0))-K269,I269)))</f>
        <v/>
      </c>
      <c r="N269">
        <f>IF(I269=0,0,MAX(0,MIN(INDEX(Month!I$2:I$13,MATCH($A269,Month!$A$2:$A$13,0))-K269,I269)))</f>
        <v/>
      </c>
      <c r="O269">
        <f>IF(I269=0,0,MAX(0,MIN(INDEX(Month!J$2:J$13,MATCH($A269,Month!$A$2:$A$13,0))-K269,I269)))</f>
        <v/>
      </c>
      <c r="P269">
        <f>IF(I269=0,0,(MIN(MAX(K269,0),L269)*W269+SUMPRODUCT((Calc!$A$2:$A$1001=A269)*Calc!$G$2:$G$1001*(((K269-(L269+Calc!$J$2:$J$1001))&gt;0)*((K269-(L269+Calc!$J$2:$J$1001))&lt;Calc!$F$2:$F$1001)*(K269-(L269+Calc!$J$2:$J$1001))+((K269-(L269+Calc!$J$2:$J$1001))&gt;=Calc!$F$2:$F$1001)*Calc!$F$2:$F$1001))))</f>
        <v/>
      </c>
      <c r="Q269">
        <f>IF(I269=0,0,(MIN(MAX((K269+M269),0),L269)*W269+SUMPRODUCT((Calc!$A$2:$A$1001=A269)*Calc!$G$2:$G$1001*((((K269+M269)-(L269+Calc!$J$2:$J$1001))&gt;0)*(((K269+M269)-(L269+Calc!$J$2:$J$1001))&lt;Calc!$F$2:$F$1001)*((K269+M269)-(L269+Calc!$J$2:$J$1001))+(((K269+M269)-(L269+Calc!$J$2:$J$1001))&gt;=Calc!$F$2:$F$1001)*Calc!$F$2:$F$1001))))</f>
        <v/>
      </c>
      <c r="R269">
        <f>IF(I269=0,0,(MIN(MAX((K269+N269),0),L269)*W269+SUMPRODUCT((Calc!$A$2:$A$1001=A269)*Calc!$G$2:$G$1001*((((K269+N269)-(L269+Calc!$J$2:$J$1001))&gt;0)*(((K269+N269)-(L269+Calc!$J$2:$J$1001))&lt;Calc!$F$2:$F$1001)*((K269+N269)-(L269+Calc!$J$2:$J$1001))+(((K269+N269)-(L269+Calc!$J$2:$J$1001))&gt;=Calc!$F$2:$F$1001)*Calc!$F$2:$F$1001))))</f>
        <v/>
      </c>
      <c r="S269">
        <f>IF(I269=0,0,(MIN(MAX((K269+O269),0),L269)*W269+SUMPRODUCT((Calc!$A$2:$A$1001=A269)*Calc!$G$2:$G$1001*((((K269+O269)-(L269+Calc!$J$2:$J$1001))&gt;0)*(((K269+O269)-(L269+Calc!$J$2:$J$1001))&lt;Calc!$F$2:$F$1001)*((K269+O269)-(L269+Calc!$J$2:$J$1001))+(((K269+O269)-(L269+Calc!$J$2:$J$1001))&gt;=Calc!$F$2:$F$1001)*Calc!$F$2:$F$1001))))</f>
        <v/>
      </c>
      <c r="T269">
        <f>IF(AND(E269=1,B269="RETURN"),Transactions!E269*Transactions!G269,0)</f>
        <v/>
      </c>
      <c r="U269">
        <f>IF(AND(E269=1,B269="EXPENSE"),Transactions!J269,0)</f>
        <v/>
      </c>
      <c r="V269">
        <f>IF(AND(Transactions!A269&lt;&gt;"",E269=0),ROW(),"")</f>
        <v/>
      </c>
      <c r="W269">
        <f>IFERROR(VLOOKUP(A269,Opening!$A:$D,4,0),0)</f>
        <v/>
      </c>
    </row>
    <row r="270">
      <c r="A270">
        <f>IF(Transactions!D270="","",UPPER(TRIM(Transactions!D270)))</f>
        <v/>
      </c>
      <c r="B270">
        <f>IF(Transactions!C270="","",UPPER(TRIM(Transactions!C270)))</f>
        <v/>
      </c>
      <c r="C270">
        <f>IF(Transactions!B270="",0,YEAR(Transactions!B270)*100+MONTH(Transactions!B270))</f>
        <v/>
      </c>
      <c r="D270">
        <f>IF(Transactions!A270="",1,IF(COUNTIF(Transactions!$A$1:A269,Transactions!A270)&gt;0,1,0))</f>
        <v/>
      </c>
      <c r="E270">
        <f>IF(D270=1,0,IF(B270="RETURN",IF(COUNTIFS($A$1:A269,A270,$B$1:B269,"SALE",$E$1:E269,1)&gt;0,1,0),1))</f>
        <v/>
      </c>
      <c r="F270">
        <f>IF(E270=1,IF(B270="RECEIPT",Transactions!E270,IF(AND(B270="RETURN",LOWER(TRIM(Transactions!H270))="resellable"),Transactions!E270,0)),0)</f>
        <v/>
      </c>
      <c r="G270">
        <f>IF(F270&gt;0,IF(B270="RECEIPT",Transactions!F270,IF(_xlfn.MAXIFS($H$2:H270,$A$2:A270,A270)&gt;0,INDEX(Transactions!$F:$F,_xlfn.MAXIFS($H$2:H270,$A$2:A270,A270)),W270)),0)</f>
        <v/>
      </c>
      <c r="H270">
        <f>IF(AND(E270=1,B270="RECEIPT"),ROW(),0)</f>
        <v/>
      </c>
      <c r="I270">
        <f>IF(E270=1,IF(OR(B270="SALE",B270="WRITEOFF"),Transactions!E270,0),0)</f>
        <v/>
      </c>
      <c r="J270">
        <f>SUMIFS($F$1:F269,$A$1:A269,A270)</f>
        <v/>
      </c>
      <c r="K270">
        <f>SUMIFS($I$1:I269,$A$1:A269,A270)</f>
        <v/>
      </c>
      <c r="L270">
        <f>IFERROR(VLOOKUP(A270,Opening!$A:$C,3,0),0)</f>
        <v/>
      </c>
      <c r="M270">
        <f>IF(I270=0,0,MAX(0,MIN(INDEX(Month!H$2:H$13,MATCH($A270,Month!$A$2:$A$13,0))-K270,I270)))</f>
        <v/>
      </c>
      <c r="N270">
        <f>IF(I270=0,0,MAX(0,MIN(INDEX(Month!I$2:I$13,MATCH($A270,Month!$A$2:$A$13,0))-K270,I270)))</f>
        <v/>
      </c>
      <c r="O270">
        <f>IF(I270=0,0,MAX(0,MIN(INDEX(Month!J$2:J$13,MATCH($A270,Month!$A$2:$A$13,0))-K270,I270)))</f>
        <v/>
      </c>
      <c r="P270">
        <f>IF(I270=0,0,(MIN(MAX(K270,0),L270)*W270+SUMPRODUCT((Calc!$A$2:$A$1001=A270)*Calc!$G$2:$G$1001*(((K270-(L270+Calc!$J$2:$J$1001))&gt;0)*((K270-(L270+Calc!$J$2:$J$1001))&lt;Calc!$F$2:$F$1001)*(K270-(L270+Calc!$J$2:$J$1001))+((K270-(L270+Calc!$J$2:$J$1001))&gt;=Calc!$F$2:$F$1001)*Calc!$F$2:$F$1001))))</f>
        <v/>
      </c>
      <c r="Q270">
        <f>IF(I270=0,0,(MIN(MAX((K270+M270),0),L270)*W270+SUMPRODUCT((Calc!$A$2:$A$1001=A270)*Calc!$G$2:$G$1001*((((K270+M270)-(L270+Calc!$J$2:$J$1001))&gt;0)*(((K270+M270)-(L270+Calc!$J$2:$J$1001))&lt;Calc!$F$2:$F$1001)*((K270+M270)-(L270+Calc!$J$2:$J$1001))+(((K270+M270)-(L270+Calc!$J$2:$J$1001))&gt;=Calc!$F$2:$F$1001)*Calc!$F$2:$F$1001))))</f>
        <v/>
      </c>
      <c r="R270">
        <f>IF(I270=0,0,(MIN(MAX((K270+N270),0),L270)*W270+SUMPRODUCT((Calc!$A$2:$A$1001=A270)*Calc!$G$2:$G$1001*((((K270+N270)-(L270+Calc!$J$2:$J$1001))&gt;0)*(((K270+N270)-(L270+Calc!$J$2:$J$1001))&lt;Calc!$F$2:$F$1001)*((K270+N270)-(L270+Calc!$J$2:$J$1001))+(((K270+N270)-(L270+Calc!$J$2:$J$1001))&gt;=Calc!$F$2:$F$1001)*Calc!$F$2:$F$1001))))</f>
        <v/>
      </c>
      <c r="S270">
        <f>IF(I270=0,0,(MIN(MAX((K270+O270),0),L270)*W270+SUMPRODUCT((Calc!$A$2:$A$1001=A270)*Calc!$G$2:$G$1001*((((K270+O270)-(L270+Calc!$J$2:$J$1001))&gt;0)*(((K270+O270)-(L270+Calc!$J$2:$J$1001))&lt;Calc!$F$2:$F$1001)*((K270+O270)-(L270+Calc!$J$2:$J$1001))+(((K270+O270)-(L270+Calc!$J$2:$J$1001))&gt;=Calc!$F$2:$F$1001)*Calc!$F$2:$F$1001))))</f>
        <v/>
      </c>
      <c r="T270">
        <f>IF(AND(E270=1,B270="RETURN"),Transactions!E270*Transactions!G270,0)</f>
        <v/>
      </c>
      <c r="U270">
        <f>IF(AND(E270=1,B270="EXPENSE"),Transactions!J270,0)</f>
        <v/>
      </c>
      <c r="V270">
        <f>IF(AND(Transactions!A270&lt;&gt;"",E270=0),ROW(),"")</f>
        <v/>
      </c>
      <c r="W270">
        <f>IFERROR(VLOOKUP(A270,Opening!$A:$D,4,0),0)</f>
        <v/>
      </c>
    </row>
    <row r="271">
      <c r="A271">
        <f>IF(Transactions!D271="","",UPPER(TRIM(Transactions!D271)))</f>
        <v/>
      </c>
      <c r="B271">
        <f>IF(Transactions!C271="","",UPPER(TRIM(Transactions!C271)))</f>
        <v/>
      </c>
      <c r="C271">
        <f>IF(Transactions!B271="",0,YEAR(Transactions!B271)*100+MONTH(Transactions!B271))</f>
        <v/>
      </c>
      <c r="D271">
        <f>IF(Transactions!A271="",1,IF(COUNTIF(Transactions!$A$1:A270,Transactions!A271)&gt;0,1,0))</f>
        <v/>
      </c>
      <c r="E271">
        <f>IF(D271=1,0,IF(B271="RETURN",IF(COUNTIFS($A$1:A270,A271,$B$1:B270,"SALE",$E$1:E270,1)&gt;0,1,0),1))</f>
        <v/>
      </c>
      <c r="F271">
        <f>IF(E271=1,IF(B271="RECEIPT",Transactions!E271,IF(AND(B271="RETURN",LOWER(TRIM(Transactions!H271))="resellable"),Transactions!E271,0)),0)</f>
        <v/>
      </c>
      <c r="G271">
        <f>IF(F271&gt;0,IF(B271="RECEIPT",Transactions!F271,IF(_xlfn.MAXIFS($H$2:H271,$A$2:A271,A271)&gt;0,INDEX(Transactions!$F:$F,_xlfn.MAXIFS($H$2:H271,$A$2:A271,A271)),W271)),0)</f>
        <v/>
      </c>
      <c r="H271">
        <f>IF(AND(E271=1,B271="RECEIPT"),ROW(),0)</f>
        <v/>
      </c>
      <c r="I271">
        <f>IF(E271=1,IF(OR(B271="SALE",B271="WRITEOFF"),Transactions!E271,0),0)</f>
        <v/>
      </c>
      <c r="J271">
        <f>SUMIFS($F$1:F270,$A$1:A270,A271)</f>
        <v/>
      </c>
      <c r="K271">
        <f>SUMIFS($I$1:I270,$A$1:A270,A271)</f>
        <v/>
      </c>
      <c r="L271">
        <f>IFERROR(VLOOKUP(A271,Opening!$A:$C,3,0),0)</f>
        <v/>
      </c>
      <c r="M271">
        <f>IF(I271=0,0,MAX(0,MIN(INDEX(Month!H$2:H$13,MATCH($A271,Month!$A$2:$A$13,0))-K271,I271)))</f>
        <v/>
      </c>
      <c r="N271">
        <f>IF(I271=0,0,MAX(0,MIN(INDEX(Month!I$2:I$13,MATCH($A271,Month!$A$2:$A$13,0))-K271,I271)))</f>
        <v/>
      </c>
      <c r="O271">
        <f>IF(I271=0,0,MAX(0,MIN(INDEX(Month!J$2:J$13,MATCH($A271,Month!$A$2:$A$13,0))-K271,I271)))</f>
        <v/>
      </c>
      <c r="P271">
        <f>IF(I271=0,0,(MIN(MAX(K271,0),L271)*W271+SUMPRODUCT((Calc!$A$2:$A$1001=A271)*Calc!$G$2:$G$1001*(((K271-(L271+Calc!$J$2:$J$1001))&gt;0)*((K271-(L271+Calc!$J$2:$J$1001))&lt;Calc!$F$2:$F$1001)*(K271-(L271+Calc!$J$2:$J$1001))+((K271-(L271+Calc!$J$2:$J$1001))&gt;=Calc!$F$2:$F$1001)*Calc!$F$2:$F$1001))))</f>
        <v/>
      </c>
      <c r="Q271">
        <f>IF(I271=0,0,(MIN(MAX((K271+M271),0),L271)*W271+SUMPRODUCT((Calc!$A$2:$A$1001=A271)*Calc!$G$2:$G$1001*((((K271+M271)-(L271+Calc!$J$2:$J$1001))&gt;0)*(((K271+M271)-(L271+Calc!$J$2:$J$1001))&lt;Calc!$F$2:$F$1001)*((K271+M271)-(L271+Calc!$J$2:$J$1001))+(((K271+M271)-(L271+Calc!$J$2:$J$1001))&gt;=Calc!$F$2:$F$1001)*Calc!$F$2:$F$1001))))</f>
        <v/>
      </c>
      <c r="R271">
        <f>IF(I271=0,0,(MIN(MAX((K271+N271),0),L271)*W271+SUMPRODUCT((Calc!$A$2:$A$1001=A271)*Calc!$G$2:$G$1001*((((K271+N271)-(L271+Calc!$J$2:$J$1001))&gt;0)*(((K271+N271)-(L271+Calc!$J$2:$J$1001))&lt;Calc!$F$2:$F$1001)*((K271+N271)-(L271+Calc!$J$2:$J$1001))+(((K271+N271)-(L271+Calc!$J$2:$J$1001))&gt;=Calc!$F$2:$F$1001)*Calc!$F$2:$F$1001))))</f>
        <v/>
      </c>
      <c r="S271">
        <f>IF(I271=0,0,(MIN(MAX((K271+O271),0),L271)*W271+SUMPRODUCT((Calc!$A$2:$A$1001=A271)*Calc!$G$2:$G$1001*((((K271+O271)-(L271+Calc!$J$2:$J$1001))&gt;0)*(((K271+O271)-(L271+Calc!$J$2:$J$1001))&lt;Calc!$F$2:$F$1001)*((K271+O271)-(L271+Calc!$J$2:$J$1001))+(((K271+O271)-(L271+Calc!$J$2:$J$1001))&gt;=Calc!$F$2:$F$1001)*Calc!$F$2:$F$1001))))</f>
        <v/>
      </c>
      <c r="T271">
        <f>IF(AND(E271=1,B271="RETURN"),Transactions!E271*Transactions!G271,0)</f>
        <v/>
      </c>
      <c r="U271">
        <f>IF(AND(E271=1,B271="EXPENSE"),Transactions!J271,0)</f>
        <v/>
      </c>
      <c r="V271">
        <f>IF(AND(Transactions!A271&lt;&gt;"",E271=0),ROW(),"")</f>
        <v/>
      </c>
      <c r="W271">
        <f>IFERROR(VLOOKUP(A271,Opening!$A:$D,4,0),0)</f>
        <v/>
      </c>
    </row>
    <row r="272">
      <c r="A272">
        <f>IF(Transactions!D272="","",UPPER(TRIM(Transactions!D272)))</f>
        <v/>
      </c>
      <c r="B272">
        <f>IF(Transactions!C272="","",UPPER(TRIM(Transactions!C272)))</f>
        <v/>
      </c>
      <c r="C272">
        <f>IF(Transactions!B272="",0,YEAR(Transactions!B272)*100+MONTH(Transactions!B272))</f>
        <v/>
      </c>
      <c r="D272">
        <f>IF(Transactions!A272="",1,IF(COUNTIF(Transactions!$A$1:A271,Transactions!A272)&gt;0,1,0))</f>
        <v/>
      </c>
      <c r="E272">
        <f>IF(D272=1,0,IF(B272="RETURN",IF(COUNTIFS($A$1:A271,A272,$B$1:B271,"SALE",$E$1:E271,1)&gt;0,1,0),1))</f>
        <v/>
      </c>
      <c r="F272">
        <f>IF(E272=1,IF(B272="RECEIPT",Transactions!E272,IF(AND(B272="RETURN",LOWER(TRIM(Transactions!H272))="resellable"),Transactions!E272,0)),0)</f>
        <v/>
      </c>
      <c r="G272">
        <f>IF(F272&gt;0,IF(B272="RECEIPT",Transactions!F272,IF(_xlfn.MAXIFS($H$2:H272,$A$2:A272,A272)&gt;0,INDEX(Transactions!$F:$F,_xlfn.MAXIFS($H$2:H272,$A$2:A272,A272)),W272)),0)</f>
        <v/>
      </c>
      <c r="H272">
        <f>IF(AND(E272=1,B272="RECEIPT"),ROW(),0)</f>
        <v/>
      </c>
      <c r="I272">
        <f>IF(E272=1,IF(OR(B272="SALE",B272="WRITEOFF"),Transactions!E272,0),0)</f>
        <v/>
      </c>
      <c r="J272">
        <f>SUMIFS($F$1:F271,$A$1:A271,A272)</f>
        <v/>
      </c>
      <c r="K272">
        <f>SUMIFS($I$1:I271,$A$1:A271,A272)</f>
        <v/>
      </c>
      <c r="L272">
        <f>IFERROR(VLOOKUP(A272,Opening!$A:$C,3,0),0)</f>
        <v/>
      </c>
      <c r="M272">
        <f>IF(I272=0,0,MAX(0,MIN(INDEX(Month!H$2:H$13,MATCH($A272,Month!$A$2:$A$13,0))-K272,I272)))</f>
        <v/>
      </c>
      <c r="N272">
        <f>IF(I272=0,0,MAX(0,MIN(INDEX(Month!I$2:I$13,MATCH($A272,Month!$A$2:$A$13,0))-K272,I272)))</f>
        <v/>
      </c>
      <c r="O272">
        <f>IF(I272=0,0,MAX(0,MIN(INDEX(Month!J$2:J$13,MATCH($A272,Month!$A$2:$A$13,0))-K272,I272)))</f>
        <v/>
      </c>
      <c r="P272">
        <f>IF(I272=0,0,(MIN(MAX(K272,0),L272)*W272+SUMPRODUCT((Calc!$A$2:$A$1001=A272)*Calc!$G$2:$G$1001*(((K272-(L272+Calc!$J$2:$J$1001))&gt;0)*((K272-(L272+Calc!$J$2:$J$1001))&lt;Calc!$F$2:$F$1001)*(K272-(L272+Calc!$J$2:$J$1001))+((K272-(L272+Calc!$J$2:$J$1001))&gt;=Calc!$F$2:$F$1001)*Calc!$F$2:$F$1001))))</f>
        <v/>
      </c>
      <c r="Q272">
        <f>IF(I272=0,0,(MIN(MAX((K272+M272),0),L272)*W272+SUMPRODUCT((Calc!$A$2:$A$1001=A272)*Calc!$G$2:$G$1001*((((K272+M272)-(L272+Calc!$J$2:$J$1001))&gt;0)*(((K272+M272)-(L272+Calc!$J$2:$J$1001))&lt;Calc!$F$2:$F$1001)*((K272+M272)-(L272+Calc!$J$2:$J$1001))+(((K272+M272)-(L272+Calc!$J$2:$J$1001))&gt;=Calc!$F$2:$F$1001)*Calc!$F$2:$F$1001))))</f>
        <v/>
      </c>
      <c r="R272">
        <f>IF(I272=0,0,(MIN(MAX((K272+N272),0),L272)*W272+SUMPRODUCT((Calc!$A$2:$A$1001=A272)*Calc!$G$2:$G$1001*((((K272+N272)-(L272+Calc!$J$2:$J$1001))&gt;0)*(((K272+N272)-(L272+Calc!$J$2:$J$1001))&lt;Calc!$F$2:$F$1001)*((K272+N272)-(L272+Calc!$J$2:$J$1001))+(((K272+N272)-(L272+Calc!$J$2:$J$1001))&gt;=Calc!$F$2:$F$1001)*Calc!$F$2:$F$1001))))</f>
        <v/>
      </c>
      <c r="S272">
        <f>IF(I272=0,0,(MIN(MAX((K272+O272),0),L272)*W272+SUMPRODUCT((Calc!$A$2:$A$1001=A272)*Calc!$G$2:$G$1001*((((K272+O272)-(L272+Calc!$J$2:$J$1001))&gt;0)*(((K272+O272)-(L272+Calc!$J$2:$J$1001))&lt;Calc!$F$2:$F$1001)*((K272+O272)-(L272+Calc!$J$2:$J$1001))+(((K272+O272)-(L272+Calc!$J$2:$J$1001))&gt;=Calc!$F$2:$F$1001)*Calc!$F$2:$F$1001))))</f>
        <v/>
      </c>
      <c r="T272">
        <f>IF(AND(E272=1,B272="RETURN"),Transactions!E272*Transactions!G272,0)</f>
        <v/>
      </c>
      <c r="U272">
        <f>IF(AND(E272=1,B272="EXPENSE"),Transactions!J272,0)</f>
        <v/>
      </c>
      <c r="V272">
        <f>IF(AND(Transactions!A272&lt;&gt;"",E272=0),ROW(),"")</f>
        <v/>
      </c>
      <c r="W272">
        <f>IFERROR(VLOOKUP(A272,Opening!$A:$D,4,0),0)</f>
        <v/>
      </c>
    </row>
    <row r="273">
      <c r="A273">
        <f>IF(Transactions!D273="","",UPPER(TRIM(Transactions!D273)))</f>
        <v/>
      </c>
      <c r="B273">
        <f>IF(Transactions!C273="","",UPPER(TRIM(Transactions!C273)))</f>
        <v/>
      </c>
      <c r="C273">
        <f>IF(Transactions!B273="",0,YEAR(Transactions!B273)*100+MONTH(Transactions!B273))</f>
        <v/>
      </c>
      <c r="D273">
        <f>IF(Transactions!A273="",1,IF(COUNTIF(Transactions!$A$1:A272,Transactions!A273)&gt;0,1,0))</f>
        <v/>
      </c>
      <c r="E273">
        <f>IF(D273=1,0,IF(B273="RETURN",IF(COUNTIFS($A$1:A272,A273,$B$1:B272,"SALE",$E$1:E272,1)&gt;0,1,0),1))</f>
        <v/>
      </c>
      <c r="F273">
        <f>IF(E273=1,IF(B273="RECEIPT",Transactions!E273,IF(AND(B273="RETURN",LOWER(TRIM(Transactions!H273))="resellable"),Transactions!E273,0)),0)</f>
        <v/>
      </c>
      <c r="G273">
        <f>IF(F273&gt;0,IF(B273="RECEIPT",Transactions!F273,IF(_xlfn.MAXIFS($H$2:H273,$A$2:A273,A273)&gt;0,INDEX(Transactions!$F:$F,_xlfn.MAXIFS($H$2:H273,$A$2:A273,A273)),W273)),0)</f>
        <v/>
      </c>
      <c r="H273">
        <f>IF(AND(E273=1,B273="RECEIPT"),ROW(),0)</f>
        <v/>
      </c>
      <c r="I273">
        <f>IF(E273=1,IF(OR(B273="SALE",B273="WRITEOFF"),Transactions!E273,0),0)</f>
        <v/>
      </c>
      <c r="J273">
        <f>SUMIFS($F$1:F272,$A$1:A272,A273)</f>
        <v/>
      </c>
      <c r="K273">
        <f>SUMIFS($I$1:I272,$A$1:A272,A273)</f>
        <v/>
      </c>
      <c r="L273">
        <f>IFERROR(VLOOKUP(A273,Opening!$A:$C,3,0),0)</f>
        <v/>
      </c>
      <c r="M273">
        <f>IF(I273=0,0,MAX(0,MIN(INDEX(Month!H$2:H$13,MATCH($A273,Month!$A$2:$A$13,0))-K273,I273)))</f>
        <v/>
      </c>
      <c r="N273">
        <f>IF(I273=0,0,MAX(0,MIN(INDEX(Month!I$2:I$13,MATCH($A273,Month!$A$2:$A$13,0))-K273,I273)))</f>
        <v/>
      </c>
      <c r="O273">
        <f>IF(I273=0,0,MAX(0,MIN(INDEX(Month!J$2:J$13,MATCH($A273,Month!$A$2:$A$13,0))-K273,I273)))</f>
        <v/>
      </c>
      <c r="P273">
        <f>IF(I273=0,0,(MIN(MAX(K273,0),L273)*W273+SUMPRODUCT((Calc!$A$2:$A$1001=A273)*Calc!$G$2:$G$1001*(((K273-(L273+Calc!$J$2:$J$1001))&gt;0)*((K273-(L273+Calc!$J$2:$J$1001))&lt;Calc!$F$2:$F$1001)*(K273-(L273+Calc!$J$2:$J$1001))+((K273-(L273+Calc!$J$2:$J$1001))&gt;=Calc!$F$2:$F$1001)*Calc!$F$2:$F$1001))))</f>
        <v/>
      </c>
      <c r="Q273">
        <f>IF(I273=0,0,(MIN(MAX((K273+M273),0),L273)*W273+SUMPRODUCT((Calc!$A$2:$A$1001=A273)*Calc!$G$2:$G$1001*((((K273+M273)-(L273+Calc!$J$2:$J$1001))&gt;0)*(((K273+M273)-(L273+Calc!$J$2:$J$1001))&lt;Calc!$F$2:$F$1001)*((K273+M273)-(L273+Calc!$J$2:$J$1001))+(((K273+M273)-(L273+Calc!$J$2:$J$1001))&gt;=Calc!$F$2:$F$1001)*Calc!$F$2:$F$1001))))</f>
        <v/>
      </c>
      <c r="R273">
        <f>IF(I273=0,0,(MIN(MAX((K273+N273),0),L273)*W273+SUMPRODUCT((Calc!$A$2:$A$1001=A273)*Calc!$G$2:$G$1001*((((K273+N273)-(L273+Calc!$J$2:$J$1001))&gt;0)*(((K273+N273)-(L273+Calc!$J$2:$J$1001))&lt;Calc!$F$2:$F$1001)*((K273+N273)-(L273+Calc!$J$2:$J$1001))+(((K273+N273)-(L273+Calc!$J$2:$J$1001))&gt;=Calc!$F$2:$F$1001)*Calc!$F$2:$F$1001))))</f>
        <v/>
      </c>
      <c r="S273">
        <f>IF(I273=0,0,(MIN(MAX((K273+O273),0),L273)*W273+SUMPRODUCT((Calc!$A$2:$A$1001=A273)*Calc!$G$2:$G$1001*((((K273+O273)-(L273+Calc!$J$2:$J$1001))&gt;0)*(((K273+O273)-(L273+Calc!$J$2:$J$1001))&lt;Calc!$F$2:$F$1001)*((K273+O273)-(L273+Calc!$J$2:$J$1001))+(((K273+O273)-(L273+Calc!$J$2:$J$1001))&gt;=Calc!$F$2:$F$1001)*Calc!$F$2:$F$1001))))</f>
        <v/>
      </c>
      <c r="T273">
        <f>IF(AND(E273=1,B273="RETURN"),Transactions!E273*Transactions!G273,0)</f>
        <v/>
      </c>
      <c r="U273">
        <f>IF(AND(E273=1,B273="EXPENSE"),Transactions!J273,0)</f>
        <v/>
      </c>
      <c r="V273">
        <f>IF(AND(Transactions!A273&lt;&gt;"",E273=0),ROW(),"")</f>
        <v/>
      </c>
      <c r="W273">
        <f>IFERROR(VLOOKUP(A273,Opening!$A:$D,4,0),0)</f>
        <v/>
      </c>
    </row>
    <row r="274">
      <c r="A274">
        <f>IF(Transactions!D274="","",UPPER(TRIM(Transactions!D274)))</f>
        <v/>
      </c>
      <c r="B274">
        <f>IF(Transactions!C274="","",UPPER(TRIM(Transactions!C274)))</f>
        <v/>
      </c>
      <c r="C274">
        <f>IF(Transactions!B274="",0,YEAR(Transactions!B274)*100+MONTH(Transactions!B274))</f>
        <v/>
      </c>
      <c r="D274">
        <f>IF(Transactions!A274="",1,IF(COUNTIF(Transactions!$A$1:A273,Transactions!A274)&gt;0,1,0))</f>
        <v/>
      </c>
      <c r="E274">
        <f>IF(D274=1,0,IF(B274="RETURN",IF(COUNTIFS($A$1:A273,A274,$B$1:B273,"SALE",$E$1:E273,1)&gt;0,1,0),1))</f>
        <v/>
      </c>
      <c r="F274">
        <f>IF(E274=1,IF(B274="RECEIPT",Transactions!E274,IF(AND(B274="RETURN",LOWER(TRIM(Transactions!H274))="resellable"),Transactions!E274,0)),0)</f>
        <v/>
      </c>
      <c r="G274">
        <f>IF(F274&gt;0,IF(B274="RECEIPT",Transactions!F274,IF(_xlfn.MAXIFS($H$2:H274,$A$2:A274,A274)&gt;0,INDEX(Transactions!$F:$F,_xlfn.MAXIFS($H$2:H274,$A$2:A274,A274)),W274)),0)</f>
        <v/>
      </c>
      <c r="H274">
        <f>IF(AND(E274=1,B274="RECEIPT"),ROW(),0)</f>
        <v/>
      </c>
      <c r="I274">
        <f>IF(E274=1,IF(OR(B274="SALE",B274="WRITEOFF"),Transactions!E274,0),0)</f>
        <v/>
      </c>
      <c r="J274">
        <f>SUMIFS($F$1:F273,$A$1:A273,A274)</f>
        <v/>
      </c>
      <c r="K274">
        <f>SUMIFS($I$1:I273,$A$1:A273,A274)</f>
        <v/>
      </c>
      <c r="L274">
        <f>IFERROR(VLOOKUP(A274,Opening!$A:$C,3,0),0)</f>
        <v/>
      </c>
      <c r="M274">
        <f>IF(I274=0,0,MAX(0,MIN(INDEX(Month!H$2:H$13,MATCH($A274,Month!$A$2:$A$13,0))-K274,I274)))</f>
        <v/>
      </c>
      <c r="N274">
        <f>IF(I274=0,0,MAX(0,MIN(INDEX(Month!I$2:I$13,MATCH($A274,Month!$A$2:$A$13,0))-K274,I274)))</f>
        <v/>
      </c>
      <c r="O274">
        <f>IF(I274=0,0,MAX(0,MIN(INDEX(Month!J$2:J$13,MATCH($A274,Month!$A$2:$A$13,0))-K274,I274)))</f>
        <v/>
      </c>
      <c r="P274">
        <f>IF(I274=0,0,(MIN(MAX(K274,0),L274)*W274+SUMPRODUCT((Calc!$A$2:$A$1001=A274)*Calc!$G$2:$G$1001*(((K274-(L274+Calc!$J$2:$J$1001))&gt;0)*((K274-(L274+Calc!$J$2:$J$1001))&lt;Calc!$F$2:$F$1001)*(K274-(L274+Calc!$J$2:$J$1001))+((K274-(L274+Calc!$J$2:$J$1001))&gt;=Calc!$F$2:$F$1001)*Calc!$F$2:$F$1001))))</f>
        <v/>
      </c>
      <c r="Q274">
        <f>IF(I274=0,0,(MIN(MAX((K274+M274),0),L274)*W274+SUMPRODUCT((Calc!$A$2:$A$1001=A274)*Calc!$G$2:$G$1001*((((K274+M274)-(L274+Calc!$J$2:$J$1001))&gt;0)*(((K274+M274)-(L274+Calc!$J$2:$J$1001))&lt;Calc!$F$2:$F$1001)*((K274+M274)-(L274+Calc!$J$2:$J$1001))+(((K274+M274)-(L274+Calc!$J$2:$J$1001))&gt;=Calc!$F$2:$F$1001)*Calc!$F$2:$F$1001))))</f>
        <v/>
      </c>
      <c r="R274">
        <f>IF(I274=0,0,(MIN(MAX((K274+N274),0),L274)*W274+SUMPRODUCT((Calc!$A$2:$A$1001=A274)*Calc!$G$2:$G$1001*((((K274+N274)-(L274+Calc!$J$2:$J$1001))&gt;0)*(((K274+N274)-(L274+Calc!$J$2:$J$1001))&lt;Calc!$F$2:$F$1001)*((K274+N274)-(L274+Calc!$J$2:$J$1001))+(((K274+N274)-(L274+Calc!$J$2:$J$1001))&gt;=Calc!$F$2:$F$1001)*Calc!$F$2:$F$1001))))</f>
        <v/>
      </c>
      <c r="S274">
        <f>IF(I274=0,0,(MIN(MAX((K274+O274),0),L274)*W274+SUMPRODUCT((Calc!$A$2:$A$1001=A274)*Calc!$G$2:$G$1001*((((K274+O274)-(L274+Calc!$J$2:$J$1001))&gt;0)*(((K274+O274)-(L274+Calc!$J$2:$J$1001))&lt;Calc!$F$2:$F$1001)*((K274+O274)-(L274+Calc!$J$2:$J$1001))+(((K274+O274)-(L274+Calc!$J$2:$J$1001))&gt;=Calc!$F$2:$F$1001)*Calc!$F$2:$F$1001))))</f>
        <v/>
      </c>
      <c r="T274">
        <f>IF(AND(E274=1,B274="RETURN"),Transactions!E274*Transactions!G274,0)</f>
        <v/>
      </c>
      <c r="U274">
        <f>IF(AND(E274=1,B274="EXPENSE"),Transactions!J274,0)</f>
        <v/>
      </c>
      <c r="V274">
        <f>IF(AND(Transactions!A274&lt;&gt;"",E274=0),ROW(),"")</f>
        <v/>
      </c>
      <c r="W274">
        <f>IFERROR(VLOOKUP(A274,Opening!$A:$D,4,0),0)</f>
        <v/>
      </c>
    </row>
    <row r="275">
      <c r="A275">
        <f>IF(Transactions!D275="","",UPPER(TRIM(Transactions!D275)))</f>
        <v/>
      </c>
      <c r="B275">
        <f>IF(Transactions!C275="","",UPPER(TRIM(Transactions!C275)))</f>
        <v/>
      </c>
      <c r="C275">
        <f>IF(Transactions!B275="",0,YEAR(Transactions!B275)*100+MONTH(Transactions!B275))</f>
        <v/>
      </c>
      <c r="D275">
        <f>IF(Transactions!A275="",1,IF(COUNTIF(Transactions!$A$1:A274,Transactions!A275)&gt;0,1,0))</f>
        <v/>
      </c>
      <c r="E275">
        <f>IF(D275=1,0,IF(B275="RETURN",IF(COUNTIFS($A$1:A274,A275,$B$1:B274,"SALE",$E$1:E274,1)&gt;0,1,0),1))</f>
        <v/>
      </c>
      <c r="F275">
        <f>IF(E275=1,IF(B275="RECEIPT",Transactions!E275,IF(AND(B275="RETURN",LOWER(TRIM(Transactions!H275))="resellable"),Transactions!E275,0)),0)</f>
        <v/>
      </c>
      <c r="G275">
        <f>IF(F275&gt;0,IF(B275="RECEIPT",Transactions!F275,IF(_xlfn.MAXIFS($H$2:H275,$A$2:A275,A275)&gt;0,INDEX(Transactions!$F:$F,_xlfn.MAXIFS($H$2:H275,$A$2:A275,A275)),W275)),0)</f>
        <v/>
      </c>
      <c r="H275">
        <f>IF(AND(E275=1,B275="RECEIPT"),ROW(),0)</f>
        <v/>
      </c>
      <c r="I275">
        <f>IF(E275=1,IF(OR(B275="SALE",B275="WRITEOFF"),Transactions!E275,0),0)</f>
        <v/>
      </c>
      <c r="J275">
        <f>SUMIFS($F$1:F274,$A$1:A274,A275)</f>
        <v/>
      </c>
      <c r="K275">
        <f>SUMIFS($I$1:I274,$A$1:A274,A275)</f>
        <v/>
      </c>
      <c r="L275">
        <f>IFERROR(VLOOKUP(A275,Opening!$A:$C,3,0),0)</f>
        <v/>
      </c>
      <c r="M275">
        <f>IF(I275=0,0,MAX(0,MIN(INDEX(Month!H$2:H$13,MATCH($A275,Month!$A$2:$A$13,0))-K275,I275)))</f>
        <v/>
      </c>
      <c r="N275">
        <f>IF(I275=0,0,MAX(0,MIN(INDEX(Month!I$2:I$13,MATCH($A275,Month!$A$2:$A$13,0))-K275,I275)))</f>
        <v/>
      </c>
      <c r="O275">
        <f>IF(I275=0,0,MAX(0,MIN(INDEX(Month!J$2:J$13,MATCH($A275,Month!$A$2:$A$13,0))-K275,I275)))</f>
        <v/>
      </c>
      <c r="P275">
        <f>IF(I275=0,0,(MIN(MAX(K275,0),L275)*W275+SUMPRODUCT((Calc!$A$2:$A$1001=A275)*Calc!$G$2:$G$1001*(((K275-(L275+Calc!$J$2:$J$1001))&gt;0)*((K275-(L275+Calc!$J$2:$J$1001))&lt;Calc!$F$2:$F$1001)*(K275-(L275+Calc!$J$2:$J$1001))+((K275-(L275+Calc!$J$2:$J$1001))&gt;=Calc!$F$2:$F$1001)*Calc!$F$2:$F$1001))))</f>
        <v/>
      </c>
      <c r="Q275">
        <f>IF(I275=0,0,(MIN(MAX((K275+M275),0),L275)*W275+SUMPRODUCT((Calc!$A$2:$A$1001=A275)*Calc!$G$2:$G$1001*((((K275+M275)-(L275+Calc!$J$2:$J$1001))&gt;0)*(((K275+M275)-(L275+Calc!$J$2:$J$1001))&lt;Calc!$F$2:$F$1001)*((K275+M275)-(L275+Calc!$J$2:$J$1001))+(((K275+M275)-(L275+Calc!$J$2:$J$1001))&gt;=Calc!$F$2:$F$1001)*Calc!$F$2:$F$1001))))</f>
        <v/>
      </c>
      <c r="R275">
        <f>IF(I275=0,0,(MIN(MAX((K275+N275),0),L275)*W275+SUMPRODUCT((Calc!$A$2:$A$1001=A275)*Calc!$G$2:$G$1001*((((K275+N275)-(L275+Calc!$J$2:$J$1001))&gt;0)*(((K275+N275)-(L275+Calc!$J$2:$J$1001))&lt;Calc!$F$2:$F$1001)*((K275+N275)-(L275+Calc!$J$2:$J$1001))+(((K275+N275)-(L275+Calc!$J$2:$J$1001))&gt;=Calc!$F$2:$F$1001)*Calc!$F$2:$F$1001))))</f>
        <v/>
      </c>
      <c r="S275">
        <f>IF(I275=0,0,(MIN(MAX((K275+O275),0),L275)*W275+SUMPRODUCT((Calc!$A$2:$A$1001=A275)*Calc!$G$2:$G$1001*((((K275+O275)-(L275+Calc!$J$2:$J$1001))&gt;0)*(((K275+O275)-(L275+Calc!$J$2:$J$1001))&lt;Calc!$F$2:$F$1001)*((K275+O275)-(L275+Calc!$J$2:$J$1001))+(((K275+O275)-(L275+Calc!$J$2:$J$1001))&gt;=Calc!$F$2:$F$1001)*Calc!$F$2:$F$1001))))</f>
        <v/>
      </c>
      <c r="T275">
        <f>IF(AND(E275=1,B275="RETURN"),Transactions!E275*Transactions!G275,0)</f>
        <v/>
      </c>
      <c r="U275">
        <f>IF(AND(E275=1,B275="EXPENSE"),Transactions!J275,0)</f>
        <v/>
      </c>
      <c r="V275">
        <f>IF(AND(Transactions!A275&lt;&gt;"",E275=0),ROW(),"")</f>
        <v/>
      </c>
      <c r="W275">
        <f>IFERROR(VLOOKUP(A275,Opening!$A:$D,4,0),0)</f>
        <v/>
      </c>
    </row>
    <row r="276">
      <c r="A276">
        <f>IF(Transactions!D276="","",UPPER(TRIM(Transactions!D276)))</f>
        <v/>
      </c>
      <c r="B276">
        <f>IF(Transactions!C276="","",UPPER(TRIM(Transactions!C276)))</f>
        <v/>
      </c>
      <c r="C276">
        <f>IF(Transactions!B276="",0,YEAR(Transactions!B276)*100+MONTH(Transactions!B276))</f>
        <v/>
      </c>
      <c r="D276">
        <f>IF(Transactions!A276="",1,IF(COUNTIF(Transactions!$A$1:A275,Transactions!A276)&gt;0,1,0))</f>
        <v/>
      </c>
      <c r="E276">
        <f>IF(D276=1,0,IF(B276="RETURN",IF(COUNTIFS($A$1:A275,A276,$B$1:B275,"SALE",$E$1:E275,1)&gt;0,1,0),1))</f>
        <v/>
      </c>
      <c r="F276">
        <f>IF(E276=1,IF(B276="RECEIPT",Transactions!E276,IF(AND(B276="RETURN",LOWER(TRIM(Transactions!H276))="resellable"),Transactions!E276,0)),0)</f>
        <v/>
      </c>
      <c r="G276">
        <f>IF(F276&gt;0,IF(B276="RECEIPT",Transactions!F276,IF(_xlfn.MAXIFS($H$2:H276,$A$2:A276,A276)&gt;0,INDEX(Transactions!$F:$F,_xlfn.MAXIFS($H$2:H276,$A$2:A276,A276)),W276)),0)</f>
        <v/>
      </c>
      <c r="H276">
        <f>IF(AND(E276=1,B276="RECEIPT"),ROW(),0)</f>
        <v/>
      </c>
      <c r="I276">
        <f>IF(E276=1,IF(OR(B276="SALE",B276="WRITEOFF"),Transactions!E276,0),0)</f>
        <v/>
      </c>
      <c r="J276">
        <f>SUMIFS($F$1:F275,$A$1:A275,A276)</f>
        <v/>
      </c>
      <c r="K276">
        <f>SUMIFS($I$1:I275,$A$1:A275,A276)</f>
        <v/>
      </c>
      <c r="L276">
        <f>IFERROR(VLOOKUP(A276,Opening!$A:$C,3,0),0)</f>
        <v/>
      </c>
      <c r="M276">
        <f>IF(I276=0,0,MAX(0,MIN(INDEX(Month!H$2:H$13,MATCH($A276,Month!$A$2:$A$13,0))-K276,I276)))</f>
        <v/>
      </c>
      <c r="N276">
        <f>IF(I276=0,0,MAX(0,MIN(INDEX(Month!I$2:I$13,MATCH($A276,Month!$A$2:$A$13,0))-K276,I276)))</f>
        <v/>
      </c>
      <c r="O276">
        <f>IF(I276=0,0,MAX(0,MIN(INDEX(Month!J$2:J$13,MATCH($A276,Month!$A$2:$A$13,0))-K276,I276)))</f>
        <v/>
      </c>
      <c r="P276">
        <f>IF(I276=0,0,(MIN(MAX(K276,0),L276)*W276+SUMPRODUCT((Calc!$A$2:$A$1001=A276)*Calc!$G$2:$G$1001*(((K276-(L276+Calc!$J$2:$J$1001))&gt;0)*((K276-(L276+Calc!$J$2:$J$1001))&lt;Calc!$F$2:$F$1001)*(K276-(L276+Calc!$J$2:$J$1001))+((K276-(L276+Calc!$J$2:$J$1001))&gt;=Calc!$F$2:$F$1001)*Calc!$F$2:$F$1001))))</f>
        <v/>
      </c>
      <c r="Q276">
        <f>IF(I276=0,0,(MIN(MAX((K276+M276),0),L276)*W276+SUMPRODUCT((Calc!$A$2:$A$1001=A276)*Calc!$G$2:$G$1001*((((K276+M276)-(L276+Calc!$J$2:$J$1001))&gt;0)*(((K276+M276)-(L276+Calc!$J$2:$J$1001))&lt;Calc!$F$2:$F$1001)*((K276+M276)-(L276+Calc!$J$2:$J$1001))+(((K276+M276)-(L276+Calc!$J$2:$J$1001))&gt;=Calc!$F$2:$F$1001)*Calc!$F$2:$F$1001))))</f>
        <v/>
      </c>
      <c r="R276">
        <f>IF(I276=0,0,(MIN(MAX((K276+N276),0),L276)*W276+SUMPRODUCT((Calc!$A$2:$A$1001=A276)*Calc!$G$2:$G$1001*((((K276+N276)-(L276+Calc!$J$2:$J$1001))&gt;0)*(((K276+N276)-(L276+Calc!$J$2:$J$1001))&lt;Calc!$F$2:$F$1001)*((K276+N276)-(L276+Calc!$J$2:$J$1001))+(((K276+N276)-(L276+Calc!$J$2:$J$1001))&gt;=Calc!$F$2:$F$1001)*Calc!$F$2:$F$1001))))</f>
        <v/>
      </c>
      <c r="S276">
        <f>IF(I276=0,0,(MIN(MAX((K276+O276),0),L276)*W276+SUMPRODUCT((Calc!$A$2:$A$1001=A276)*Calc!$G$2:$G$1001*((((K276+O276)-(L276+Calc!$J$2:$J$1001))&gt;0)*(((K276+O276)-(L276+Calc!$J$2:$J$1001))&lt;Calc!$F$2:$F$1001)*((K276+O276)-(L276+Calc!$J$2:$J$1001))+(((K276+O276)-(L276+Calc!$J$2:$J$1001))&gt;=Calc!$F$2:$F$1001)*Calc!$F$2:$F$1001))))</f>
        <v/>
      </c>
      <c r="T276">
        <f>IF(AND(E276=1,B276="RETURN"),Transactions!E276*Transactions!G276,0)</f>
        <v/>
      </c>
      <c r="U276">
        <f>IF(AND(E276=1,B276="EXPENSE"),Transactions!J276,0)</f>
        <v/>
      </c>
      <c r="V276">
        <f>IF(AND(Transactions!A276&lt;&gt;"",E276=0),ROW(),"")</f>
        <v/>
      </c>
      <c r="W276">
        <f>IFERROR(VLOOKUP(A276,Opening!$A:$D,4,0),0)</f>
        <v/>
      </c>
    </row>
    <row r="277">
      <c r="A277">
        <f>IF(Transactions!D277="","",UPPER(TRIM(Transactions!D277)))</f>
        <v/>
      </c>
      <c r="B277">
        <f>IF(Transactions!C277="","",UPPER(TRIM(Transactions!C277)))</f>
        <v/>
      </c>
      <c r="C277">
        <f>IF(Transactions!B277="",0,YEAR(Transactions!B277)*100+MONTH(Transactions!B277))</f>
        <v/>
      </c>
      <c r="D277">
        <f>IF(Transactions!A277="",1,IF(COUNTIF(Transactions!$A$1:A276,Transactions!A277)&gt;0,1,0))</f>
        <v/>
      </c>
      <c r="E277">
        <f>IF(D277=1,0,IF(B277="RETURN",IF(COUNTIFS($A$1:A276,A277,$B$1:B276,"SALE",$E$1:E276,1)&gt;0,1,0),1))</f>
        <v/>
      </c>
      <c r="F277">
        <f>IF(E277=1,IF(B277="RECEIPT",Transactions!E277,IF(AND(B277="RETURN",LOWER(TRIM(Transactions!H277))="resellable"),Transactions!E277,0)),0)</f>
        <v/>
      </c>
      <c r="G277">
        <f>IF(F277&gt;0,IF(B277="RECEIPT",Transactions!F277,IF(_xlfn.MAXIFS($H$2:H277,$A$2:A277,A277)&gt;0,INDEX(Transactions!$F:$F,_xlfn.MAXIFS($H$2:H277,$A$2:A277,A277)),W277)),0)</f>
        <v/>
      </c>
      <c r="H277">
        <f>IF(AND(E277=1,B277="RECEIPT"),ROW(),0)</f>
        <v/>
      </c>
      <c r="I277">
        <f>IF(E277=1,IF(OR(B277="SALE",B277="WRITEOFF"),Transactions!E277,0),0)</f>
        <v/>
      </c>
      <c r="J277">
        <f>SUMIFS($F$1:F276,$A$1:A276,A277)</f>
        <v/>
      </c>
      <c r="K277">
        <f>SUMIFS($I$1:I276,$A$1:A276,A277)</f>
        <v/>
      </c>
      <c r="L277">
        <f>IFERROR(VLOOKUP(A277,Opening!$A:$C,3,0),0)</f>
        <v/>
      </c>
      <c r="M277">
        <f>IF(I277=0,0,MAX(0,MIN(INDEX(Month!H$2:H$13,MATCH($A277,Month!$A$2:$A$13,0))-K277,I277)))</f>
        <v/>
      </c>
      <c r="N277">
        <f>IF(I277=0,0,MAX(0,MIN(INDEX(Month!I$2:I$13,MATCH($A277,Month!$A$2:$A$13,0))-K277,I277)))</f>
        <v/>
      </c>
      <c r="O277">
        <f>IF(I277=0,0,MAX(0,MIN(INDEX(Month!J$2:J$13,MATCH($A277,Month!$A$2:$A$13,0))-K277,I277)))</f>
        <v/>
      </c>
      <c r="P277">
        <f>IF(I277=0,0,(MIN(MAX(K277,0),L277)*W277+SUMPRODUCT((Calc!$A$2:$A$1001=A277)*Calc!$G$2:$G$1001*(((K277-(L277+Calc!$J$2:$J$1001))&gt;0)*((K277-(L277+Calc!$J$2:$J$1001))&lt;Calc!$F$2:$F$1001)*(K277-(L277+Calc!$J$2:$J$1001))+((K277-(L277+Calc!$J$2:$J$1001))&gt;=Calc!$F$2:$F$1001)*Calc!$F$2:$F$1001))))</f>
        <v/>
      </c>
      <c r="Q277">
        <f>IF(I277=0,0,(MIN(MAX((K277+M277),0),L277)*W277+SUMPRODUCT((Calc!$A$2:$A$1001=A277)*Calc!$G$2:$G$1001*((((K277+M277)-(L277+Calc!$J$2:$J$1001))&gt;0)*(((K277+M277)-(L277+Calc!$J$2:$J$1001))&lt;Calc!$F$2:$F$1001)*((K277+M277)-(L277+Calc!$J$2:$J$1001))+(((K277+M277)-(L277+Calc!$J$2:$J$1001))&gt;=Calc!$F$2:$F$1001)*Calc!$F$2:$F$1001))))</f>
        <v/>
      </c>
      <c r="R277">
        <f>IF(I277=0,0,(MIN(MAX((K277+N277),0),L277)*W277+SUMPRODUCT((Calc!$A$2:$A$1001=A277)*Calc!$G$2:$G$1001*((((K277+N277)-(L277+Calc!$J$2:$J$1001))&gt;0)*(((K277+N277)-(L277+Calc!$J$2:$J$1001))&lt;Calc!$F$2:$F$1001)*((K277+N277)-(L277+Calc!$J$2:$J$1001))+(((K277+N277)-(L277+Calc!$J$2:$J$1001))&gt;=Calc!$F$2:$F$1001)*Calc!$F$2:$F$1001))))</f>
        <v/>
      </c>
      <c r="S277">
        <f>IF(I277=0,0,(MIN(MAX((K277+O277),0),L277)*W277+SUMPRODUCT((Calc!$A$2:$A$1001=A277)*Calc!$G$2:$G$1001*((((K277+O277)-(L277+Calc!$J$2:$J$1001))&gt;0)*(((K277+O277)-(L277+Calc!$J$2:$J$1001))&lt;Calc!$F$2:$F$1001)*((K277+O277)-(L277+Calc!$J$2:$J$1001))+(((K277+O277)-(L277+Calc!$J$2:$J$1001))&gt;=Calc!$F$2:$F$1001)*Calc!$F$2:$F$1001))))</f>
        <v/>
      </c>
      <c r="T277">
        <f>IF(AND(E277=1,B277="RETURN"),Transactions!E277*Transactions!G277,0)</f>
        <v/>
      </c>
      <c r="U277">
        <f>IF(AND(E277=1,B277="EXPENSE"),Transactions!J277,0)</f>
        <v/>
      </c>
      <c r="V277">
        <f>IF(AND(Transactions!A277&lt;&gt;"",E277=0),ROW(),"")</f>
        <v/>
      </c>
      <c r="W277">
        <f>IFERROR(VLOOKUP(A277,Opening!$A:$D,4,0),0)</f>
        <v/>
      </c>
    </row>
    <row r="278">
      <c r="A278">
        <f>IF(Transactions!D278="","",UPPER(TRIM(Transactions!D278)))</f>
        <v/>
      </c>
      <c r="B278">
        <f>IF(Transactions!C278="","",UPPER(TRIM(Transactions!C278)))</f>
        <v/>
      </c>
      <c r="C278">
        <f>IF(Transactions!B278="",0,YEAR(Transactions!B278)*100+MONTH(Transactions!B278))</f>
        <v/>
      </c>
      <c r="D278">
        <f>IF(Transactions!A278="",1,IF(COUNTIF(Transactions!$A$1:A277,Transactions!A278)&gt;0,1,0))</f>
        <v/>
      </c>
      <c r="E278">
        <f>IF(D278=1,0,IF(B278="RETURN",IF(COUNTIFS($A$1:A277,A278,$B$1:B277,"SALE",$E$1:E277,1)&gt;0,1,0),1))</f>
        <v/>
      </c>
      <c r="F278">
        <f>IF(E278=1,IF(B278="RECEIPT",Transactions!E278,IF(AND(B278="RETURN",LOWER(TRIM(Transactions!H278))="resellable"),Transactions!E278,0)),0)</f>
        <v/>
      </c>
      <c r="G278">
        <f>IF(F278&gt;0,IF(B278="RECEIPT",Transactions!F278,IF(_xlfn.MAXIFS($H$2:H278,$A$2:A278,A278)&gt;0,INDEX(Transactions!$F:$F,_xlfn.MAXIFS($H$2:H278,$A$2:A278,A278)),W278)),0)</f>
        <v/>
      </c>
      <c r="H278">
        <f>IF(AND(E278=1,B278="RECEIPT"),ROW(),0)</f>
        <v/>
      </c>
      <c r="I278">
        <f>IF(E278=1,IF(OR(B278="SALE",B278="WRITEOFF"),Transactions!E278,0),0)</f>
        <v/>
      </c>
      <c r="J278">
        <f>SUMIFS($F$1:F277,$A$1:A277,A278)</f>
        <v/>
      </c>
      <c r="K278">
        <f>SUMIFS($I$1:I277,$A$1:A277,A278)</f>
        <v/>
      </c>
      <c r="L278">
        <f>IFERROR(VLOOKUP(A278,Opening!$A:$C,3,0),0)</f>
        <v/>
      </c>
      <c r="M278">
        <f>IF(I278=0,0,MAX(0,MIN(INDEX(Month!H$2:H$13,MATCH($A278,Month!$A$2:$A$13,0))-K278,I278)))</f>
        <v/>
      </c>
      <c r="N278">
        <f>IF(I278=0,0,MAX(0,MIN(INDEX(Month!I$2:I$13,MATCH($A278,Month!$A$2:$A$13,0))-K278,I278)))</f>
        <v/>
      </c>
      <c r="O278">
        <f>IF(I278=0,0,MAX(0,MIN(INDEX(Month!J$2:J$13,MATCH($A278,Month!$A$2:$A$13,0))-K278,I278)))</f>
        <v/>
      </c>
      <c r="P278">
        <f>IF(I278=0,0,(MIN(MAX(K278,0),L278)*W278+SUMPRODUCT((Calc!$A$2:$A$1001=A278)*Calc!$G$2:$G$1001*(((K278-(L278+Calc!$J$2:$J$1001))&gt;0)*((K278-(L278+Calc!$J$2:$J$1001))&lt;Calc!$F$2:$F$1001)*(K278-(L278+Calc!$J$2:$J$1001))+((K278-(L278+Calc!$J$2:$J$1001))&gt;=Calc!$F$2:$F$1001)*Calc!$F$2:$F$1001))))</f>
        <v/>
      </c>
      <c r="Q278">
        <f>IF(I278=0,0,(MIN(MAX((K278+M278),0),L278)*W278+SUMPRODUCT((Calc!$A$2:$A$1001=A278)*Calc!$G$2:$G$1001*((((K278+M278)-(L278+Calc!$J$2:$J$1001))&gt;0)*(((K278+M278)-(L278+Calc!$J$2:$J$1001))&lt;Calc!$F$2:$F$1001)*((K278+M278)-(L278+Calc!$J$2:$J$1001))+(((K278+M278)-(L278+Calc!$J$2:$J$1001))&gt;=Calc!$F$2:$F$1001)*Calc!$F$2:$F$1001))))</f>
        <v/>
      </c>
      <c r="R278">
        <f>IF(I278=0,0,(MIN(MAX((K278+N278),0),L278)*W278+SUMPRODUCT((Calc!$A$2:$A$1001=A278)*Calc!$G$2:$G$1001*((((K278+N278)-(L278+Calc!$J$2:$J$1001))&gt;0)*(((K278+N278)-(L278+Calc!$J$2:$J$1001))&lt;Calc!$F$2:$F$1001)*((K278+N278)-(L278+Calc!$J$2:$J$1001))+(((K278+N278)-(L278+Calc!$J$2:$J$1001))&gt;=Calc!$F$2:$F$1001)*Calc!$F$2:$F$1001))))</f>
        <v/>
      </c>
      <c r="S278">
        <f>IF(I278=0,0,(MIN(MAX((K278+O278),0),L278)*W278+SUMPRODUCT((Calc!$A$2:$A$1001=A278)*Calc!$G$2:$G$1001*((((K278+O278)-(L278+Calc!$J$2:$J$1001))&gt;0)*(((K278+O278)-(L278+Calc!$J$2:$J$1001))&lt;Calc!$F$2:$F$1001)*((K278+O278)-(L278+Calc!$J$2:$J$1001))+(((K278+O278)-(L278+Calc!$J$2:$J$1001))&gt;=Calc!$F$2:$F$1001)*Calc!$F$2:$F$1001))))</f>
        <v/>
      </c>
      <c r="T278">
        <f>IF(AND(E278=1,B278="RETURN"),Transactions!E278*Transactions!G278,0)</f>
        <v/>
      </c>
      <c r="U278">
        <f>IF(AND(E278=1,B278="EXPENSE"),Transactions!J278,0)</f>
        <v/>
      </c>
      <c r="V278">
        <f>IF(AND(Transactions!A278&lt;&gt;"",E278=0),ROW(),"")</f>
        <v/>
      </c>
      <c r="W278">
        <f>IFERROR(VLOOKUP(A278,Opening!$A:$D,4,0),0)</f>
        <v/>
      </c>
    </row>
    <row r="279">
      <c r="A279">
        <f>IF(Transactions!D279="","",UPPER(TRIM(Transactions!D279)))</f>
        <v/>
      </c>
      <c r="B279">
        <f>IF(Transactions!C279="","",UPPER(TRIM(Transactions!C279)))</f>
        <v/>
      </c>
      <c r="C279">
        <f>IF(Transactions!B279="",0,YEAR(Transactions!B279)*100+MONTH(Transactions!B279))</f>
        <v/>
      </c>
      <c r="D279">
        <f>IF(Transactions!A279="",1,IF(COUNTIF(Transactions!$A$1:A278,Transactions!A279)&gt;0,1,0))</f>
        <v/>
      </c>
      <c r="E279">
        <f>IF(D279=1,0,IF(B279="RETURN",IF(COUNTIFS($A$1:A278,A279,$B$1:B278,"SALE",$E$1:E278,1)&gt;0,1,0),1))</f>
        <v/>
      </c>
      <c r="F279">
        <f>IF(E279=1,IF(B279="RECEIPT",Transactions!E279,IF(AND(B279="RETURN",LOWER(TRIM(Transactions!H279))="resellable"),Transactions!E279,0)),0)</f>
        <v/>
      </c>
      <c r="G279">
        <f>IF(F279&gt;0,IF(B279="RECEIPT",Transactions!F279,IF(_xlfn.MAXIFS($H$2:H279,$A$2:A279,A279)&gt;0,INDEX(Transactions!$F:$F,_xlfn.MAXIFS($H$2:H279,$A$2:A279,A279)),W279)),0)</f>
        <v/>
      </c>
      <c r="H279">
        <f>IF(AND(E279=1,B279="RECEIPT"),ROW(),0)</f>
        <v/>
      </c>
      <c r="I279">
        <f>IF(E279=1,IF(OR(B279="SALE",B279="WRITEOFF"),Transactions!E279,0),0)</f>
        <v/>
      </c>
      <c r="J279">
        <f>SUMIFS($F$1:F278,$A$1:A278,A279)</f>
        <v/>
      </c>
      <c r="K279">
        <f>SUMIFS($I$1:I278,$A$1:A278,A279)</f>
        <v/>
      </c>
      <c r="L279">
        <f>IFERROR(VLOOKUP(A279,Opening!$A:$C,3,0),0)</f>
        <v/>
      </c>
      <c r="M279">
        <f>IF(I279=0,0,MAX(0,MIN(INDEX(Month!H$2:H$13,MATCH($A279,Month!$A$2:$A$13,0))-K279,I279)))</f>
        <v/>
      </c>
      <c r="N279">
        <f>IF(I279=0,0,MAX(0,MIN(INDEX(Month!I$2:I$13,MATCH($A279,Month!$A$2:$A$13,0))-K279,I279)))</f>
        <v/>
      </c>
      <c r="O279">
        <f>IF(I279=0,0,MAX(0,MIN(INDEX(Month!J$2:J$13,MATCH($A279,Month!$A$2:$A$13,0))-K279,I279)))</f>
        <v/>
      </c>
      <c r="P279">
        <f>IF(I279=0,0,(MIN(MAX(K279,0),L279)*W279+SUMPRODUCT((Calc!$A$2:$A$1001=A279)*Calc!$G$2:$G$1001*(((K279-(L279+Calc!$J$2:$J$1001))&gt;0)*((K279-(L279+Calc!$J$2:$J$1001))&lt;Calc!$F$2:$F$1001)*(K279-(L279+Calc!$J$2:$J$1001))+((K279-(L279+Calc!$J$2:$J$1001))&gt;=Calc!$F$2:$F$1001)*Calc!$F$2:$F$1001))))</f>
        <v/>
      </c>
      <c r="Q279">
        <f>IF(I279=0,0,(MIN(MAX((K279+M279),0),L279)*W279+SUMPRODUCT((Calc!$A$2:$A$1001=A279)*Calc!$G$2:$G$1001*((((K279+M279)-(L279+Calc!$J$2:$J$1001))&gt;0)*(((K279+M279)-(L279+Calc!$J$2:$J$1001))&lt;Calc!$F$2:$F$1001)*((K279+M279)-(L279+Calc!$J$2:$J$1001))+(((K279+M279)-(L279+Calc!$J$2:$J$1001))&gt;=Calc!$F$2:$F$1001)*Calc!$F$2:$F$1001))))</f>
        <v/>
      </c>
      <c r="R279">
        <f>IF(I279=0,0,(MIN(MAX((K279+N279),0),L279)*W279+SUMPRODUCT((Calc!$A$2:$A$1001=A279)*Calc!$G$2:$G$1001*((((K279+N279)-(L279+Calc!$J$2:$J$1001))&gt;0)*(((K279+N279)-(L279+Calc!$J$2:$J$1001))&lt;Calc!$F$2:$F$1001)*((K279+N279)-(L279+Calc!$J$2:$J$1001))+(((K279+N279)-(L279+Calc!$J$2:$J$1001))&gt;=Calc!$F$2:$F$1001)*Calc!$F$2:$F$1001))))</f>
        <v/>
      </c>
      <c r="S279">
        <f>IF(I279=0,0,(MIN(MAX((K279+O279),0),L279)*W279+SUMPRODUCT((Calc!$A$2:$A$1001=A279)*Calc!$G$2:$G$1001*((((K279+O279)-(L279+Calc!$J$2:$J$1001))&gt;0)*(((K279+O279)-(L279+Calc!$J$2:$J$1001))&lt;Calc!$F$2:$F$1001)*((K279+O279)-(L279+Calc!$J$2:$J$1001))+(((K279+O279)-(L279+Calc!$J$2:$J$1001))&gt;=Calc!$F$2:$F$1001)*Calc!$F$2:$F$1001))))</f>
        <v/>
      </c>
      <c r="T279">
        <f>IF(AND(E279=1,B279="RETURN"),Transactions!E279*Transactions!G279,0)</f>
        <v/>
      </c>
      <c r="U279">
        <f>IF(AND(E279=1,B279="EXPENSE"),Transactions!J279,0)</f>
        <v/>
      </c>
      <c r="V279">
        <f>IF(AND(Transactions!A279&lt;&gt;"",E279=0),ROW(),"")</f>
        <v/>
      </c>
      <c r="W279">
        <f>IFERROR(VLOOKUP(A279,Opening!$A:$D,4,0),0)</f>
        <v/>
      </c>
    </row>
    <row r="280">
      <c r="A280">
        <f>IF(Transactions!D280="","",UPPER(TRIM(Transactions!D280)))</f>
        <v/>
      </c>
      <c r="B280">
        <f>IF(Transactions!C280="","",UPPER(TRIM(Transactions!C280)))</f>
        <v/>
      </c>
      <c r="C280">
        <f>IF(Transactions!B280="",0,YEAR(Transactions!B280)*100+MONTH(Transactions!B280))</f>
        <v/>
      </c>
      <c r="D280">
        <f>IF(Transactions!A280="",1,IF(COUNTIF(Transactions!$A$1:A279,Transactions!A280)&gt;0,1,0))</f>
        <v/>
      </c>
      <c r="E280">
        <f>IF(D280=1,0,IF(B280="RETURN",IF(COUNTIFS($A$1:A279,A280,$B$1:B279,"SALE",$E$1:E279,1)&gt;0,1,0),1))</f>
        <v/>
      </c>
      <c r="F280">
        <f>IF(E280=1,IF(B280="RECEIPT",Transactions!E280,IF(AND(B280="RETURN",LOWER(TRIM(Transactions!H280))="resellable"),Transactions!E280,0)),0)</f>
        <v/>
      </c>
      <c r="G280">
        <f>IF(F280&gt;0,IF(B280="RECEIPT",Transactions!F280,IF(_xlfn.MAXIFS($H$2:H280,$A$2:A280,A280)&gt;0,INDEX(Transactions!$F:$F,_xlfn.MAXIFS($H$2:H280,$A$2:A280,A280)),W280)),0)</f>
        <v/>
      </c>
      <c r="H280">
        <f>IF(AND(E280=1,B280="RECEIPT"),ROW(),0)</f>
        <v/>
      </c>
      <c r="I280">
        <f>IF(E280=1,IF(OR(B280="SALE",B280="WRITEOFF"),Transactions!E280,0),0)</f>
        <v/>
      </c>
      <c r="J280">
        <f>SUMIFS($F$1:F279,$A$1:A279,A280)</f>
        <v/>
      </c>
      <c r="K280">
        <f>SUMIFS($I$1:I279,$A$1:A279,A280)</f>
        <v/>
      </c>
      <c r="L280">
        <f>IFERROR(VLOOKUP(A280,Opening!$A:$C,3,0),0)</f>
        <v/>
      </c>
      <c r="M280">
        <f>IF(I280=0,0,MAX(0,MIN(INDEX(Month!H$2:H$13,MATCH($A280,Month!$A$2:$A$13,0))-K280,I280)))</f>
        <v/>
      </c>
      <c r="N280">
        <f>IF(I280=0,0,MAX(0,MIN(INDEX(Month!I$2:I$13,MATCH($A280,Month!$A$2:$A$13,0))-K280,I280)))</f>
        <v/>
      </c>
      <c r="O280">
        <f>IF(I280=0,0,MAX(0,MIN(INDEX(Month!J$2:J$13,MATCH($A280,Month!$A$2:$A$13,0))-K280,I280)))</f>
        <v/>
      </c>
      <c r="P280">
        <f>IF(I280=0,0,(MIN(MAX(K280,0),L280)*W280+SUMPRODUCT((Calc!$A$2:$A$1001=A280)*Calc!$G$2:$G$1001*(((K280-(L280+Calc!$J$2:$J$1001))&gt;0)*((K280-(L280+Calc!$J$2:$J$1001))&lt;Calc!$F$2:$F$1001)*(K280-(L280+Calc!$J$2:$J$1001))+((K280-(L280+Calc!$J$2:$J$1001))&gt;=Calc!$F$2:$F$1001)*Calc!$F$2:$F$1001))))</f>
        <v/>
      </c>
      <c r="Q280">
        <f>IF(I280=0,0,(MIN(MAX((K280+M280),0),L280)*W280+SUMPRODUCT((Calc!$A$2:$A$1001=A280)*Calc!$G$2:$G$1001*((((K280+M280)-(L280+Calc!$J$2:$J$1001))&gt;0)*(((K280+M280)-(L280+Calc!$J$2:$J$1001))&lt;Calc!$F$2:$F$1001)*((K280+M280)-(L280+Calc!$J$2:$J$1001))+(((K280+M280)-(L280+Calc!$J$2:$J$1001))&gt;=Calc!$F$2:$F$1001)*Calc!$F$2:$F$1001))))</f>
        <v/>
      </c>
      <c r="R280">
        <f>IF(I280=0,0,(MIN(MAX((K280+N280),0),L280)*W280+SUMPRODUCT((Calc!$A$2:$A$1001=A280)*Calc!$G$2:$G$1001*((((K280+N280)-(L280+Calc!$J$2:$J$1001))&gt;0)*(((K280+N280)-(L280+Calc!$J$2:$J$1001))&lt;Calc!$F$2:$F$1001)*((K280+N280)-(L280+Calc!$J$2:$J$1001))+(((K280+N280)-(L280+Calc!$J$2:$J$1001))&gt;=Calc!$F$2:$F$1001)*Calc!$F$2:$F$1001))))</f>
        <v/>
      </c>
      <c r="S280">
        <f>IF(I280=0,0,(MIN(MAX((K280+O280),0),L280)*W280+SUMPRODUCT((Calc!$A$2:$A$1001=A280)*Calc!$G$2:$G$1001*((((K280+O280)-(L280+Calc!$J$2:$J$1001))&gt;0)*(((K280+O280)-(L280+Calc!$J$2:$J$1001))&lt;Calc!$F$2:$F$1001)*((K280+O280)-(L280+Calc!$J$2:$J$1001))+(((K280+O280)-(L280+Calc!$J$2:$J$1001))&gt;=Calc!$F$2:$F$1001)*Calc!$F$2:$F$1001))))</f>
        <v/>
      </c>
      <c r="T280">
        <f>IF(AND(E280=1,B280="RETURN"),Transactions!E280*Transactions!G280,0)</f>
        <v/>
      </c>
      <c r="U280">
        <f>IF(AND(E280=1,B280="EXPENSE"),Transactions!J280,0)</f>
        <v/>
      </c>
      <c r="V280">
        <f>IF(AND(Transactions!A280&lt;&gt;"",E280=0),ROW(),"")</f>
        <v/>
      </c>
      <c r="W280">
        <f>IFERROR(VLOOKUP(A280,Opening!$A:$D,4,0),0)</f>
        <v/>
      </c>
    </row>
    <row r="281">
      <c r="A281">
        <f>IF(Transactions!D281="","",UPPER(TRIM(Transactions!D281)))</f>
        <v/>
      </c>
      <c r="B281">
        <f>IF(Transactions!C281="","",UPPER(TRIM(Transactions!C281)))</f>
        <v/>
      </c>
      <c r="C281">
        <f>IF(Transactions!B281="",0,YEAR(Transactions!B281)*100+MONTH(Transactions!B281))</f>
        <v/>
      </c>
      <c r="D281">
        <f>IF(Transactions!A281="",1,IF(COUNTIF(Transactions!$A$1:A280,Transactions!A281)&gt;0,1,0))</f>
        <v/>
      </c>
      <c r="E281">
        <f>IF(D281=1,0,IF(B281="RETURN",IF(COUNTIFS($A$1:A280,A281,$B$1:B280,"SALE",$E$1:E280,1)&gt;0,1,0),1))</f>
        <v/>
      </c>
      <c r="F281">
        <f>IF(E281=1,IF(B281="RECEIPT",Transactions!E281,IF(AND(B281="RETURN",LOWER(TRIM(Transactions!H281))="resellable"),Transactions!E281,0)),0)</f>
        <v/>
      </c>
      <c r="G281">
        <f>IF(F281&gt;0,IF(B281="RECEIPT",Transactions!F281,IF(_xlfn.MAXIFS($H$2:H281,$A$2:A281,A281)&gt;0,INDEX(Transactions!$F:$F,_xlfn.MAXIFS($H$2:H281,$A$2:A281,A281)),W281)),0)</f>
        <v/>
      </c>
      <c r="H281">
        <f>IF(AND(E281=1,B281="RECEIPT"),ROW(),0)</f>
        <v/>
      </c>
      <c r="I281">
        <f>IF(E281=1,IF(OR(B281="SALE",B281="WRITEOFF"),Transactions!E281,0),0)</f>
        <v/>
      </c>
      <c r="J281">
        <f>SUMIFS($F$1:F280,$A$1:A280,A281)</f>
        <v/>
      </c>
      <c r="K281">
        <f>SUMIFS($I$1:I280,$A$1:A280,A281)</f>
        <v/>
      </c>
      <c r="L281">
        <f>IFERROR(VLOOKUP(A281,Opening!$A:$C,3,0),0)</f>
        <v/>
      </c>
      <c r="M281">
        <f>IF(I281=0,0,MAX(0,MIN(INDEX(Month!H$2:H$13,MATCH($A281,Month!$A$2:$A$13,0))-K281,I281)))</f>
        <v/>
      </c>
      <c r="N281">
        <f>IF(I281=0,0,MAX(0,MIN(INDEX(Month!I$2:I$13,MATCH($A281,Month!$A$2:$A$13,0))-K281,I281)))</f>
        <v/>
      </c>
      <c r="O281">
        <f>IF(I281=0,0,MAX(0,MIN(INDEX(Month!J$2:J$13,MATCH($A281,Month!$A$2:$A$13,0))-K281,I281)))</f>
        <v/>
      </c>
      <c r="P281">
        <f>IF(I281=0,0,(MIN(MAX(K281,0),L281)*W281+SUMPRODUCT((Calc!$A$2:$A$1001=A281)*Calc!$G$2:$G$1001*(((K281-(L281+Calc!$J$2:$J$1001))&gt;0)*((K281-(L281+Calc!$J$2:$J$1001))&lt;Calc!$F$2:$F$1001)*(K281-(L281+Calc!$J$2:$J$1001))+((K281-(L281+Calc!$J$2:$J$1001))&gt;=Calc!$F$2:$F$1001)*Calc!$F$2:$F$1001))))</f>
        <v/>
      </c>
      <c r="Q281">
        <f>IF(I281=0,0,(MIN(MAX((K281+M281),0),L281)*W281+SUMPRODUCT((Calc!$A$2:$A$1001=A281)*Calc!$G$2:$G$1001*((((K281+M281)-(L281+Calc!$J$2:$J$1001))&gt;0)*(((K281+M281)-(L281+Calc!$J$2:$J$1001))&lt;Calc!$F$2:$F$1001)*((K281+M281)-(L281+Calc!$J$2:$J$1001))+(((K281+M281)-(L281+Calc!$J$2:$J$1001))&gt;=Calc!$F$2:$F$1001)*Calc!$F$2:$F$1001))))</f>
        <v/>
      </c>
      <c r="R281">
        <f>IF(I281=0,0,(MIN(MAX((K281+N281),0),L281)*W281+SUMPRODUCT((Calc!$A$2:$A$1001=A281)*Calc!$G$2:$G$1001*((((K281+N281)-(L281+Calc!$J$2:$J$1001))&gt;0)*(((K281+N281)-(L281+Calc!$J$2:$J$1001))&lt;Calc!$F$2:$F$1001)*((K281+N281)-(L281+Calc!$J$2:$J$1001))+(((K281+N281)-(L281+Calc!$J$2:$J$1001))&gt;=Calc!$F$2:$F$1001)*Calc!$F$2:$F$1001))))</f>
        <v/>
      </c>
      <c r="S281">
        <f>IF(I281=0,0,(MIN(MAX((K281+O281),0),L281)*W281+SUMPRODUCT((Calc!$A$2:$A$1001=A281)*Calc!$G$2:$G$1001*((((K281+O281)-(L281+Calc!$J$2:$J$1001))&gt;0)*(((K281+O281)-(L281+Calc!$J$2:$J$1001))&lt;Calc!$F$2:$F$1001)*((K281+O281)-(L281+Calc!$J$2:$J$1001))+(((K281+O281)-(L281+Calc!$J$2:$J$1001))&gt;=Calc!$F$2:$F$1001)*Calc!$F$2:$F$1001))))</f>
        <v/>
      </c>
      <c r="T281">
        <f>IF(AND(E281=1,B281="RETURN"),Transactions!E281*Transactions!G281,0)</f>
        <v/>
      </c>
      <c r="U281">
        <f>IF(AND(E281=1,B281="EXPENSE"),Transactions!J281,0)</f>
        <v/>
      </c>
      <c r="V281">
        <f>IF(AND(Transactions!A281&lt;&gt;"",E281=0),ROW(),"")</f>
        <v/>
      </c>
      <c r="W281">
        <f>IFERROR(VLOOKUP(A281,Opening!$A:$D,4,0),0)</f>
        <v/>
      </c>
    </row>
    <row r="282">
      <c r="A282">
        <f>IF(Transactions!D282="","",UPPER(TRIM(Transactions!D282)))</f>
        <v/>
      </c>
      <c r="B282">
        <f>IF(Transactions!C282="","",UPPER(TRIM(Transactions!C282)))</f>
        <v/>
      </c>
      <c r="C282">
        <f>IF(Transactions!B282="",0,YEAR(Transactions!B282)*100+MONTH(Transactions!B282))</f>
        <v/>
      </c>
      <c r="D282">
        <f>IF(Transactions!A282="",1,IF(COUNTIF(Transactions!$A$1:A281,Transactions!A282)&gt;0,1,0))</f>
        <v/>
      </c>
      <c r="E282">
        <f>IF(D282=1,0,IF(B282="RETURN",IF(COUNTIFS($A$1:A281,A282,$B$1:B281,"SALE",$E$1:E281,1)&gt;0,1,0),1))</f>
        <v/>
      </c>
      <c r="F282">
        <f>IF(E282=1,IF(B282="RECEIPT",Transactions!E282,IF(AND(B282="RETURN",LOWER(TRIM(Transactions!H282))="resellable"),Transactions!E282,0)),0)</f>
        <v/>
      </c>
      <c r="G282">
        <f>IF(F282&gt;0,IF(B282="RECEIPT",Transactions!F282,IF(_xlfn.MAXIFS($H$2:H282,$A$2:A282,A282)&gt;0,INDEX(Transactions!$F:$F,_xlfn.MAXIFS($H$2:H282,$A$2:A282,A282)),W282)),0)</f>
        <v/>
      </c>
      <c r="H282">
        <f>IF(AND(E282=1,B282="RECEIPT"),ROW(),0)</f>
        <v/>
      </c>
      <c r="I282">
        <f>IF(E282=1,IF(OR(B282="SALE",B282="WRITEOFF"),Transactions!E282,0),0)</f>
        <v/>
      </c>
      <c r="J282">
        <f>SUMIFS($F$1:F281,$A$1:A281,A282)</f>
        <v/>
      </c>
      <c r="K282">
        <f>SUMIFS($I$1:I281,$A$1:A281,A282)</f>
        <v/>
      </c>
      <c r="L282">
        <f>IFERROR(VLOOKUP(A282,Opening!$A:$C,3,0),0)</f>
        <v/>
      </c>
      <c r="M282">
        <f>IF(I282=0,0,MAX(0,MIN(INDEX(Month!H$2:H$13,MATCH($A282,Month!$A$2:$A$13,0))-K282,I282)))</f>
        <v/>
      </c>
      <c r="N282">
        <f>IF(I282=0,0,MAX(0,MIN(INDEX(Month!I$2:I$13,MATCH($A282,Month!$A$2:$A$13,0))-K282,I282)))</f>
        <v/>
      </c>
      <c r="O282">
        <f>IF(I282=0,0,MAX(0,MIN(INDEX(Month!J$2:J$13,MATCH($A282,Month!$A$2:$A$13,0))-K282,I282)))</f>
        <v/>
      </c>
      <c r="P282">
        <f>IF(I282=0,0,(MIN(MAX(K282,0),L282)*W282+SUMPRODUCT((Calc!$A$2:$A$1001=A282)*Calc!$G$2:$G$1001*(((K282-(L282+Calc!$J$2:$J$1001))&gt;0)*((K282-(L282+Calc!$J$2:$J$1001))&lt;Calc!$F$2:$F$1001)*(K282-(L282+Calc!$J$2:$J$1001))+((K282-(L282+Calc!$J$2:$J$1001))&gt;=Calc!$F$2:$F$1001)*Calc!$F$2:$F$1001))))</f>
        <v/>
      </c>
      <c r="Q282">
        <f>IF(I282=0,0,(MIN(MAX((K282+M282),0),L282)*W282+SUMPRODUCT((Calc!$A$2:$A$1001=A282)*Calc!$G$2:$G$1001*((((K282+M282)-(L282+Calc!$J$2:$J$1001))&gt;0)*(((K282+M282)-(L282+Calc!$J$2:$J$1001))&lt;Calc!$F$2:$F$1001)*((K282+M282)-(L282+Calc!$J$2:$J$1001))+(((K282+M282)-(L282+Calc!$J$2:$J$1001))&gt;=Calc!$F$2:$F$1001)*Calc!$F$2:$F$1001))))</f>
        <v/>
      </c>
      <c r="R282">
        <f>IF(I282=0,0,(MIN(MAX((K282+N282),0),L282)*W282+SUMPRODUCT((Calc!$A$2:$A$1001=A282)*Calc!$G$2:$G$1001*((((K282+N282)-(L282+Calc!$J$2:$J$1001))&gt;0)*(((K282+N282)-(L282+Calc!$J$2:$J$1001))&lt;Calc!$F$2:$F$1001)*((K282+N282)-(L282+Calc!$J$2:$J$1001))+(((K282+N282)-(L282+Calc!$J$2:$J$1001))&gt;=Calc!$F$2:$F$1001)*Calc!$F$2:$F$1001))))</f>
        <v/>
      </c>
      <c r="S282">
        <f>IF(I282=0,0,(MIN(MAX((K282+O282),0),L282)*W282+SUMPRODUCT((Calc!$A$2:$A$1001=A282)*Calc!$G$2:$G$1001*((((K282+O282)-(L282+Calc!$J$2:$J$1001))&gt;0)*(((K282+O282)-(L282+Calc!$J$2:$J$1001))&lt;Calc!$F$2:$F$1001)*((K282+O282)-(L282+Calc!$J$2:$J$1001))+(((K282+O282)-(L282+Calc!$J$2:$J$1001))&gt;=Calc!$F$2:$F$1001)*Calc!$F$2:$F$1001))))</f>
        <v/>
      </c>
      <c r="T282">
        <f>IF(AND(E282=1,B282="RETURN"),Transactions!E282*Transactions!G282,0)</f>
        <v/>
      </c>
      <c r="U282">
        <f>IF(AND(E282=1,B282="EXPENSE"),Transactions!J282,0)</f>
        <v/>
      </c>
      <c r="V282">
        <f>IF(AND(Transactions!A282&lt;&gt;"",E282=0),ROW(),"")</f>
        <v/>
      </c>
      <c r="W282">
        <f>IFERROR(VLOOKUP(A282,Opening!$A:$D,4,0),0)</f>
        <v/>
      </c>
    </row>
    <row r="283">
      <c r="A283">
        <f>IF(Transactions!D283="","",UPPER(TRIM(Transactions!D283)))</f>
        <v/>
      </c>
      <c r="B283">
        <f>IF(Transactions!C283="","",UPPER(TRIM(Transactions!C283)))</f>
        <v/>
      </c>
      <c r="C283">
        <f>IF(Transactions!B283="",0,YEAR(Transactions!B283)*100+MONTH(Transactions!B283))</f>
        <v/>
      </c>
      <c r="D283">
        <f>IF(Transactions!A283="",1,IF(COUNTIF(Transactions!$A$1:A282,Transactions!A283)&gt;0,1,0))</f>
        <v/>
      </c>
      <c r="E283">
        <f>IF(D283=1,0,IF(B283="RETURN",IF(COUNTIFS($A$1:A282,A283,$B$1:B282,"SALE",$E$1:E282,1)&gt;0,1,0),1))</f>
        <v/>
      </c>
      <c r="F283">
        <f>IF(E283=1,IF(B283="RECEIPT",Transactions!E283,IF(AND(B283="RETURN",LOWER(TRIM(Transactions!H283))="resellable"),Transactions!E283,0)),0)</f>
        <v/>
      </c>
      <c r="G283">
        <f>IF(F283&gt;0,IF(B283="RECEIPT",Transactions!F283,IF(_xlfn.MAXIFS($H$2:H283,$A$2:A283,A283)&gt;0,INDEX(Transactions!$F:$F,_xlfn.MAXIFS($H$2:H283,$A$2:A283,A283)),W283)),0)</f>
        <v/>
      </c>
      <c r="H283">
        <f>IF(AND(E283=1,B283="RECEIPT"),ROW(),0)</f>
        <v/>
      </c>
      <c r="I283">
        <f>IF(E283=1,IF(OR(B283="SALE",B283="WRITEOFF"),Transactions!E283,0),0)</f>
        <v/>
      </c>
      <c r="J283">
        <f>SUMIFS($F$1:F282,$A$1:A282,A283)</f>
        <v/>
      </c>
      <c r="K283">
        <f>SUMIFS($I$1:I282,$A$1:A282,A283)</f>
        <v/>
      </c>
      <c r="L283">
        <f>IFERROR(VLOOKUP(A283,Opening!$A:$C,3,0),0)</f>
        <v/>
      </c>
      <c r="M283">
        <f>IF(I283=0,0,MAX(0,MIN(INDEX(Month!H$2:H$13,MATCH($A283,Month!$A$2:$A$13,0))-K283,I283)))</f>
        <v/>
      </c>
      <c r="N283">
        <f>IF(I283=0,0,MAX(0,MIN(INDEX(Month!I$2:I$13,MATCH($A283,Month!$A$2:$A$13,0))-K283,I283)))</f>
        <v/>
      </c>
      <c r="O283">
        <f>IF(I283=0,0,MAX(0,MIN(INDEX(Month!J$2:J$13,MATCH($A283,Month!$A$2:$A$13,0))-K283,I283)))</f>
        <v/>
      </c>
      <c r="P283">
        <f>IF(I283=0,0,(MIN(MAX(K283,0),L283)*W283+SUMPRODUCT((Calc!$A$2:$A$1001=A283)*Calc!$G$2:$G$1001*(((K283-(L283+Calc!$J$2:$J$1001))&gt;0)*((K283-(L283+Calc!$J$2:$J$1001))&lt;Calc!$F$2:$F$1001)*(K283-(L283+Calc!$J$2:$J$1001))+((K283-(L283+Calc!$J$2:$J$1001))&gt;=Calc!$F$2:$F$1001)*Calc!$F$2:$F$1001))))</f>
        <v/>
      </c>
      <c r="Q283">
        <f>IF(I283=0,0,(MIN(MAX((K283+M283),0),L283)*W283+SUMPRODUCT((Calc!$A$2:$A$1001=A283)*Calc!$G$2:$G$1001*((((K283+M283)-(L283+Calc!$J$2:$J$1001))&gt;0)*(((K283+M283)-(L283+Calc!$J$2:$J$1001))&lt;Calc!$F$2:$F$1001)*((K283+M283)-(L283+Calc!$J$2:$J$1001))+(((K283+M283)-(L283+Calc!$J$2:$J$1001))&gt;=Calc!$F$2:$F$1001)*Calc!$F$2:$F$1001))))</f>
        <v/>
      </c>
      <c r="R283">
        <f>IF(I283=0,0,(MIN(MAX((K283+N283),0),L283)*W283+SUMPRODUCT((Calc!$A$2:$A$1001=A283)*Calc!$G$2:$G$1001*((((K283+N283)-(L283+Calc!$J$2:$J$1001))&gt;0)*(((K283+N283)-(L283+Calc!$J$2:$J$1001))&lt;Calc!$F$2:$F$1001)*((K283+N283)-(L283+Calc!$J$2:$J$1001))+(((K283+N283)-(L283+Calc!$J$2:$J$1001))&gt;=Calc!$F$2:$F$1001)*Calc!$F$2:$F$1001))))</f>
        <v/>
      </c>
      <c r="S283">
        <f>IF(I283=0,0,(MIN(MAX((K283+O283),0),L283)*W283+SUMPRODUCT((Calc!$A$2:$A$1001=A283)*Calc!$G$2:$G$1001*((((K283+O283)-(L283+Calc!$J$2:$J$1001))&gt;0)*(((K283+O283)-(L283+Calc!$J$2:$J$1001))&lt;Calc!$F$2:$F$1001)*((K283+O283)-(L283+Calc!$J$2:$J$1001))+(((K283+O283)-(L283+Calc!$J$2:$J$1001))&gt;=Calc!$F$2:$F$1001)*Calc!$F$2:$F$1001))))</f>
        <v/>
      </c>
      <c r="T283">
        <f>IF(AND(E283=1,B283="RETURN"),Transactions!E283*Transactions!G283,0)</f>
        <v/>
      </c>
      <c r="U283">
        <f>IF(AND(E283=1,B283="EXPENSE"),Transactions!J283,0)</f>
        <v/>
      </c>
      <c r="V283">
        <f>IF(AND(Transactions!A283&lt;&gt;"",E283=0),ROW(),"")</f>
        <v/>
      </c>
      <c r="W283">
        <f>IFERROR(VLOOKUP(A283,Opening!$A:$D,4,0),0)</f>
        <v/>
      </c>
    </row>
    <row r="284">
      <c r="A284">
        <f>IF(Transactions!D284="","",UPPER(TRIM(Transactions!D284)))</f>
        <v/>
      </c>
      <c r="B284">
        <f>IF(Transactions!C284="","",UPPER(TRIM(Transactions!C284)))</f>
        <v/>
      </c>
      <c r="C284">
        <f>IF(Transactions!B284="",0,YEAR(Transactions!B284)*100+MONTH(Transactions!B284))</f>
        <v/>
      </c>
      <c r="D284">
        <f>IF(Transactions!A284="",1,IF(COUNTIF(Transactions!$A$1:A283,Transactions!A284)&gt;0,1,0))</f>
        <v/>
      </c>
      <c r="E284">
        <f>IF(D284=1,0,IF(B284="RETURN",IF(COUNTIFS($A$1:A283,A284,$B$1:B283,"SALE",$E$1:E283,1)&gt;0,1,0),1))</f>
        <v/>
      </c>
      <c r="F284">
        <f>IF(E284=1,IF(B284="RECEIPT",Transactions!E284,IF(AND(B284="RETURN",LOWER(TRIM(Transactions!H284))="resellable"),Transactions!E284,0)),0)</f>
        <v/>
      </c>
      <c r="G284">
        <f>IF(F284&gt;0,IF(B284="RECEIPT",Transactions!F284,IF(_xlfn.MAXIFS($H$2:H284,$A$2:A284,A284)&gt;0,INDEX(Transactions!$F:$F,_xlfn.MAXIFS($H$2:H284,$A$2:A284,A284)),W284)),0)</f>
        <v/>
      </c>
      <c r="H284">
        <f>IF(AND(E284=1,B284="RECEIPT"),ROW(),0)</f>
        <v/>
      </c>
      <c r="I284">
        <f>IF(E284=1,IF(OR(B284="SALE",B284="WRITEOFF"),Transactions!E284,0),0)</f>
        <v/>
      </c>
      <c r="J284">
        <f>SUMIFS($F$1:F283,$A$1:A283,A284)</f>
        <v/>
      </c>
      <c r="K284">
        <f>SUMIFS($I$1:I283,$A$1:A283,A284)</f>
        <v/>
      </c>
      <c r="L284">
        <f>IFERROR(VLOOKUP(A284,Opening!$A:$C,3,0),0)</f>
        <v/>
      </c>
      <c r="M284">
        <f>IF(I284=0,0,MAX(0,MIN(INDEX(Month!H$2:H$13,MATCH($A284,Month!$A$2:$A$13,0))-K284,I284)))</f>
        <v/>
      </c>
      <c r="N284">
        <f>IF(I284=0,0,MAX(0,MIN(INDEX(Month!I$2:I$13,MATCH($A284,Month!$A$2:$A$13,0))-K284,I284)))</f>
        <v/>
      </c>
      <c r="O284">
        <f>IF(I284=0,0,MAX(0,MIN(INDEX(Month!J$2:J$13,MATCH($A284,Month!$A$2:$A$13,0))-K284,I284)))</f>
        <v/>
      </c>
      <c r="P284">
        <f>IF(I284=0,0,(MIN(MAX(K284,0),L284)*W284+SUMPRODUCT((Calc!$A$2:$A$1001=A284)*Calc!$G$2:$G$1001*(((K284-(L284+Calc!$J$2:$J$1001))&gt;0)*((K284-(L284+Calc!$J$2:$J$1001))&lt;Calc!$F$2:$F$1001)*(K284-(L284+Calc!$J$2:$J$1001))+((K284-(L284+Calc!$J$2:$J$1001))&gt;=Calc!$F$2:$F$1001)*Calc!$F$2:$F$1001))))</f>
        <v/>
      </c>
      <c r="Q284">
        <f>IF(I284=0,0,(MIN(MAX((K284+M284),0),L284)*W284+SUMPRODUCT((Calc!$A$2:$A$1001=A284)*Calc!$G$2:$G$1001*((((K284+M284)-(L284+Calc!$J$2:$J$1001))&gt;0)*(((K284+M284)-(L284+Calc!$J$2:$J$1001))&lt;Calc!$F$2:$F$1001)*((K284+M284)-(L284+Calc!$J$2:$J$1001))+(((K284+M284)-(L284+Calc!$J$2:$J$1001))&gt;=Calc!$F$2:$F$1001)*Calc!$F$2:$F$1001))))</f>
        <v/>
      </c>
      <c r="R284">
        <f>IF(I284=0,0,(MIN(MAX((K284+N284),0),L284)*W284+SUMPRODUCT((Calc!$A$2:$A$1001=A284)*Calc!$G$2:$G$1001*((((K284+N284)-(L284+Calc!$J$2:$J$1001))&gt;0)*(((K284+N284)-(L284+Calc!$J$2:$J$1001))&lt;Calc!$F$2:$F$1001)*((K284+N284)-(L284+Calc!$J$2:$J$1001))+(((K284+N284)-(L284+Calc!$J$2:$J$1001))&gt;=Calc!$F$2:$F$1001)*Calc!$F$2:$F$1001))))</f>
        <v/>
      </c>
      <c r="S284">
        <f>IF(I284=0,0,(MIN(MAX((K284+O284),0),L284)*W284+SUMPRODUCT((Calc!$A$2:$A$1001=A284)*Calc!$G$2:$G$1001*((((K284+O284)-(L284+Calc!$J$2:$J$1001))&gt;0)*(((K284+O284)-(L284+Calc!$J$2:$J$1001))&lt;Calc!$F$2:$F$1001)*((K284+O284)-(L284+Calc!$J$2:$J$1001))+(((K284+O284)-(L284+Calc!$J$2:$J$1001))&gt;=Calc!$F$2:$F$1001)*Calc!$F$2:$F$1001))))</f>
        <v/>
      </c>
      <c r="T284">
        <f>IF(AND(E284=1,B284="RETURN"),Transactions!E284*Transactions!G284,0)</f>
        <v/>
      </c>
      <c r="U284">
        <f>IF(AND(E284=1,B284="EXPENSE"),Transactions!J284,0)</f>
        <v/>
      </c>
      <c r="V284">
        <f>IF(AND(Transactions!A284&lt;&gt;"",E284=0),ROW(),"")</f>
        <v/>
      </c>
      <c r="W284">
        <f>IFERROR(VLOOKUP(A284,Opening!$A:$D,4,0),0)</f>
        <v/>
      </c>
    </row>
    <row r="285">
      <c r="A285">
        <f>IF(Transactions!D285="","",UPPER(TRIM(Transactions!D285)))</f>
        <v/>
      </c>
      <c r="B285">
        <f>IF(Transactions!C285="","",UPPER(TRIM(Transactions!C285)))</f>
        <v/>
      </c>
      <c r="C285">
        <f>IF(Transactions!B285="",0,YEAR(Transactions!B285)*100+MONTH(Transactions!B285))</f>
        <v/>
      </c>
      <c r="D285">
        <f>IF(Transactions!A285="",1,IF(COUNTIF(Transactions!$A$1:A284,Transactions!A285)&gt;0,1,0))</f>
        <v/>
      </c>
      <c r="E285">
        <f>IF(D285=1,0,IF(B285="RETURN",IF(COUNTIFS($A$1:A284,A285,$B$1:B284,"SALE",$E$1:E284,1)&gt;0,1,0),1))</f>
        <v/>
      </c>
      <c r="F285">
        <f>IF(E285=1,IF(B285="RECEIPT",Transactions!E285,IF(AND(B285="RETURN",LOWER(TRIM(Transactions!H285))="resellable"),Transactions!E285,0)),0)</f>
        <v/>
      </c>
      <c r="G285">
        <f>IF(F285&gt;0,IF(B285="RECEIPT",Transactions!F285,IF(_xlfn.MAXIFS($H$2:H285,$A$2:A285,A285)&gt;0,INDEX(Transactions!$F:$F,_xlfn.MAXIFS($H$2:H285,$A$2:A285,A285)),W285)),0)</f>
        <v/>
      </c>
      <c r="H285">
        <f>IF(AND(E285=1,B285="RECEIPT"),ROW(),0)</f>
        <v/>
      </c>
      <c r="I285">
        <f>IF(E285=1,IF(OR(B285="SALE",B285="WRITEOFF"),Transactions!E285,0),0)</f>
        <v/>
      </c>
      <c r="J285">
        <f>SUMIFS($F$1:F284,$A$1:A284,A285)</f>
        <v/>
      </c>
      <c r="K285">
        <f>SUMIFS($I$1:I284,$A$1:A284,A285)</f>
        <v/>
      </c>
      <c r="L285">
        <f>IFERROR(VLOOKUP(A285,Opening!$A:$C,3,0),0)</f>
        <v/>
      </c>
      <c r="M285">
        <f>IF(I285=0,0,MAX(0,MIN(INDEX(Month!H$2:H$13,MATCH($A285,Month!$A$2:$A$13,0))-K285,I285)))</f>
        <v/>
      </c>
      <c r="N285">
        <f>IF(I285=0,0,MAX(0,MIN(INDEX(Month!I$2:I$13,MATCH($A285,Month!$A$2:$A$13,0))-K285,I285)))</f>
        <v/>
      </c>
      <c r="O285">
        <f>IF(I285=0,0,MAX(0,MIN(INDEX(Month!J$2:J$13,MATCH($A285,Month!$A$2:$A$13,0))-K285,I285)))</f>
        <v/>
      </c>
      <c r="P285">
        <f>IF(I285=0,0,(MIN(MAX(K285,0),L285)*W285+SUMPRODUCT((Calc!$A$2:$A$1001=A285)*Calc!$G$2:$G$1001*(((K285-(L285+Calc!$J$2:$J$1001))&gt;0)*((K285-(L285+Calc!$J$2:$J$1001))&lt;Calc!$F$2:$F$1001)*(K285-(L285+Calc!$J$2:$J$1001))+((K285-(L285+Calc!$J$2:$J$1001))&gt;=Calc!$F$2:$F$1001)*Calc!$F$2:$F$1001))))</f>
        <v/>
      </c>
      <c r="Q285">
        <f>IF(I285=0,0,(MIN(MAX((K285+M285),0),L285)*W285+SUMPRODUCT((Calc!$A$2:$A$1001=A285)*Calc!$G$2:$G$1001*((((K285+M285)-(L285+Calc!$J$2:$J$1001))&gt;0)*(((K285+M285)-(L285+Calc!$J$2:$J$1001))&lt;Calc!$F$2:$F$1001)*((K285+M285)-(L285+Calc!$J$2:$J$1001))+(((K285+M285)-(L285+Calc!$J$2:$J$1001))&gt;=Calc!$F$2:$F$1001)*Calc!$F$2:$F$1001))))</f>
        <v/>
      </c>
      <c r="R285">
        <f>IF(I285=0,0,(MIN(MAX((K285+N285),0),L285)*W285+SUMPRODUCT((Calc!$A$2:$A$1001=A285)*Calc!$G$2:$G$1001*((((K285+N285)-(L285+Calc!$J$2:$J$1001))&gt;0)*(((K285+N285)-(L285+Calc!$J$2:$J$1001))&lt;Calc!$F$2:$F$1001)*((K285+N285)-(L285+Calc!$J$2:$J$1001))+(((K285+N285)-(L285+Calc!$J$2:$J$1001))&gt;=Calc!$F$2:$F$1001)*Calc!$F$2:$F$1001))))</f>
        <v/>
      </c>
      <c r="S285">
        <f>IF(I285=0,0,(MIN(MAX((K285+O285),0),L285)*W285+SUMPRODUCT((Calc!$A$2:$A$1001=A285)*Calc!$G$2:$G$1001*((((K285+O285)-(L285+Calc!$J$2:$J$1001))&gt;0)*(((K285+O285)-(L285+Calc!$J$2:$J$1001))&lt;Calc!$F$2:$F$1001)*((K285+O285)-(L285+Calc!$J$2:$J$1001))+(((K285+O285)-(L285+Calc!$J$2:$J$1001))&gt;=Calc!$F$2:$F$1001)*Calc!$F$2:$F$1001))))</f>
        <v/>
      </c>
      <c r="T285">
        <f>IF(AND(E285=1,B285="RETURN"),Transactions!E285*Transactions!G285,0)</f>
        <v/>
      </c>
      <c r="U285">
        <f>IF(AND(E285=1,B285="EXPENSE"),Transactions!J285,0)</f>
        <v/>
      </c>
      <c r="V285">
        <f>IF(AND(Transactions!A285&lt;&gt;"",E285=0),ROW(),"")</f>
        <v/>
      </c>
      <c r="W285">
        <f>IFERROR(VLOOKUP(A285,Opening!$A:$D,4,0),0)</f>
        <v/>
      </c>
    </row>
    <row r="286">
      <c r="A286">
        <f>IF(Transactions!D286="","",UPPER(TRIM(Transactions!D286)))</f>
        <v/>
      </c>
      <c r="B286">
        <f>IF(Transactions!C286="","",UPPER(TRIM(Transactions!C286)))</f>
        <v/>
      </c>
      <c r="C286">
        <f>IF(Transactions!B286="",0,YEAR(Transactions!B286)*100+MONTH(Transactions!B286))</f>
        <v/>
      </c>
      <c r="D286">
        <f>IF(Transactions!A286="",1,IF(COUNTIF(Transactions!$A$1:A285,Transactions!A286)&gt;0,1,0))</f>
        <v/>
      </c>
      <c r="E286">
        <f>IF(D286=1,0,IF(B286="RETURN",IF(COUNTIFS($A$1:A285,A286,$B$1:B285,"SALE",$E$1:E285,1)&gt;0,1,0),1))</f>
        <v/>
      </c>
      <c r="F286">
        <f>IF(E286=1,IF(B286="RECEIPT",Transactions!E286,IF(AND(B286="RETURN",LOWER(TRIM(Transactions!H286))="resellable"),Transactions!E286,0)),0)</f>
        <v/>
      </c>
      <c r="G286">
        <f>IF(F286&gt;0,IF(B286="RECEIPT",Transactions!F286,IF(_xlfn.MAXIFS($H$2:H286,$A$2:A286,A286)&gt;0,INDEX(Transactions!$F:$F,_xlfn.MAXIFS($H$2:H286,$A$2:A286,A286)),W286)),0)</f>
        <v/>
      </c>
      <c r="H286">
        <f>IF(AND(E286=1,B286="RECEIPT"),ROW(),0)</f>
        <v/>
      </c>
      <c r="I286">
        <f>IF(E286=1,IF(OR(B286="SALE",B286="WRITEOFF"),Transactions!E286,0),0)</f>
        <v/>
      </c>
      <c r="J286">
        <f>SUMIFS($F$1:F285,$A$1:A285,A286)</f>
        <v/>
      </c>
      <c r="K286">
        <f>SUMIFS($I$1:I285,$A$1:A285,A286)</f>
        <v/>
      </c>
      <c r="L286">
        <f>IFERROR(VLOOKUP(A286,Opening!$A:$C,3,0),0)</f>
        <v/>
      </c>
      <c r="M286">
        <f>IF(I286=0,0,MAX(0,MIN(INDEX(Month!H$2:H$13,MATCH($A286,Month!$A$2:$A$13,0))-K286,I286)))</f>
        <v/>
      </c>
      <c r="N286">
        <f>IF(I286=0,0,MAX(0,MIN(INDEX(Month!I$2:I$13,MATCH($A286,Month!$A$2:$A$13,0))-K286,I286)))</f>
        <v/>
      </c>
      <c r="O286">
        <f>IF(I286=0,0,MAX(0,MIN(INDEX(Month!J$2:J$13,MATCH($A286,Month!$A$2:$A$13,0))-K286,I286)))</f>
        <v/>
      </c>
      <c r="P286">
        <f>IF(I286=0,0,(MIN(MAX(K286,0),L286)*W286+SUMPRODUCT((Calc!$A$2:$A$1001=A286)*Calc!$G$2:$G$1001*(((K286-(L286+Calc!$J$2:$J$1001))&gt;0)*((K286-(L286+Calc!$J$2:$J$1001))&lt;Calc!$F$2:$F$1001)*(K286-(L286+Calc!$J$2:$J$1001))+((K286-(L286+Calc!$J$2:$J$1001))&gt;=Calc!$F$2:$F$1001)*Calc!$F$2:$F$1001))))</f>
        <v/>
      </c>
      <c r="Q286">
        <f>IF(I286=0,0,(MIN(MAX((K286+M286),0),L286)*W286+SUMPRODUCT((Calc!$A$2:$A$1001=A286)*Calc!$G$2:$G$1001*((((K286+M286)-(L286+Calc!$J$2:$J$1001))&gt;0)*(((K286+M286)-(L286+Calc!$J$2:$J$1001))&lt;Calc!$F$2:$F$1001)*((K286+M286)-(L286+Calc!$J$2:$J$1001))+(((K286+M286)-(L286+Calc!$J$2:$J$1001))&gt;=Calc!$F$2:$F$1001)*Calc!$F$2:$F$1001))))</f>
        <v/>
      </c>
      <c r="R286">
        <f>IF(I286=0,0,(MIN(MAX((K286+N286),0),L286)*W286+SUMPRODUCT((Calc!$A$2:$A$1001=A286)*Calc!$G$2:$G$1001*((((K286+N286)-(L286+Calc!$J$2:$J$1001))&gt;0)*(((K286+N286)-(L286+Calc!$J$2:$J$1001))&lt;Calc!$F$2:$F$1001)*((K286+N286)-(L286+Calc!$J$2:$J$1001))+(((K286+N286)-(L286+Calc!$J$2:$J$1001))&gt;=Calc!$F$2:$F$1001)*Calc!$F$2:$F$1001))))</f>
        <v/>
      </c>
      <c r="S286">
        <f>IF(I286=0,0,(MIN(MAX((K286+O286),0),L286)*W286+SUMPRODUCT((Calc!$A$2:$A$1001=A286)*Calc!$G$2:$G$1001*((((K286+O286)-(L286+Calc!$J$2:$J$1001))&gt;0)*(((K286+O286)-(L286+Calc!$J$2:$J$1001))&lt;Calc!$F$2:$F$1001)*((K286+O286)-(L286+Calc!$J$2:$J$1001))+(((K286+O286)-(L286+Calc!$J$2:$J$1001))&gt;=Calc!$F$2:$F$1001)*Calc!$F$2:$F$1001))))</f>
        <v/>
      </c>
      <c r="T286">
        <f>IF(AND(E286=1,B286="RETURN"),Transactions!E286*Transactions!G286,0)</f>
        <v/>
      </c>
      <c r="U286">
        <f>IF(AND(E286=1,B286="EXPENSE"),Transactions!J286,0)</f>
        <v/>
      </c>
      <c r="V286">
        <f>IF(AND(Transactions!A286&lt;&gt;"",E286=0),ROW(),"")</f>
        <v/>
      </c>
      <c r="W286">
        <f>IFERROR(VLOOKUP(A286,Opening!$A:$D,4,0),0)</f>
        <v/>
      </c>
    </row>
    <row r="287">
      <c r="A287">
        <f>IF(Transactions!D287="","",UPPER(TRIM(Transactions!D287)))</f>
        <v/>
      </c>
      <c r="B287">
        <f>IF(Transactions!C287="","",UPPER(TRIM(Transactions!C287)))</f>
        <v/>
      </c>
      <c r="C287">
        <f>IF(Transactions!B287="",0,YEAR(Transactions!B287)*100+MONTH(Transactions!B287))</f>
        <v/>
      </c>
      <c r="D287">
        <f>IF(Transactions!A287="",1,IF(COUNTIF(Transactions!$A$1:A286,Transactions!A287)&gt;0,1,0))</f>
        <v/>
      </c>
      <c r="E287">
        <f>IF(D287=1,0,IF(B287="RETURN",IF(COUNTIFS($A$1:A286,A287,$B$1:B286,"SALE",$E$1:E286,1)&gt;0,1,0),1))</f>
        <v/>
      </c>
      <c r="F287">
        <f>IF(E287=1,IF(B287="RECEIPT",Transactions!E287,IF(AND(B287="RETURN",LOWER(TRIM(Transactions!H287))="resellable"),Transactions!E287,0)),0)</f>
        <v/>
      </c>
      <c r="G287">
        <f>IF(F287&gt;0,IF(B287="RECEIPT",Transactions!F287,IF(_xlfn.MAXIFS($H$2:H287,$A$2:A287,A287)&gt;0,INDEX(Transactions!$F:$F,_xlfn.MAXIFS($H$2:H287,$A$2:A287,A287)),W287)),0)</f>
        <v/>
      </c>
      <c r="H287">
        <f>IF(AND(E287=1,B287="RECEIPT"),ROW(),0)</f>
        <v/>
      </c>
      <c r="I287">
        <f>IF(E287=1,IF(OR(B287="SALE",B287="WRITEOFF"),Transactions!E287,0),0)</f>
        <v/>
      </c>
      <c r="J287">
        <f>SUMIFS($F$1:F286,$A$1:A286,A287)</f>
        <v/>
      </c>
      <c r="K287">
        <f>SUMIFS($I$1:I286,$A$1:A286,A287)</f>
        <v/>
      </c>
      <c r="L287">
        <f>IFERROR(VLOOKUP(A287,Opening!$A:$C,3,0),0)</f>
        <v/>
      </c>
      <c r="M287">
        <f>IF(I287=0,0,MAX(0,MIN(INDEX(Month!H$2:H$13,MATCH($A287,Month!$A$2:$A$13,0))-K287,I287)))</f>
        <v/>
      </c>
      <c r="N287">
        <f>IF(I287=0,0,MAX(0,MIN(INDEX(Month!I$2:I$13,MATCH($A287,Month!$A$2:$A$13,0))-K287,I287)))</f>
        <v/>
      </c>
      <c r="O287">
        <f>IF(I287=0,0,MAX(0,MIN(INDEX(Month!J$2:J$13,MATCH($A287,Month!$A$2:$A$13,0))-K287,I287)))</f>
        <v/>
      </c>
      <c r="P287">
        <f>IF(I287=0,0,(MIN(MAX(K287,0),L287)*W287+SUMPRODUCT((Calc!$A$2:$A$1001=A287)*Calc!$G$2:$G$1001*(((K287-(L287+Calc!$J$2:$J$1001))&gt;0)*((K287-(L287+Calc!$J$2:$J$1001))&lt;Calc!$F$2:$F$1001)*(K287-(L287+Calc!$J$2:$J$1001))+((K287-(L287+Calc!$J$2:$J$1001))&gt;=Calc!$F$2:$F$1001)*Calc!$F$2:$F$1001))))</f>
        <v/>
      </c>
      <c r="Q287">
        <f>IF(I287=0,0,(MIN(MAX((K287+M287),0),L287)*W287+SUMPRODUCT((Calc!$A$2:$A$1001=A287)*Calc!$G$2:$G$1001*((((K287+M287)-(L287+Calc!$J$2:$J$1001))&gt;0)*(((K287+M287)-(L287+Calc!$J$2:$J$1001))&lt;Calc!$F$2:$F$1001)*((K287+M287)-(L287+Calc!$J$2:$J$1001))+(((K287+M287)-(L287+Calc!$J$2:$J$1001))&gt;=Calc!$F$2:$F$1001)*Calc!$F$2:$F$1001))))</f>
        <v/>
      </c>
      <c r="R287">
        <f>IF(I287=0,0,(MIN(MAX((K287+N287),0),L287)*W287+SUMPRODUCT((Calc!$A$2:$A$1001=A287)*Calc!$G$2:$G$1001*((((K287+N287)-(L287+Calc!$J$2:$J$1001))&gt;0)*(((K287+N287)-(L287+Calc!$J$2:$J$1001))&lt;Calc!$F$2:$F$1001)*((K287+N287)-(L287+Calc!$J$2:$J$1001))+(((K287+N287)-(L287+Calc!$J$2:$J$1001))&gt;=Calc!$F$2:$F$1001)*Calc!$F$2:$F$1001))))</f>
        <v/>
      </c>
      <c r="S287">
        <f>IF(I287=0,0,(MIN(MAX((K287+O287),0),L287)*W287+SUMPRODUCT((Calc!$A$2:$A$1001=A287)*Calc!$G$2:$G$1001*((((K287+O287)-(L287+Calc!$J$2:$J$1001))&gt;0)*(((K287+O287)-(L287+Calc!$J$2:$J$1001))&lt;Calc!$F$2:$F$1001)*((K287+O287)-(L287+Calc!$J$2:$J$1001))+(((K287+O287)-(L287+Calc!$J$2:$J$1001))&gt;=Calc!$F$2:$F$1001)*Calc!$F$2:$F$1001))))</f>
        <v/>
      </c>
      <c r="T287">
        <f>IF(AND(E287=1,B287="RETURN"),Transactions!E287*Transactions!G287,0)</f>
        <v/>
      </c>
      <c r="U287">
        <f>IF(AND(E287=1,B287="EXPENSE"),Transactions!J287,0)</f>
        <v/>
      </c>
      <c r="V287">
        <f>IF(AND(Transactions!A287&lt;&gt;"",E287=0),ROW(),"")</f>
        <v/>
      </c>
      <c r="W287">
        <f>IFERROR(VLOOKUP(A287,Opening!$A:$D,4,0),0)</f>
        <v/>
      </c>
    </row>
    <row r="288">
      <c r="A288">
        <f>IF(Transactions!D288="","",UPPER(TRIM(Transactions!D288)))</f>
        <v/>
      </c>
      <c r="B288">
        <f>IF(Transactions!C288="","",UPPER(TRIM(Transactions!C288)))</f>
        <v/>
      </c>
      <c r="C288">
        <f>IF(Transactions!B288="",0,YEAR(Transactions!B288)*100+MONTH(Transactions!B288))</f>
        <v/>
      </c>
      <c r="D288">
        <f>IF(Transactions!A288="",1,IF(COUNTIF(Transactions!$A$1:A287,Transactions!A288)&gt;0,1,0))</f>
        <v/>
      </c>
      <c r="E288">
        <f>IF(D288=1,0,IF(B288="RETURN",IF(COUNTIFS($A$1:A287,A288,$B$1:B287,"SALE",$E$1:E287,1)&gt;0,1,0),1))</f>
        <v/>
      </c>
      <c r="F288">
        <f>IF(E288=1,IF(B288="RECEIPT",Transactions!E288,IF(AND(B288="RETURN",LOWER(TRIM(Transactions!H288))="resellable"),Transactions!E288,0)),0)</f>
        <v/>
      </c>
      <c r="G288">
        <f>IF(F288&gt;0,IF(B288="RECEIPT",Transactions!F288,IF(_xlfn.MAXIFS($H$2:H288,$A$2:A288,A288)&gt;0,INDEX(Transactions!$F:$F,_xlfn.MAXIFS($H$2:H288,$A$2:A288,A288)),W288)),0)</f>
        <v/>
      </c>
      <c r="H288">
        <f>IF(AND(E288=1,B288="RECEIPT"),ROW(),0)</f>
        <v/>
      </c>
      <c r="I288">
        <f>IF(E288=1,IF(OR(B288="SALE",B288="WRITEOFF"),Transactions!E288,0),0)</f>
        <v/>
      </c>
      <c r="J288">
        <f>SUMIFS($F$1:F287,$A$1:A287,A288)</f>
        <v/>
      </c>
      <c r="K288">
        <f>SUMIFS($I$1:I287,$A$1:A287,A288)</f>
        <v/>
      </c>
      <c r="L288">
        <f>IFERROR(VLOOKUP(A288,Opening!$A:$C,3,0),0)</f>
        <v/>
      </c>
      <c r="M288">
        <f>IF(I288=0,0,MAX(0,MIN(INDEX(Month!H$2:H$13,MATCH($A288,Month!$A$2:$A$13,0))-K288,I288)))</f>
        <v/>
      </c>
      <c r="N288">
        <f>IF(I288=0,0,MAX(0,MIN(INDEX(Month!I$2:I$13,MATCH($A288,Month!$A$2:$A$13,0))-K288,I288)))</f>
        <v/>
      </c>
      <c r="O288">
        <f>IF(I288=0,0,MAX(0,MIN(INDEX(Month!J$2:J$13,MATCH($A288,Month!$A$2:$A$13,0))-K288,I288)))</f>
        <v/>
      </c>
      <c r="P288">
        <f>IF(I288=0,0,(MIN(MAX(K288,0),L288)*W288+SUMPRODUCT((Calc!$A$2:$A$1001=A288)*Calc!$G$2:$G$1001*(((K288-(L288+Calc!$J$2:$J$1001))&gt;0)*((K288-(L288+Calc!$J$2:$J$1001))&lt;Calc!$F$2:$F$1001)*(K288-(L288+Calc!$J$2:$J$1001))+((K288-(L288+Calc!$J$2:$J$1001))&gt;=Calc!$F$2:$F$1001)*Calc!$F$2:$F$1001))))</f>
        <v/>
      </c>
      <c r="Q288">
        <f>IF(I288=0,0,(MIN(MAX((K288+M288),0),L288)*W288+SUMPRODUCT((Calc!$A$2:$A$1001=A288)*Calc!$G$2:$G$1001*((((K288+M288)-(L288+Calc!$J$2:$J$1001))&gt;0)*(((K288+M288)-(L288+Calc!$J$2:$J$1001))&lt;Calc!$F$2:$F$1001)*((K288+M288)-(L288+Calc!$J$2:$J$1001))+(((K288+M288)-(L288+Calc!$J$2:$J$1001))&gt;=Calc!$F$2:$F$1001)*Calc!$F$2:$F$1001))))</f>
        <v/>
      </c>
      <c r="R288">
        <f>IF(I288=0,0,(MIN(MAX((K288+N288),0),L288)*W288+SUMPRODUCT((Calc!$A$2:$A$1001=A288)*Calc!$G$2:$G$1001*((((K288+N288)-(L288+Calc!$J$2:$J$1001))&gt;0)*(((K288+N288)-(L288+Calc!$J$2:$J$1001))&lt;Calc!$F$2:$F$1001)*((K288+N288)-(L288+Calc!$J$2:$J$1001))+(((K288+N288)-(L288+Calc!$J$2:$J$1001))&gt;=Calc!$F$2:$F$1001)*Calc!$F$2:$F$1001))))</f>
        <v/>
      </c>
      <c r="S288">
        <f>IF(I288=0,0,(MIN(MAX((K288+O288),0),L288)*W288+SUMPRODUCT((Calc!$A$2:$A$1001=A288)*Calc!$G$2:$G$1001*((((K288+O288)-(L288+Calc!$J$2:$J$1001))&gt;0)*(((K288+O288)-(L288+Calc!$J$2:$J$1001))&lt;Calc!$F$2:$F$1001)*((K288+O288)-(L288+Calc!$J$2:$J$1001))+(((K288+O288)-(L288+Calc!$J$2:$J$1001))&gt;=Calc!$F$2:$F$1001)*Calc!$F$2:$F$1001))))</f>
        <v/>
      </c>
      <c r="T288">
        <f>IF(AND(E288=1,B288="RETURN"),Transactions!E288*Transactions!G288,0)</f>
        <v/>
      </c>
      <c r="U288">
        <f>IF(AND(E288=1,B288="EXPENSE"),Transactions!J288,0)</f>
        <v/>
      </c>
      <c r="V288">
        <f>IF(AND(Transactions!A288&lt;&gt;"",E288=0),ROW(),"")</f>
        <v/>
      </c>
      <c r="W288">
        <f>IFERROR(VLOOKUP(A288,Opening!$A:$D,4,0),0)</f>
        <v/>
      </c>
    </row>
    <row r="289">
      <c r="A289">
        <f>IF(Transactions!D289="","",UPPER(TRIM(Transactions!D289)))</f>
        <v/>
      </c>
      <c r="B289">
        <f>IF(Transactions!C289="","",UPPER(TRIM(Transactions!C289)))</f>
        <v/>
      </c>
      <c r="C289">
        <f>IF(Transactions!B289="",0,YEAR(Transactions!B289)*100+MONTH(Transactions!B289))</f>
        <v/>
      </c>
      <c r="D289">
        <f>IF(Transactions!A289="",1,IF(COUNTIF(Transactions!$A$1:A288,Transactions!A289)&gt;0,1,0))</f>
        <v/>
      </c>
      <c r="E289">
        <f>IF(D289=1,0,IF(B289="RETURN",IF(COUNTIFS($A$1:A288,A289,$B$1:B288,"SALE",$E$1:E288,1)&gt;0,1,0),1))</f>
        <v/>
      </c>
      <c r="F289">
        <f>IF(E289=1,IF(B289="RECEIPT",Transactions!E289,IF(AND(B289="RETURN",LOWER(TRIM(Transactions!H289))="resellable"),Transactions!E289,0)),0)</f>
        <v/>
      </c>
      <c r="G289">
        <f>IF(F289&gt;0,IF(B289="RECEIPT",Transactions!F289,IF(_xlfn.MAXIFS($H$2:H289,$A$2:A289,A289)&gt;0,INDEX(Transactions!$F:$F,_xlfn.MAXIFS($H$2:H289,$A$2:A289,A289)),W289)),0)</f>
        <v/>
      </c>
      <c r="H289">
        <f>IF(AND(E289=1,B289="RECEIPT"),ROW(),0)</f>
        <v/>
      </c>
      <c r="I289">
        <f>IF(E289=1,IF(OR(B289="SALE",B289="WRITEOFF"),Transactions!E289,0),0)</f>
        <v/>
      </c>
      <c r="J289">
        <f>SUMIFS($F$1:F288,$A$1:A288,A289)</f>
        <v/>
      </c>
      <c r="K289">
        <f>SUMIFS($I$1:I288,$A$1:A288,A289)</f>
        <v/>
      </c>
      <c r="L289">
        <f>IFERROR(VLOOKUP(A289,Opening!$A:$C,3,0),0)</f>
        <v/>
      </c>
      <c r="M289">
        <f>IF(I289=0,0,MAX(0,MIN(INDEX(Month!H$2:H$13,MATCH($A289,Month!$A$2:$A$13,0))-K289,I289)))</f>
        <v/>
      </c>
      <c r="N289">
        <f>IF(I289=0,0,MAX(0,MIN(INDEX(Month!I$2:I$13,MATCH($A289,Month!$A$2:$A$13,0))-K289,I289)))</f>
        <v/>
      </c>
      <c r="O289">
        <f>IF(I289=0,0,MAX(0,MIN(INDEX(Month!J$2:J$13,MATCH($A289,Month!$A$2:$A$13,0))-K289,I289)))</f>
        <v/>
      </c>
      <c r="P289">
        <f>IF(I289=0,0,(MIN(MAX(K289,0),L289)*W289+SUMPRODUCT((Calc!$A$2:$A$1001=A289)*Calc!$G$2:$G$1001*(((K289-(L289+Calc!$J$2:$J$1001))&gt;0)*((K289-(L289+Calc!$J$2:$J$1001))&lt;Calc!$F$2:$F$1001)*(K289-(L289+Calc!$J$2:$J$1001))+((K289-(L289+Calc!$J$2:$J$1001))&gt;=Calc!$F$2:$F$1001)*Calc!$F$2:$F$1001))))</f>
        <v/>
      </c>
      <c r="Q289">
        <f>IF(I289=0,0,(MIN(MAX((K289+M289),0),L289)*W289+SUMPRODUCT((Calc!$A$2:$A$1001=A289)*Calc!$G$2:$G$1001*((((K289+M289)-(L289+Calc!$J$2:$J$1001))&gt;0)*(((K289+M289)-(L289+Calc!$J$2:$J$1001))&lt;Calc!$F$2:$F$1001)*((K289+M289)-(L289+Calc!$J$2:$J$1001))+(((K289+M289)-(L289+Calc!$J$2:$J$1001))&gt;=Calc!$F$2:$F$1001)*Calc!$F$2:$F$1001))))</f>
        <v/>
      </c>
      <c r="R289">
        <f>IF(I289=0,0,(MIN(MAX((K289+N289),0),L289)*W289+SUMPRODUCT((Calc!$A$2:$A$1001=A289)*Calc!$G$2:$G$1001*((((K289+N289)-(L289+Calc!$J$2:$J$1001))&gt;0)*(((K289+N289)-(L289+Calc!$J$2:$J$1001))&lt;Calc!$F$2:$F$1001)*((K289+N289)-(L289+Calc!$J$2:$J$1001))+(((K289+N289)-(L289+Calc!$J$2:$J$1001))&gt;=Calc!$F$2:$F$1001)*Calc!$F$2:$F$1001))))</f>
        <v/>
      </c>
      <c r="S289">
        <f>IF(I289=0,0,(MIN(MAX((K289+O289),0),L289)*W289+SUMPRODUCT((Calc!$A$2:$A$1001=A289)*Calc!$G$2:$G$1001*((((K289+O289)-(L289+Calc!$J$2:$J$1001))&gt;0)*(((K289+O289)-(L289+Calc!$J$2:$J$1001))&lt;Calc!$F$2:$F$1001)*((K289+O289)-(L289+Calc!$J$2:$J$1001))+(((K289+O289)-(L289+Calc!$J$2:$J$1001))&gt;=Calc!$F$2:$F$1001)*Calc!$F$2:$F$1001))))</f>
        <v/>
      </c>
      <c r="T289">
        <f>IF(AND(E289=1,B289="RETURN"),Transactions!E289*Transactions!G289,0)</f>
        <v/>
      </c>
      <c r="U289">
        <f>IF(AND(E289=1,B289="EXPENSE"),Transactions!J289,0)</f>
        <v/>
      </c>
      <c r="V289">
        <f>IF(AND(Transactions!A289&lt;&gt;"",E289=0),ROW(),"")</f>
        <v/>
      </c>
      <c r="W289">
        <f>IFERROR(VLOOKUP(A289,Opening!$A:$D,4,0),0)</f>
        <v/>
      </c>
    </row>
    <row r="290">
      <c r="A290">
        <f>IF(Transactions!D290="","",UPPER(TRIM(Transactions!D290)))</f>
        <v/>
      </c>
      <c r="B290">
        <f>IF(Transactions!C290="","",UPPER(TRIM(Transactions!C290)))</f>
        <v/>
      </c>
      <c r="C290">
        <f>IF(Transactions!B290="",0,YEAR(Transactions!B290)*100+MONTH(Transactions!B290))</f>
        <v/>
      </c>
      <c r="D290">
        <f>IF(Transactions!A290="",1,IF(COUNTIF(Transactions!$A$1:A289,Transactions!A290)&gt;0,1,0))</f>
        <v/>
      </c>
      <c r="E290">
        <f>IF(D290=1,0,IF(B290="RETURN",IF(COUNTIFS($A$1:A289,A290,$B$1:B289,"SALE",$E$1:E289,1)&gt;0,1,0),1))</f>
        <v/>
      </c>
      <c r="F290">
        <f>IF(E290=1,IF(B290="RECEIPT",Transactions!E290,IF(AND(B290="RETURN",LOWER(TRIM(Transactions!H290))="resellable"),Transactions!E290,0)),0)</f>
        <v/>
      </c>
      <c r="G290">
        <f>IF(F290&gt;0,IF(B290="RECEIPT",Transactions!F290,IF(_xlfn.MAXIFS($H$2:H290,$A$2:A290,A290)&gt;0,INDEX(Transactions!$F:$F,_xlfn.MAXIFS($H$2:H290,$A$2:A290,A290)),W290)),0)</f>
        <v/>
      </c>
      <c r="H290">
        <f>IF(AND(E290=1,B290="RECEIPT"),ROW(),0)</f>
        <v/>
      </c>
      <c r="I290">
        <f>IF(E290=1,IF(OR(B290="SALE",B290="WRITEOFF"),Transactions!E290,0),0)</f>
        <v/>
      </c>
      <c r="J290">
        <f>SUMIFS($F$1:F289,$A$1:A289,A290)</f>
        <v/>
      </c>
      <c r="K290">
        <f>SUMIFS($I$1:I289,$A$1:A289,A290)</f>
        <v/>
      </c>
      <c r="L290">
        <f>IFERROR(VLOOKUP(A290,Opening!$A:$C,3,0),0)</f>
        <v/>
      </c>
      <c r="M290">
        <f>IF(I290=0,0,MAX(0,MIN(INDEX(Month!H$2:H$13,MATCH($A290,Month!$A$2:$A$13,0))-K290,I290)))</f>
        <v/>
      </c>
      <c r="N290">
        <f>IF(I290=0,0,MAX(0,MIN(INDEX(Month!I$2:I$13,MATCH($A290,Month!$A$2:$A$13,0))-K290,I290)))</f>
        <v/>
      </c>
      <c r="O290">
        <f>IF(I290=0,0,MAX(0,MIN(INDEX(Month!J$2:J$13,MATCH($A290,Month!$A$2:$A$13,0))-K290,I290)))</f>
        <v/>
      </c>
      <c r="P290">
        <f>IF(I290=0,0,(MIN(MAX(K290,0),L290)*W290+SUMPRODUCT((Calc!$A$2:$A$1001=A290)*Calc!$G$2:$G$1001*(((K290-(L290+Calc!$J$2:$J$1001))&gt;0)*((K290-(L290+Calc!$J$2:$J$1001))&lt;Calc!$F$2:$F$1001)*(K290-(L290+Calc!$J$2:$J$1001))+((K290-(L290+Calc!$J$2:$J$1001))&gt;=Calc!$F$2:$F$1001)*Calc!$F$2:$F$1001))))</f>
        <v/>
      </c>
      <c r="Q290">
        <f>IF(I290=0,0,(MIN(MAX((K290+M290),0),L290)*W290+SUMPRODUCT((Calc!$A$2:$A$1001=A290)*Calc!$G$2:$G$1001*((((K290+M290)-(L290+Calc!$J$2:$J$1001))&gt;0)*(((K290+M290)-(L290+Calc!$J$2:$J$1001))&lt;Calc!$F$2:$F$1001)*((K290+M290)-(L290+Calc!$J$2:$J$1001))+(((K290+M290)-(L290+Calc!$J$2:$J$1001))&gt;=Calc!$F$2:$F$1001)*Calc!$F$2:$F$1001))))</f>
        <v/>
      </c>
      <c r="R290">
        <f>IF(I290=0,0,(MIN(MAX((K290+N290),0),L290)*W290+SUMPRODUCT((Calc!$A$2:$A$1001=A290)*Calc!$G$2:$G$1001*((((K290+N290)-(L290+Calc!$J$2:$J$1001))&gt;0)*(((K290+N290)-(L290+Calc!$J$2:$J$1001))&lt;Calc!$F$2:$F$1001)*((K290+N290)-(L290+Calc!$J$2:$J$1001))+(((K290+N290)-(L290+Calc!$J$2:$J$1001))&gt;=Calc!$F$2:$F$1001)*Calc!$F$2:$F$1001))))</f>
        <v/>
      </c>
      <c r="S290">
        <f>IF(I290=0,0,(MIN(MAX((K290+O290),0),L290)*W290+SUMPRODUCT((Calc!$A$2:$A$1001=A290)*Calc!$G$2:$G$1001*((((K290+O290)-(L290+Calc!$J$2:$J$1001))&gt;0)*(((K290+O290)-(L290+Calc!$J$2:$J$1001))&lt;Calc!$F$2:$F$1001)*((K290+O290)-(L290+Calc!$J$2:$J$1001))+(((K290+O290)-(L290+Calc!$J$2:$J$1001))&gt;=Calc!$F$2:$F$1001)*Calc!$F$2:$F$1001))))</f>
        <v/>
      </c>
      <c r="T290">
        <f>IF(AND(E290=1,B290="RETURN"),Transactions!E290*Transactions!G290,0)</f>
        <v/>
      </c>
      <c r="U290">
        <f>IF(AND(E290=1,B290="EXPENSE"),Transactions!J290,0)</f>
        <v/>
      </c>
      <c r="V290">
        <f>IF(AND(Transactions!A290&lt;&gt;"",E290=0),ROW(),"")</f>
        <v/>
      </c>
      <c r="W290">
        <f>IFERROR(VLOOKUP(A290,Opening!$A:$D,4,0),0)</f>
        <v/>
      </c>
    </row>
    <row r="291">
      <c r="A291">
        <f>IF(Transactions!D291="","",UPPER(TRIM(Transactions!D291)))</f>
        <v/>
      </c>
      <c r="B291">
        <f>IF(Transactions!C291="","",UPPER(TRIM(Transactions!C291)))</f>
        <v/>
      </c>
      <c r="C291">
        <f>IF(Transactions!B291="",0,YEAR(Transactions!B291)*100+MONTH(Transactions!B291))</f>
        <v/>
      </c>
      <c r="D291">
        <f>IF(Transactions!A291="",1,IF(COUNTIF(Transactions!$A$1:A290,Transactions!A291)&gt;0,1,0))</f>
        <v/>
      </c>
      <c r="E291">
        <f>IF(D291=1,0,IF(B291="RETURN",IF(COUNTIFS($A$1:A290,A291,$B$1:B290,"SALE",$E$1:E290,1)&gt;0,1,0),1))</f>
        <v/>
      </c>
      <c r="F291">
        <f>IF(E291=1,IF(B291="RECEIPT",Transactions!E291,IF(AND(B291="RETURN",LOWER(TRIM(Transactions!H291))="resellable"),Transactions!E291,0)),0)</f>
        <v/>
      </c>
      <c r="G291">
        <f>IF(F291&gt;0,IF(B291="RECEIPT",Transactions!F291,IF(_xlfn.MAXIFS($H$2:H291,$A$2:A291,A291)&gt;0,INDEX(Transactions!$F:$F,_xlfn.MAXIFS($H$2:H291,$A$2:A291,A291)),W291)),0)</f>
        <v/>
      </c>
      <c r="H291">
        <f>IF(AND(E291=1,B291="RECEIPT"),ROW(),0)</f>
        <v/>
      </c>
      <c r="I291">
        <f>IF(E291=1,IF(OR(B291="SALE",B291="WRITEOFF"),Transactions!E291,0),0)</f>
        <v/>
      </c>
      <c r="J291">
        <f>SUMIFS($F$1:F290,$A$1:A290,A291)</f>
        <v/>
      </c>
      <c r="K291">
        <f>SUMIFS($I$1:I290,$A$1:A290,A291)</f>
        <v/>
      </c>
      <c r="L291">
        <f>IFERROR(VLOOKUP(A291,Opening!$A:$C,3,0),0)</f>
        <v/>
      </c>
      <c r="M291">
        <f>IF(I291=0,0,MAX(0,MIN(INDEX(Month!H$2:H$13,MATCH($A291,Month!$A$2:$A$13,0))-K291,I291)))</f>
        <v/>
      </c>
      <c r="N291">
        <f>IF(I291=0,0,MAX(0,MIN(INDEX(Month!I$2:I$13,MATCH($A291,Month!$A$2:$A$13,0))-K291,I291)))</f>
        <v/>
      </c>
      <c r="O291">
        <f>IF(I291=0,0,MAX(0,MIN(INDEX(Month!J$2:J$13,MATCH($A291,Month!$A$2:$A$13,0))-K291,I291)))</f>
        <v/>
      </c>
      <c r="P291">
        <f>IF(I291=0,0,(MIN(MAX(K291,0),L291)*W291+SUMPRODUCT((Calc!$A$2:$A$1001=A291)*Calc!$G$2:$G$1001*(((K291-(L291+Calc!$J$2:$J$1001))&gt;0)*((K291-(L291+Calc!$J$2:$J$1001))&lt;Calc!$F$2:$F$1001)*(K291-(L291+Calc!$J$2:$J$1001))+((K291-(L291+Calc!$J$2:$J$1001))&gt;=Calc!$F$2:$F$1001)*Calc!$F$2:$F$1001))))</f>
        <v/>
      </c>
      <c r="Q291">
        <f>IF(I291=0,0,(MIN(MAX((K291+M291),0),L291)*W291+SUMPRODUCT((Calc!$A$2:$A$1001=A291)*Calc!$G$2:$G$1001*((((K291+M291)-(L291+Calc!$J$2:$J$1001))&gt;0)*(((K291+M291)-(L291+Calc!$J$2:$J$1001))&lt;Calc!$F$2:$F$1001)*((K291+M291)-(L291+Calc!$J$2:$J$1001))+(((K291+M291)-(L291+Calc!$J$2:$J$1001))&gt;=Calc!$F$2:$F$1001)*Calc!$F$2:$F$1001))))</f>
        <v/>
      </c>
      <c r="R291">
        <f>IF(I291=0,0,(MIN(MAX((K291+N291),0),L291)*W291+SUMPRODUCT((Calc!$A$2:$A$1001=A291)*Calc!$G$2:$G$1001*((((K291+N291)-(L291+Calc!$J$2:$J$1001))&gt;0)*(((K291+N291)-(L291+Calc!$J$2:$J$1001))&lt;Calc!$F$2:$F$1001)*((K291+N291)-(L291+Calc!$J$2:$J$1001))+(((K291+N291)-(L291+Calc!$J$2:$J$1001))&gt;=Calc!$F$2:$F$1001)*Calc!$F$2:$F$1001))))</f>
        <v/>
      </c>
      <c r="S291">
        <f>IF(I291=0,0,(MIN(MAX((K291+O291),0),L291)*W291+SUMPRODUCT((Calc!$A$2:$A$1001=A291)*Calc!$G$2:$G$1001*((((K291+O291)-(L291+Calc!$J$2:$J$1001))&gt;0)*(((K291+O291)-(L291+Calc!$J$2:$J$1001))&lt;Calc!$F$2:$F$1001)*((K291+O291)-(L291+Calc!$J$2:$J$1001))+(((K291+O291)-(L291+Calc!$J$2:$J$1001))&gt;=Calc!$F$2:$F$1001)*Calc!$F$2:$F$1001))))</f>
        <v/>
      </c>
      <c r="T291">
        <f>IF(AND(E291=1,B291="RETURN"),Transactions!E291*Transactions!G291,0)</f>
        <v/>
      </c>
      <c r="U291">
        <f>IF(AND(E291=1,B291="EXPENSE"),Transactions!J291,0)</f>
        <v/>
      </c>
      <c r="V291">
        <f>IF(AND(Transactions!A291&lt;&gt;"",E291=0),ROW(),"")</f>
        <v/>
      </c>
      <c r="W291">
        <f>IFERROR(VLOOKUP(A291,Opening!$A:$D,4,0),0)</f>
        <v/>
      </c>
    </row>
    <row r="292">
      <c r="A292">
        <f>IF(Transactions!D292="","",UPPER(TRIM(Transactions!D292)))</f>
        <v/>
      </c>
      <c r="B292">
        <f>IF(Transactions!C292="","",UPPER(TRIM(Transactions!C292)))</f>
        <v/>
      </c>
      <c r="C292">
        <f>IF(Transactions!B292="",0,YEAR(Transactions!B292)*100+MONTH(Transactions!B292))</f>
        <v/>
      </c>
      <c r="D292">
        <f>IF(Transactions!A292="",1,IF(COUNTIF(Transactions!$A$1:A291,Transactions!A292)&gt;0,1,0))</f>
        <v/>
      </c>
      <c r="E292">
        <f>IF(D292=1,0,IF(B292="RETURN",IF(COUNTIFS($A$1:A291,A292,$B$1:B291,"SALE",$E$1:E291,1)&gt;0,1,0),1))</f>
        <v/>
      </c>
      <c r="F292">
        <f>IF(E292=1,IF(B292="RECEIPT",Transactions!E292,IF(AND(B292="RETURN",LOWER(TRIM(Transactions!H292))="resellable"),Transactions!E292,0)),0)</f>
        <v/>
      </c>
      <c r="G292">
        <f>IF(F292&gt;0,IF(B292="RECEIPT",Transactions!F292,IF(_xlfn.MAXIFS($H$2:H292,$A$2:A292,A292)&gt;0,INDEX(Transactions!$F:$F,_xlfn.MAXIFS($H$2:H292,$A$2:A292,A292)),W292)),0)</f>
        <v/>
      </c>
      <c r="H292">
        <f>IF(AND(E292=1,B292="RECEIPT"),ROW(),0)</f>
        <v/>
      </c>
      <c r="I292">
        <f>IF(E292=1,IF(OR(B292="SALE",B292="WRITEOFF"),Transactions!E292,0),0)</f>
        <v/>
      </c>
      <c r="J292">
        <f>SUMIFS($F$1:F291,$A$1:A291,A292)</f>
        <v/>
      </c>
      <c r="K292">
        <f>SUMIFS($I$1:I291,$A$1:A291,A292)</f>
        <v/>
      </c>
      <c r="L292">
        <f>IFERROR(VLOOKUP(A292,Opening!$A:$C,3,0),0)</f>
        <v/>
      </c>
      <c r="M292">
        <f>IF(I292=0,0,MAX(0,MIN(INDEX(Month!H$2:H$13,MATCH($A292,Month!$A$2:$A$13,0))-K292,I292)))</f>
        <v/>
      </c>
      <c r="N292">
        <f>IF(I292=0,0,MAX(0,MIN(INDEX(Month!I$2:I$13,MATCH($A292,Month!$A$2:$A$13,0))-K292,I292)))</f>
        <v/>
      </c>
      <c r="O292">
        <f>IF(I292=0,0,MAX(0,MIN(INDEX(Month!J$2:J$13,MATCH($A292,Month!$A$2:$A$13,0))-K292,I292)))</f>
        <v/>
      </c>
      <c r="P292">
        <f>IF(I292=0,0,(MIN(MAX(K292,0),L292)*W292+SUMPRODUCT((Calc!$A$2:$A$1001=A292)*Calc!$G$2:$G$1001*(((K292-(L292+Calc!$J$2:$J$1001))&gt;0)*((K292-(L292+Calc!$J$2:$J$1001))&lt;Calc!$F$2:$F$1001)*(K292-(L292+Calc!$J$2:$J$1001))+((K292-(L292+Calc!$J$2:$J$1001))&gt;=Calc!$F$2:$F$1001)*Calc!$F$2:$F$1001))))</f>
        <v/>
      </c>
      <c r="Q292">
        <f>IF(I292=0,0,(MIN(MAX((K292+M292),0),L292)*W292+SUMPRODUCT((Calc!$A$2:$A$1001=A292)*Calc!$G$2:$G$1001*((((K292+M292)-(L292+Calc!$J$2:$J$1001))&gt;0)*(((K292+M292)-(L292+Calc!$J$2:$J$1001))&lt;Calc!$F$2:$F$1001)*((K292+M292)-(L292+Calc!$J$2:$J$1001))+(((K292+M292)-(L292+Calc!$J$2:$J$1001))&gt;=Calc!$F$2:$F$1001)*Calc!$F$2:$F$1001))))</f>
        <v/>
      </c>
      <c r="R292">
        <f>IF(I292=0,0,(MIN(MAX((K292+N292),0),L292)*W292+SUMPRODUCT((Calc!$A$2:$A$1001=A292)*Calc!$G$2:$G$1001*((((K292+N292)-(L292+Calc!$J$2:$J$1001))&gt;0)*(((K292+N292)-(L292+Calc!$J$2:$J$1001))&lt;Calc!$F$2:$F$1001)*((K292+N292)-(L292+Calc!$J$2:$J$1001))+(((K292+N292)-(L292+Calc!$J$2:$J$1001))&gt;=Calc!$F$2:$F$1001)*Calc!$F$2:$F$1001))))</f>
        <v/>
      </c>
      <c r="S292">
        <f>IF(I292=0,0,(MIN(MAX((K292+O292),0),L292)*W292+SUMPRODUCT((Calc!$A$2:$A$1001=A292)*Calc!$G$2:$G$1001*((((K292+O292)-(L292+Calc!$J$2:$J$1001))&gt;0)*(((K292+O292)-(L292+Calc!$J$2:$J$1001))&lt;Calc!$F$2:$F$1001)*((K292+O292)-(L292+Calc!$J$2:$J$1001))+(((K292+O292)-(L292+Calc!$J$2:$J$1001))&gt;=Calc!$F$2:$F$1001)*Calc!$F$2:$F$1001))))</f>
        <v/>
      </c>
      <c r="T292">
        <f>IF(AND(E292=1,B292="RETURN"),Transactions!E292*Transactions!G292,0)</f>
        <v/>
      </c>
      <c r="U292">
        <f>IF(AND(E292=1,B292="EXPENSE"),Transactions!J292,0)</f>
        <v/>
      </c>
      <c r="V292">
        <f>IF(AND(Transactions!A292&lt;&gt;"",E292=0),ROW(),"")</f>
        <v/>
      </c>
      <c r="W292">
        <f>IFERROR(VLOOKUP(A292,Opening!$A:$D,4,0),0)</f>
        <v/>
      </c>
    </row>
    <row r="293">
      <c r="A293">
        <f>IF(Transactions!D293="","",UPPER(TRIM(Transactions!D293)))</f>
        <v/>
      </c>
      <c r="B293">
        <f>IF(Transactions!C293="","",UPPER(TRIM(Transactions!C293)))</f>
        <v/>
      </c>
      <c r="C293">
        <f>IF(Transactions!B293="",0,YEAR(Transactions!B293)*100+MONTH(Transactions!B293))</f>
        <v/>
      </c>
      <c r="D293">
        <f>IF(Transactions!A293="",1,IF(COUNTIF(Transactions!$A$1:A292,Transactions!A293)&gt;0,1,0))</f>
        <v/>
      </c>
      <c r="E293">
        <f>IF(D293=1,0,IF(B293="RETURN",IF(COUNTIFS($A$1:A292,A293,$B$1:B292,"SALE",$E$1:E292,1)&gt;0,1,0),1))</f>
        <v/>
      </c>
      <c r="F293">
        <f>IF(E293=1,IF(B293="RECEIPT",Transactions!E293,IF(AND(B293="RETURN",LOWER(TRIM(Transactions!H293))="resellable"),Transactions!E293,0)),0)</f>
        <v/>
      </c>
      <c r="G293">
        <f>IF(F293&gt;0,IF(B293="RECEIPT",Transactions!F293,IF(_xlfn.MAXIFS($H$2:H293,$A$2:A293,A293)&gt;0,INDEX(Transactions!$F:$F,_xlfn.MAXIFS($H$2:H293,$A$2:A293,A293)),W293)),0)</f>
        <v/>
      </c>
      <c r="H293">
        <f>IF(AND(E293=1,B293="RECEIPT"),ROW(),0)</f>
        <v/>
      </c>
      <c r="I293">
        <f>IF(E293=1,IF(OR(B293="SALE",B293="WRITEOFF"),Transactions!E293,0),0)</f>
        <v/>
      </c>
      <c r="J293">
        <f>SUMIFS($F$1:F292,$A$1:A292,A293)</f>
        <v/>
      </c>
      <c r="K293">
        <f>SUMIFS($I$1:I292,$A$1:A292,A293)</f>
        <v/>
      </c>
      <c r="L293">
        <f>IFERROR(VLOOKUP(A293,Opening!$A:$C,3,0),0)</f>
        <v/>
      </c>
      <c r="M293">
        <f>IF(I293=0,0,MAX(0,MIN(INDEX(Month!H$2:H$13,MATCH($A293,Month!$A$2:$A$13,0))-K293,I293)))</f>
        <v/>
      </c>
      <c r="N293">
        <f>IF(I293=0,0,MAX(0,MIN(INDEX(Month!I$2:I$13,MATCH($A293,Month!$A$2:$A$13,0))-K293,I293)))</f>
        <v/>
      </c>
      <c r="O293">
        <f>IF(I293=0,0,MAX(0,MIN(INDEX(Month!J$2:J$13,MATCH($A293,Month!$A$2:$A$13,0))-K293,I293)))</f>
        <v/>
      </c>
      <c r="P293">
        <f>IF(I293=0,0,(MIN(MAX(K293,0),L293)*W293+SUMPRODUCT((Calc!$A$2:$A$1001=A293)*Calc!$G$2:$G$1001*(((K293-(L293+Calc!$J$2:$J$1001))&gt;0)*((K293-(L293+Calc!$J$2:$J$1001))&lt;Calc!$F$2:$F$1001)*(K293-(L293+Calc!$J$2:$J$1001))+((K293-(L293+Calc!$J$2:$J$1001))&gt;=Calc!$F$2:$F$1001)*Calc!$F$2:$F$1001))))</f>
        <v/>
      </c>
      <c r="Q293">
        <f>IF(I293=0,0,(MIN(MAX((K293+M293),0),L293)*W293+SUMPRODUCT((Calc!$A$2:$A$1001=A293)*Calc!$G$2:$G$1001*((((K293+M293)-(L293+Calc!$J$2:$J$1001))&gt;0)*(((K293+M293)-(L293+Calc!$J$2:$J$1001))&lt;Calc!$F$2:$F$1001)*((K293+M293)-(L293+Calc!$J$2:$J$1001))+(((K293+M293)-(L293+Calc!$J$2:$J$1001))&gt;=Calc!$F$2:$F$1001)*Calc!$F$2:$F$1001))))</f>
        <v/>
      </c>
      <c r="R293">
        <f>IF(I293=0,0,(MIN(MAX((K293+N293),0),L293)*W293+SUMPRODUCT((Calc!$A$2:$A$1001=A293)*Calc!$G$2:$G$1001*((((K293+N293)-(L293+Calc!$J$2:$J$1001))&gt;0)*(((K293+N293)-(L293+Calc!$J$2:$J$1001))&lt;Calc!$F$2:$F$1001)*((K293+N293)-(L293+Calc!$J$2:$J$1001))+(((K293+N293)-(L293+Calc!$J$2:$J$1001))&gt;=Calc!$F$2:$F$1001)*Calc!$F$2:$F$1001))))</f>
        <v/>
      </c>
      <c r="S293">
        <f>IF(I293=0,0,(MIN(MAX((K293+O293),0),L293)*W293+SUMPRODUCT((Calc!$A$2:$A$1001=A293)*Calc!$G$2:$G$1001*((((K293+O293)-(L293+Calc!$J$2:$J$1001))&gt;0)*(((K293+O293)-(L293+Calc!$J$2:$J$1001))&lt;Calc!$F$2:$F$1001)*((K293+O293)-(L293+Calc!$J$2:$J$1001))+(((K293+O293)-(L293+Calc!$J$2:$J$1001))&gt;=Calc!$F$2:$F$1001)*Calc!$F$2:$F$1001))))</f>
        <v/>
      </c>
      <c r="T293">
        <f>IF(AND(E293=1,B293="RETURN"),Transactions!E293*Transactions!G293,0)</f>
        <v/>
      </c>
      <c r="U293">
        <f>IF(AND(E293=1,B293="EXPENSE"),Transactions!J293,0)</f>
        <v/>
      </c>
      <c r="V293">
        <f>IF(AND(Transactions!A293&lt;&gt;"",E293=0),ROW(),"")</f>
        <v/>
      </c>
      <c r="W293">
        <f>IFERROR(VLOOKUP(A293,Opening!$A:$D,4,0),0)</f>
        <v/>
      </c>
    </row>
    <row r="294">
      <c r="A294">
        <f>IF(Transactions!D294="","",UPPER(TRIM(Transactions!D294)))</f>
        <v/>
      </c>
      <c r="B294">
        <f>IF(Transactions!C294="","",UPPER(TRIM(Transactions!C294)))</f>
        <v/>
      </c>
      <c r="C294">
        <f>IF(Transactions!B294="",0,YEAR(Transactions!B294)*100+MONTH(Transactions!B294))</f>
        <v/>
      </c>
      <c r="D294">
        <f>IF(Transactions!A294="",1,IF(COUNTIF(Transactions!$A$1:A293,Transactions!A294)&gt;0,1,0))</f>
        <v/>
      </c>
      <c r="E294">
        <f>IF(D294=1,0,IF(B294="RETURN",IF(COUNTIFS($A$1:A293,A294,$B$1:B293,"SALE",$E$1:E293,1)&gt;0,1,0),1))</f>
        <v/>
      </c>
      <c r="F294">
        <f>IF(E294=1,IF(B294="RECEIPT",Transactions!E294,IF(AND(B294="RETURN",LOWER(TRIM(Transactions!H294))="resellable"),Transactions!E294,0)),0)</f>
        <v/>
      </c>
      <c r="G294">
        <f>IF(F294&gt;0,IF(B294="RECEIPT",Transactions!F294,IF(_xlfn.MAXIFS($H$2:H294,$A$2:A294,A294)&gt;0,INDEX(Transactions!$F:$F,_xlfn.MAXIFS($H$2:H294,$A$2:A294,A294)),W294)),0)</f>
        <v/>
      </c>
      <c r="H294">
        <f>IF(AND(E294=1,B294="RECEIPT"),ROW(),0)</f>
        <v/>
      </c>
      <c r="I294">
        <f>IF(E294=1,IF(OR(B294="SALE",B294="WRITEOFF"),Transactions!E294,0),0)</f>
        <v/>
      </c>
      <c r="J294">
        <f>SUMIFS($F$1:F293,$A$1:A293,A294)</f>
        <v/>
      </c>
      <c r="K294">
        <f>SUMIFS($I$1:I293,$A$1:A293,A294)</f>
        <v/>
      </c>
      <c r="L294">
        <f>IFERROR(VLOOKUP(A294,Opening!$A:$C,3,0),0)</f>
        <v/>
      </c>
      <c r="M294">
        <f>IF(I294=0,0,MAX(0,MIN(INDEX(Month!H$2:H$13,MATCH($A294,Month!$A$2:$A$13,0))-K294,I294)))</f>
        <v/>
      </c>
      <c r="N294">
        <f>IF(I294=0,0,MAX(0,MIN(INDEX(Month!I$2:I$13,MATCH($A294,Month!$A$2:$A$13,0))-K294,I294)))</f>
        <v/>
      </c>
      <c r="O294">
        <f>IF(I294=0,0,MAX(0,MIN(INDEX(Month!J$2:J$13,MATCH($A294,Month!$A$2:$A$13,0))-K294,I294)))</f>
        <v/>
      </c>
      <c r="P294">
        <f>IF(I294=0,0,(MIN(MAX(K294,0),L294)*W294+SUMPRODUCT((Calc!$A$2:$A$1001=A294)*Calc!$G$2:$G$1001*(((K294-(L294+Calc!$J$2:$J$1001))&gt;0)*((K294-(L294+Calc!$J$2:$J$1001))&lt;Calc!$F$2:$F$1001)*(K294-(L294+Calc!$J$2:$J$1001))+((K294-(L294+Calc!$J$2:$J$1001))&gt;=Calc!$F$2:$F$1001)*Calc!$F$2:$F$1001))))</f>
        <v/>
      </c>
      <c r="Q294">
        <f>IF(I294=0,0,(MIN(MAX((K294+M294),0),L294)*W294+SUMPRODUCT((Calc!$A$2:$A$1001=A294)*Calc!$G$2:$G$1001*((((K294+M294)-(L294+Calc!$J$2:$J$1001))&gt;0)*(((K294+M294)-(L294+Calc!$J$2:$J$1001))&lt;Calc!$F$2:$F$1001)*((K294+M294)-(L294+Calc!$J$2:$J$1001))+(((K294+M294)-(L294+Calc!$J$2:$J$1001))&gt;=Calc!$F$2:$F$1001)*Calc!$F$2:$F$1001))))</f>
        <v/>
      </c>
      <c r="R294">
        <f>IF(I294=0,0,(MIN(MAX((K294+N294),0),L294)*W294+SUMPRODUCT((Calc!$A$2:$A$1001=A294)*Calc!$G$2:$G$1001*((((K294+N294)-(L294+Calc!$J$2:$J$1001))&gt;0)*(((K294+N294)-(L294+Calc!$J$2:$J$1001))&lt;Calc!$F$2:$F$1001)*((K294+N294)-(L294+Calc!$J$2:$J$1001))+(((K294+N294)-(L294+Calc!$J$2:$J$1001))&gt;=Calc!$F$2:$F$1001)*Calc!$F$2:$F$1001))))</f>
        <v/>
      </c>
      <c r="S294">
        <f>IF(I294=0,0,(MIN(MAX((K294+O294),0),L294)*W294+SUMPRODUCT((Calc!$A$2:$A$1001=A294)*Calc!$G$2:$G$1001*((((K294+O294)-(L294+Calc!$J$2:$J$1001))&gt;0)*(((K294+O294)-(L294+Calc!$J$2:$J$1001))&lt;Calc!$F$2:$F$1001)*((K294+O294)-(L294+Calc!$J$2:$J$1001))+(((K294+O294)-(L294+Calc!$J$2:$J$1001))&gt;=Calc!$F$2:$F$1001)*Calc!$F$2:$F$1001))))</f>
        <v/>
      </c>
      <c r="T294">
        <f>IF(AND(E294=1,B294="RETURN"),Transactions!E294*Transactions!G294,0)</f>
        <v/>
      </c>
      <c r="U294">
        <f>IF(AND(E294=1,B294="EXPENSE"),Transactions!J294,0)</f>
        <v/>
      </c>
      <c r="V294">
        <f>IF(AND(Transactions!A294&lt;&gt;"",E294=0),ROW(),"")</f>
        <v/>
      </c>
      <c r="W294">
        <f>IFERROR(VLOOKUP(A294,Opening!$A:$D,4,0),0)</f>
        <v/>
      </c>
    </row>
    <row r="295">
      <c r="A295">
        <f>IF(Transactions!D295="","",UPPER(TRIM(Transactions!D295)))</f>
        <v/>
      </c>
      <c r="B295">
        <f>IF(Transactions!C295="","",UPPER(TRIM(Transactions!C295)))</f>
        <v/>
      </c>
      <c r="C295">
        <f>IF(Transactions!B295="",0,YEAR(Transactions!B295)*100+MONTH(Transactions!B295))</f>
        <v/>
      </c>
      <c r="D295">
        <f>IF(Transactions!A295="",1,IF(COUNTIF(Transactions!$A$1:A294,Transactions!A295)&gt;0,1,0))</f>
        <v/>
      </c>
      <c r="E295">
        <f>IF(D295=1,0,IF(B295="RETURN",IF(COUNTIFS($A$1:A294,A295,$B$1:B294,"SALE",$E$1:E294,1)&gt;0,1,0),1))</f>
        <v/>
      </c>
      <c r="F295">
        <f>IF(E295=1,IF(B295="RECEIPT",Transactions!E295,IF(AND(B295="RETURN",LOWER(TRIM(Transactions!H295))="resellable"),Transactions!E295,0)),0)</f>
        <v/>
      </c>
      <c r="G295">
        <f>IF(F295&gt;0,IF(B295="RECEIPT",Transactions!F295,IF(_xlfn.MAXIFS($H$2:H295,$A$2:A295,A295)&gt;0,INDEX(Transactions!$F:$F,_xlfn.MAXIFS($H$2:H295,$A$2:A295,A295)),W295)),0)</f>
        <v/>
      </c>
      <c r="H295">
        <f>IF(AND(E295=1,B295="RECEIPT"),ROW(),0)</f>
        <v/>
      </c>
      <c r="I295">
        <f>IF(E295=1,IF(OR(B295="SALE",B295="WRITEOFF"),Transactions!E295,0),0)</f>
        <v/>
      </c>
      <c r="J295">
        <f>SUMIFS($F$1:F294,$A$1:A294,A295)</f>
        <v/>
      </c>
      <c r="K295">
        <f>SUMIFS($I$1:I294,$A$1:A294,A295)</f>
        <v/>
      </c>
      <c r="L295">
        <f>IFERROR(VLOOKUP(A295,Opening!$A:$C,3,0),0)</f>
        <v/>
      </c>
      <c r="M295">
        <f>IF(I295=0,0,MAX(0,MIN(INDEX(Month!H$2:H$13,MATCH($A295,Month!$A$2:$A$13,0))-K295,I295)))</f>
        <v/>
      </c>
      <c r="N295">
        <f>IF(I295=0,0,MAX(0,MIN(INDEX(Month!I$2:I$13,MATCH($A295,Month!$A$2:$A$13,0))-K295,I295)))</f>
        <v/>
      </c>
      <c r="O295">
        <f>IF(I295=0,0,MAX(0,MIN(INDEX(Month!J$2:J$13,MATCH($A295,Month!$A$2:$A$13,0))-K295,I295)))</f>
        <v/>
      </c>
      <c r="P295">
        <f>IF(I295=0,0,(MIN(MAX(K295,0),L295)*W295+SUMPRODUCT((Calc!$A$2:$A$1001=A295)*Calc!$G$2:$G$1001*(((K295-(L295+Calc!$J$2:$J$1001))&gt;0)*((K295-(L295+Calc!$J$2:$J$1001))&lt;Calc!$F$2:$F$1001)*(K295-(L295+Calc!$J$2:$J$1001))+((K295-(L295+Calc!$J$2:$J$1001))&gt;=Calc!$F$2:$F$1001)*Calc!$F$2:$F$1001))))</f>
        <v/>
      </c>
      <c r="Q295">
        <f>IF(I295=0,0,(MIN(MAX((K295+M295),0),L295)*W295+SUMPRODUCT((Calc!$A$2:$A$1001=A295)*Calc!$G$2:$G$1001*((((K295+M295)-(L295+Calc!$J$2:$J$1001))&gt;0)*(((K295+M295)-(L295+Calc!$J$2:$J$1001))&lt;Calc!$F$2:$F$1001)*((K295+M295)-(L295+Calc!$J$2:$J$1001))+(((K295+M295)-(L295+Calc!$J$2:$J$1001))&gt;=Calc!$F$2:$F$1001)*Calc!$F$2:$F$1001))))</f>
        <v/>
      </c>
      <c r="R295">
        <f>IF(I295=0,0,(MIN(MAX((K295+N295),0),L295)*W295+SUMPRODUCT((Calc!$A$2:$A$1001=A295)*Calc!$G$2:$G$1001*((((K295+N295)-(L295+Calc!$J$2:$J$1001))&gt;0)*(((K295+N295)-(L295+Calc!$J$2:$J$1001))&lt;Calc!$F$2:$F$1001)*((K295+N295)-(L295+Calc!$J$2:$J$1001))+(((K295+N295)-(L295+Calc!$J$2:$J$1001))&gt;=Calc!$F$2:$F$1001)*Calc!$F$2:$F$1001))))</f>
        <v/>
      </c>
      <c r="S295">
        <f>IF(I295=0,0,(MIN(MAX((K295+O295),0),L295)*W295+SUMPRODUCT((Calc!$A$2:$A$1001=A295)*Calc!$G$2:$G$1001*((((K295+O295)-(L295+Calc!$J$2:$J$1001))&gt;0)*(((K295+O295)-(L295+Calc!$J$2:$J$1001))&lt;Calc!$F$2:$F$1001)*((K295+O295)-(L295+Calc!$J$2:$J$1001))+(((K295+O295)-(L295+Calc!$J$2:$J$1001))&gt;=Calc!$F$2:$F$1001)*Calc!$F$2:$F$1001))))</f>
        <v/>
      </c>
      <c r="T295">
        <f>IF(AND(E295=1,B295="RETURN"),Transactions!E295*Transactions!G295,0)</f>
        <v/>
      </c>
      <c r="U295">
        <f>IF(AND(E295=1,B295="EXPENSE"),Transactions!J295,0)</f>
        <v/>
      </c>
      <c r="V295">
        <f>IF(AND(Transactions!A295&lt;&gt;"",E295=0),ROW(),"")</f>
        <v/>
      </c>
      <c r="W295">
        <f>IFERROR(VLOOKUP(A295,Opening!$A:$D,4,0),0)</f>
        <v/>
      </c>
    </row>
    <row r="296">
      <c r="A296">
        <f>IF(Transactions!D296="","",UPPER(TRIM(Transactions!D296)))</f>
        <v/>
      </c>
      <c r="B296">
        <f>IF(Transactions!C296="","",UPPER(TRIM(Transactions!C296)))</f>
        <v/>
      </c>
      <c r="C296">
        <f>IF(Transactions!B296="",0,YEAR(Transactions!B296)*100+MONTH(Transactions!B296))</f>
        <v/>
      </c>
      <c r="D296">
        <f>IF(Transactions!A296="",1,IF(COUNTIF(Transactions!$A$1:A295,Transactions!A296)&gt;0,1,0))</f>
        <v/>
      </c>
      <c r="E296">
        <f>IF(D296=1,0,IF(B296="RETURN",IF(COUNTIFS($A$1:A295,A296,$B$1:B295,"SALE",$E$1:E295,1)&gt;0,1,0),1))</f>
        <v/>
      </c>
      <c r="F296">
        <f>IF(E296=1,IF(B296="RECEIPT",Transactions!E296,IF(AND(B296="RETURN",LOWER(TRIM(Transactions!H296))="resellable"),Transactions!E296,0)),0)</f>
        <v/>
      </c>
      <c r="G296">
        <f>IF(F296&gt;0,IF(B296="RECEIPT",Transactions!F296,IF(_xlfn.MAXIFS($H$2:H296,$A$2:A296,A296)&gt;0,INDEX(Transactions!$F:$F,_xlfn.MAXIFS($H$2:H296,$A$2:A296,A296)),W296)),0)</f>
        <v/>
      </c>
      <c r="H296">
        <f>IF(AND(E296=1,B296="RECEIPT"),ROW(),0)</f>
        <v/>
      </c>
      <c r="I296">
        <f>IF(E296=1,IF(OR(B296="SALE",B296="WRITEOFF"),Transactions!E296,0),0)</f>
        <v/>
      </c>
      <c r="J296">
        <f>SUMIFS($F$1:F295,$A$1:A295,A296)</f>
        <v/>
      </c>
      <c r="K296">
        <f>SUMIFS($I$1:I295,$A$1:A295,A296)</f>
        <v/>
      </c>
      <c r="L296">
        <f>IFERROR(VLOOKUP(A296,Opening!$A:$C,3,0),0)</f>
        <v/>
      </c>
      <c r="M296">
        <f>IF(I296=0,0,MAX(0,MIN(INDEX(Month!H$2:H$13,MATCH($A296,Month!$A$2:$A$13,0))-K296,I296)))</f>
        <v/>
      </c>
      <c r="N296">
        <f>IF(I296=0,0,MAX(0,MIN(INDEX(Month!I$2:I$13,MATCH($A296,Month!$A$2:$A$13,0))-K296,I296)))</f>
        <v/>
      </c>
      <c r="O296">
        <f>IF(I296=0,0,MAX(0,MIN(INDEX(Month!J$2:J$13,MATCH($A296,Month!$A$2:$A$13,0))-K296,I296)))</f>
        <v/>
      </c>
      <c r="P296">
        <f>IF(I296=0,0,(MIN(MAX(K296,0),L296)*W296+SUMPRODUCT((Calc!$A$2:$A$1001=A296)*Calc!$G$2:$G$1001*(((K296-(L296+Calc!$J$2:$J$1001))&gt;0)*((K296-(L296+Calc!$J$2:$J$1001))&lt;Calc!$F$2:$F$1001)*(K296-(L296+Calc!$J$2:$J$1001))+((K296-(L296+Calc!$J$2:$J$1001))&gt;=Calc!$F$2:$F$1001)*Calc!$F$2:$F$1001))))</f>
        <v/>
      </c>
      <c r="Q296">
        <f>IF(I296=0,0,(MIN(MAX((K296+M296),0),L296)*W296+SUMPRODUCT((Calc!$A$2:$A$1001=A296)*Calc!$G$2:$G$1001*((((K296+M296)-(L296+Calc!$J$2:$J$1001))&gt;0)*(((K296+M296)-(L296+Calc!$J$2:$J$1001))&lt;Calc!$F$2:$F$1001)*((K296+M296)-(L296+Calc!$J$2:$J$1001))+(((K296+M296)-(L296+Calc!$J$2:$J$1001))&gt;=Calc!$F$2:$F$1001)*Calc!$F$2:$F$1001))))</f>
        <v/>
      </c>
      <c r="R296">
        <f>IF(I296=0,0,(MIN(MAX((K296+N296),0),L296)*W296+SUMPRODUCT((Calc!$A$2:$A$1001=A296)*Calc!$G$2:$G$1001*((((K296+N296)-(L296+Calc!$J$2:$J$1001))&gt;0)*(((K296+N296)-(L296+Calc!$J$2:$J$1001))&lt;Calc!$F$2:$F$1001)*((K296+N296)-(L296+Calc!$J$2:$J$1001))+(((K296+N296)-(L296+Calc!$J$2:$J$1001))&gt;=Calc!$F$2:$F$1001)*Calc!$F$2:$F$1001))))</f>
        <v/>
      </c>
      <c r="S296">
        <f>IF(I296=0,0,(MIN(MAX((K296+O296),0),L296)*W296+SUMPRODUCT((Calc!$A$2:$A$1001=A296)*Calc!$G$2:$G$1001*((((K296+O296)-(L296+Calc!$J$2:$J$1001))&gt;0)*(((K296+O296)-(L296+Calc!$J$2:$J$1001))&lt;Calc!$F$2:$F$1001)*((K296+O296)-(L296+Calc!$J$2:$J$1001))+(((K296+O296)-(L296+Calc!$J$2:$J$1001))&gt;=Calc!$F$2:$F$1001)*Calc!$F$2:$F$1001))))</f>
        <v/>
      </c>
      <c r="T296">
        <f>IF(AND(E296=1,B296="RETURN"),Transactions!E296*Transactions!G296,0)</f>
        <v/>
      </c>
      <c r="U296">
        <f>IF(AND(E296=1,B296="EXPENSE"),Transactions!J296,0)</f>
        <v/>
      </c>
      <c r="V296">
        <f>IF(AND(Transactions!A296&lt;&gt;"",E296=0),ROW(),"")</f>
        <v/>
      </c>
      <c r="W296">
        <f>IFERROR(VLOOKUP(A296,Opening!$A:$D,4,0),0)</f>
        <v/>
      </c>
    </row>
    <row r="297">
      <c r="A297">
        <f>IF(Transactions!D297="","",UPPER(TRIM(Transactions!D297)))</f>
        <v/>
      </c>
      <c r="B297">
        <f>IF(Transactions!C297="","",UPPER(TRIM(Transactions!C297)))</f>
        <v/>
      </c>
      <c r="C297">
        <f>IF(Transactions!B297="",0,YEAR(Transactions!B297)*100+MONTH(Transactions!B297))</f>
        <v/>
      </c>
      <c r="D297">
        <f>IF(Transactions!A297="",1,IF(COUNTIF(Transactions!$A$1:A296,Transactions!A297)&gt;0,1,0))</f>
        <v/>
      </c>
      <c r="E297">
        <f>IF(D297=1,0,IF(B297="RETURN",IF(COUNTIFS($A$1:A296,A297,$B$1:B296,"SALE",$E$1:E296,1)&gt;0,1,0),1))</f>
        <v/>
      </c>
      <c r="F297">
        <f>IF(E297=1,IF(B297="RECEIPT",Transactions!E297,IF(AND(B297="RETURN",LOWER(TRIM(Transactions!H297))="resellable"),Transactions!E297,0)),0)</f>
        <v/>
      </c>
      <c r="G297">
        <f>IF(F297&gt;0,IF(B297="RECEIPT",Transactions!F297,IF(_xlfn.MAXIFS($H$2:H297,$A$2:A297,A297)&gt;0,INDEX(Transactions!$F:$F,_xlfn.MAXIFS($H$2:H297,$A$2:A297,A297)),W297)),0)</f>
        <v/>
      </c>
      <c r="H297">
        <f>IF(AND(E297=1,B297="RECEIPT"),ROW(),0)</f>
        <v/>
      </c>
      <c r="I297">
        <f>IF(E297=1,IF(OR(B297="SALE",B297="WRITEOFF"),Transactions!E297,0),0)</f>
        <v/>
      </c>
      <c r="J297">
        <f>SUMIFS($F$1:F296,$A$1:A296,A297)</f>
        <v/>
      </c>
      <c r="K297">
        <f>SUMIFS($I$1:I296,$A$1:A296,A297)</f>
        <v/>
      </c>
      <c r="L297">
        <f>IFERROR(VLOOKUP(A297,Opening!$A:$C,3,0),0)</f>
        <v/>
      </c>
      <c r="M297">
        <f>IF(I297=0,0,MAX(0,MIN(INDEX(Month!H$2:H$13,MATCH($A297,Month!$A$2:$A$13,0))-K297,I297)))</f>
        <v/>
      </c>
      <c r="N297">
        <f>IF(I297=0,0,MAX(0,MIN(INDEX(Month!I$2:I$13,MATCH($A297,Month!$A$2:$A$13,0))-K297,I297)))</f>
        <v/>
      </c>
      <c r="O297">
        <f>IF(I297=0,0,MAX(0,MIN(INDEX(Month!J$2:J$13,MATCH($A297,Month!$A$2:$A$13,0))-K297,I297)))</f>
        <v/>
      </c>
      <c r="P297">
        <f>IF(I297=0,0,(MIN(MAX(K297,0),L297)*W297+SUMPRODUCT((Calc!$A$2:$A$1001=A297)*Calc!$G$2:$G$1001*(((K297-(L297+Calc!$J$2:$J$1001))&gt;0)*((K297-(L297+Calc!$J$2:$J$1001))&lt;Calc!$F$2:$F$1001)*(K297-(L297+Calc!$J$2:$J$1001))+((K297-(L297+Calc!$J$2:$J$1001))&gt;=Calc!$F$2:$F$1001)*Calc!$F$2:$F$1001))))</f>
        <v/>
      </c>
      <c r="Q297">
        <f>IF(I297=0,0,(MIN(MAX((K297+M297),0),L297)*W297+SUMPRODUCT((Calc!$A$2:$A$1001=A297)*Calc!$G$2:$G$1001*((((K297+M297)-(L297+Calc!$J$2:$J$1001))&gt;0)*(((K297+M297)-(L297+Calc!$J$2:$J$1001))&lt;Calc!$F$2:$F$1001)*((K297+M297)-(L297+Calc!$J$2:$J$1001))+(((K297+M297)-(L297+Calc!$J$2:$J$1001))&gt;=Calc!$F$2:$F$1001)*Calc!$F$2:$F$1001))))</f>
        <v/>
      </c>
      <c r="R297">
        <f>IF(I297=0,0,(MIN(MAX((K297+N297),0),L297)*W297+SUMPRODUCT((Calc!$A$2:$A$1001=A297)*Calc!$G$2:$G$1001*((((K297+N297)-(L297+Calc!$J$2:$J$1001))&gt;0)*(((K297+N297)-(L297+Calc!$J$2:$J$1001))&lt;Calc!$F$2:$F$1001)*((K297+N297)-(L297+Calc!$J$2:$J$1001))+(((K297+N297)-(L297+Calc!$J$2:$J$1001))&gt;=Calc!$F$2:$F$1001)*Calc!$F$2:$F$1001))))</f>
        <v/>
      </c>
      <c r="S297">
        <f>IF(I297=0,0,(MIN(MAX((K297+O297),0),L297)*W297+SUMPRODUCT((Calc!$A$2:$A$1001=A297)*Calc!$G$2:$G$1001*((((K297+O297)-(L297+Calc!$J$2:$J$1001))&gt;0)*(((K297+O297)-(L297+Calc!$J$2:$J$1001))&lt;Calc!$F$2:$F$1001)*((K297+O297)-(L297+Calc!$J$2:$J$1001))+(((K297+O297)-(L297+Calc!$J$2:$J$1001))&gt;=Calc!$F$2:$F$1001)*Calc!$F$2:$F$1001))))</f>
        <v/>
      </c>
      <c r="T297">
        <f>IF(AND(E297=1,B297="RETURN"),Transactions!E297*Transactions!G297,0)</f>
        <v/>
      </c>
      <c r="U297">
        <f>IF(AND(E297=1,B297="EXPENSE"),Transactions!J297,0)</f>
        <v/>
      </c>
      <c r="V297">
        <f>IF(AND(Transactions!A297&lt;&gt;"",E297=0),ROW(),"")</f>
        <v/>
      </c>
      <c r="W297">
        <f>IFERROR(VLOOKUP(A297,Opening!$A:$D,4,0),0)</f>
        <v/>
      </c>
    </row>
    <row r="298">
      <c r="A298">
        <f>IF(Transactions!D298="","",UPPER(TRIM(Transactions!D298)))</f>
        <v/>
      </c>
      <c r="B298">
        <f>IF(Transactions!C298="","",UPPER(TRIM(Transactions!C298)))</f>
        <v/>
      </c>
      <c r="C298">
        <f>IF(Transactions!B298="",0,YEAR(Transactions!B298)*100+MONTH(Transactions!B298))</f>
        <v/>
      </c>
      <c r="D298">
        <f>IF(Transactions!A298="",1,IF(COUNTIF(Transactions!$A$1:A297,Transactions!A298)&gt;0,1,0))</f>
        <v/>
      </c>
      <c r="E298">
        <f>IF(D298=1,0,IF(B298="RETURN",IF(COUNTIFS($A$1:A297,A298,$B$1:B297,"SALE",$E$1:E297,1)&gt;0,1,0),1))</f>
        <v/>
      </c>
      <c r="F298">
        <f>IF(E298=1,IF(B298="RECEIPT",Transactions!E298,IF(AND(B298="RETURN",LOWER(TRIM(Transactions!H298))="resellable"),Transactions!E298,0)),0)</f>
        <v/>
      </c>
      <c r="G298">
        <f>IF(F298&gt;0,IF(B298="RECEIPT",Transactions!F298,IF(_xlfn.MAXIFS($H$2:H298,$A$2:A298,A298)&gt;0,INDEX(Transactions!$F:$F,_xlfn.MAXIFS($H$2:H298,$A$2:A298,A298)),W298)),0)</f>
        <v/>
      </c>
      <c r="H298">
        <f>IF(AND(E298=1,B298="RECEIPT"),ROW(),0)</f>
        <v/>
      </c>
      <c r="I298">
        <f>IF(E298=1,IF(OR(B298="SALE",B298="WRITEOFF"),Transactions!E298,0),0)</f>
        <v/>
      </c>
      <c r="J298">
        <f>SUMIFS($F$1:F297,$A$1:A297,A298)</f>
        <v/>
      </c>
      <c r="K298">
        <f>SUMIFS($I$1:I297,$A$1:A297,A298)</f>
        <v/>
      </c>
      <c r="L298">
        <f>IFERROR(VLOOKUP(A298,Opening!$A:$C,3,0),0)</f>
        <v/>
      </c>
      <c r="M298">
        <f>IF(I298=0,0,MAX(0,MIN(INDEX(Month!H$2:H$13,MATCH($A298,Month!$A$2:$A$13,0))-K298,I298)))</f>
        <v/>
      </c>
      <c r="N298">
        <f>IF(I298=0,0,MAX(0,MIN(INDEX(Month!I$2:I$13,MATCH($A298,Month!$A$2:$A$13,0))-K298,I298)))</f>
        <v/>
      </c>
      <c r="O298">
        <f>IF(I298=0,0,MAX(0,MIN(INDEX(Month!J$2:J$13,MATCH($A298,Month!$A$2:$A$13,0))-K298,I298)))</f>
        <v/>
      </c>
      <c r="P298">
        <f>IF(I298=0,0,(MIN(MAX(K298,0),L298)*W298+SUMPRODUCT((Calc!$A$2:$A$1001=A298)*Calc!$G$2:$G$1001*(((K298-(L298+Calc!$J$2:$J$1001))&gt;0)*((K298-(L298+Calc!$J$2:$J$1001))&lt;Calc!$F$2:$F$1001)*(K298-(L298+Calc!$J$2:$J$1001))+((K298-(L298+Calc!$J$2:$J$1001))&gt;=Calc!$F$2:$F$1001)*Calc!$F$2:$F$1001))))</f>
        <v/>
      </c>
      <c r="Q298">
        <f>IF(I298=0,0,(MIN(MAX((K298+M298),0),L298)*W298+SUMPRODUCT((Calc!$A$2:$A$1001=A298)*Calc!$G$2:$G$1001*((((K298+M298)-(L298+Calc!$J$2:$J$1001))&gt;0)*(((K298+M298)-(L298+Calc!$J$2:$J$1001))&lt;Calc!$F$2:$F$1001)*((K298+M298)-(L298+Calc!$J$2:$J$1001))+(((K298+M298)-(L298+Calc!$J$2:$J$1001))&gt;=Calc!$F$2:$F$1001)*Calc!$F$2:$F$1001))))</f>
        <v/>
      </c>
      <c r="R298">
        <f>IF(I298=0,0,(MIN(MAX((K298+N298),0),L298)*W298+SUMPRODUCT((Calc!$A$2:$A$1001=A298)*Calc!$G$2:$G$1001*((((K298+N298)-(L298+Calc!$J$2:$J$1001))&gt;0)*(((K298+N298)-(L298+Calc!$J$2:$J$1001))&lt;Calc!$F$2:$F$1001)*((K298+N298)-(L298+Calc!$J$2:$J$1001))+(((K298+N298)-(L298+Calc!$J$2:$J$1001))&gt;=Calc!$F$2:$F$1001)*Calc!$F$2:$F$1001))))</f>
        <v/>
      </c>
      <c r="S298">
        <f>IF(I298=0,0,(MIN(MAX((K298+O298),0),L298)*W298+SUMPRODUCT((Calc!$A$2:$A$1001=A298)*Calc!$G$2:$G$1001*((((K298+O298)-(L298+Calc!$J$2:$J$1001))&gt;0)*(((K298+O298)-(L298+Calc!$J$2:$J$1001))&lt;Calc!$F$2:$F$1001)*((K298+O298)-(L298+Calc!$J$2:$J$1001))+(((K298+O298)-(L298+Calc!$J$2:$J$1001))&gt;=Calc!$F$2:$F$1001)*Calc!$F$2:$F$1001))))</f>
        <v/>
      </c>
      <c r="T298">
        <f>IF(AND(E298=1,B298="RETURN"),Transactions!E298*Transactions!G298,0)</f>
        <v/>
      </c>
      <c r="U298">
        <f>IF(AND(E298=1,B298="EXPENSE"),Transactions!J298,0)</f>
        <v/>
      </c>
      <c r="V298">
        <f>IF(AND(Transactions!A298&lt;&gt;"",E298=0),ROW(),"")</f>
        <v/>
      </c>
      <c r="W298">
        <f>IFERROR(VLOOKUP(A298,Opening!$A:$D,4,0),0)</f>
        <v/>
      </c>
    </row>
    <row r="299">
      <c r="A299">
        <f>IF(Transactions!D299="","",UPPER(TRIM(Transactions!D299)))</f>
        <v/>
      </c>
      <c r="B299">
        <f>IF(Transactions!C299="","",UPPER(TRIM(Transactions!C299)))</f>
        <v/>
      </c>
      <c r="C299">
        <f>IF(Transactions!B299="",0,YEAR(Transactions!B299)*100+MONTH(Transactions!B299))</f>
        <v/>
      </c>
      <c r="D299">
        <f>IF(Transactions!A299="",1,IF(COUNTIF(Transactions!$A$1:A298,Transactions!A299)&gt;0,1,0))</f>
        <v/>
      </c>
      <c r="E299">
        <f>IF(D299=1,0,IF(B299="RETURN",IF(COUNTIFS($A$1:A298,A299,$B$1:B298,"SALE",$E$1:E298,1)&gt;0,1,0),1))</f>
        <v/>
      </c>
      <c r="F299">
        <f>IF(E299=1,IF(B299="RECEIPT",Transactions!E299,IF(AND(B299="RETURN",LOWER(TRIM(Transactions!H299))="resellable"),Transactions!E299,0)),0)</f>
        <v/>
      </c>
      <c r="G299">
        <f>IF(F299&gt;0,IF(B299="RECEIPT",Transactions!F299,IF(_xlfn.MAXIFS($H$2:H299,$A$2:A299,A299)&gt;0,INDEX(Transactions!$F:$F,_xlfn.MAXIFS($H$2:H299,$A$2:A299,A299)),W299)),0)</f>
        <v/>
      </c>
      <c r="H299">
        <f>IF(AND(E299=1,B299="RECEIPT"),ROW(),0)</f>
        <v/>
      </c>
      <c r="I299">
        <f>IF(E299=1,IF(OR(B299="SALE",B299="WRITEOFF"),Transactions!E299,0),0)</f>
        <v/>
      </c>
      <c r="J299">
        <f>SUMIFS($F$1:F298,$A$1:A298,A299)</f>
        <v/>
      </c>
      <c r="K299">
        <f>SUMIFS($I$1:I298,$A$1:A298,A299)</f>
        <v/>
      </c>
      <c r="L299">
        <f>IFERROR(VLOOKUP(A299,Opening!$A:$C,3,0),0)</f>
        <v/>
      </c>
      <c r="M299">
        <f>IF(I299=0,0,MAX(0,MIN(INDEX(Month!H$2:H$13,MATCH($A299,Month!$A$2:$A$13,0))-K299,I299)))</f>
        <v/>
      </c>
      <c r="N299">
        <f>IF(I299=0,0,MAX(0,MIN(INDEX(Month!I$2:I$13,MATCH($A299,Month!$A$2:$A$13,0))-K299,I299)))</f>
        <v/>
      </c>
      <c r="O299">
        <f>IF(I299=0,0,MAX(0,MIN(INDEX(Month!J$2:J$13,MATCH($A299,Month!$A$2:$A$13,0))-K299,I299)))</f>
        <v/>
      </c>
      <c r="P299">
        <f>IF(I299=0,0,(MIN(MAX(K299,0),L299)*W299+SUMPRODUCT((Calc!$A$2:$A$1001=A299)*Calc!$G$2:$G$1001*(((K299-(L299+Calc!$J$2:$J$1001))&gt;0)*((K299-(L299+Calc!$J$2:$J$1001))&lt;Calc!$F$2:$F$1001)*(K299-(L299+Calc!$J$2:$J$1001))+((K299-(L299+Calc!$J$2:$J$1001))&gt;=Calc!$F$2:$F$1001)*Calc!$F$2:$F$1001))))</f>
        <v/>
      </c>
      <c r="Q299">
        <f>IF(I299=0,0,(MIN(MAX((K299+M299),0),L299)*W299+SUMPRODUCT((Calc!$A$2:$A$1001=A299)*Calc!$G$2:$G$1001*((((K299+M299)-(L299+Calc!$J$2:$J$1001))&gt;0)*(((K299+M299)-(L299+Calc!$J$2:$J$1001))&lt;Calc!$F$2:$F$1001)*((K299+M299)-(L299+Calc!$J$2:$J$1001))+(((K299+M299)-(L299+Calc!$J$2:$J$1001))&gt;=Calc!$F$2:$F$1001)*Calc!$F$2:$F$1001))))</f>
        <v/>
      </c>
      <c r="R299">
        <f>IF(I299=0,0,(MIN(MAX((K299+N299),0),L299)*W299+SUMPRODUCT((Calc!$A$2:$A$1001=A299)*Calc!$G$2:$G$1001*((((K299+N299)-(L299+Calc!$J$2:$J$1001))&gt;0)*(((K299+N299)-(L299+Calc!$J$2:$J$1001))&lt;Calc!$F$2:$F$1001)*((K299+N299)-(L299+Calc!$J$2:$J$1001))+(((K299+N299)-(L299+Calc!$J$2:$J$1001))&gt;=Calc!$F$2:$F$1001)*Calc!$F$2:$F$1001))))</f>
        <v/>
      </c>
      <c r="S299">
        <f>IF(I299=0,0,(MIN(MAX((K299+O299),0),L299)*W299+SUMPRODUCT((Calc!$A$2:$A$1001=A299)*Calc!$G$2:$G$1001*((((K299+O299)-(L299+Calc!$J$2:$J$1001))&gt;0)*(((K299+O299)-(L299+Calc!$J$2:$J$1001))&lt;Calc!$F$2:$F$1001)*((K299+O299)-(L299+Calc!$J$2:$J$1001))+(((K299+O299)-(L299+Calc!$J$2:$J$1001))&gt;=Calc!$F$2:$F$1001)*Calc!$F$2:$F$1001))))</f>
        <v/>
      </c>
      <c r="T299">
        <f>IF(AND(E299=1,B299="RETURN"),Transactions!E299*Transactions!G299,0)</f>
        <v/>
      </c>
      <c r="U299">
        <f>IF(AND(E299=1,B299="EXPENSE"),Transactions!J299,0)</f>
        <v/>
      </c>
      <c r="V299">
        <f>IF(AND(Transactions!A299&lt;&gt;"",E299=0),ROW(),"")</f>
        <v/>
      </c>
      <c r="W299">
        <f>IFERROR(VLOOKUP(A299,Opening!$A:$D,4,0),0)</f>
        <v/>
      </c>
    </row>
    <row r="300">
      <c r="A300">
        <f>IF(Transactions!D300="","",UPPER(TRIM(Transactions!D300)))</f>
        <v/>
      </c>
      <c r="B300">
        <f>IF(Transactions!C300="","",UPPER(TRIM(Transactions!C300)))</f>
        <v/>
      </c>
      <c r="C300">
        <f>IF(Transactions!B300="",0,YEAR(Transactions!B300)*100+MONTH(Transactions!B300))</f>
        <v/>
      </c>
      <c r="D300">
        <f>IF(Transactions!A300="",1,IF(COUNTIF(Transactions!$A$1:A299,Transactions!A300)&gt;0,1,0))</f>
        <v/>
      </c>
      <c r="E300">
        <f>IF(D300=1,0,IF(B300="RETURN",IF(COUNTIFS($A$1:A299,A300,$B$1:B299,"SALE",$E$1:E299,1)&gt;0,1,0),1))</f>
        <v/>
      </c>
      <c r="F300">
        <f>IF(E300=1,IF(B300="RECEIPT",Transactions!E300,IF(AND(B300="RETURN",LOWER(TRIM(Transactions!H300))="resellable"),Transactions!E300,0)),0)</f>
        <v/>
      </c>
      <c r="G300">
        <f>IF(F300&gt;0,IF(B300="RECEIPT",Transactions!F300,IF(_xlfn.MAXIFS($H$2:H300,$A$2:A300,A300)&gt;0,INDEX(Transactions!$F:$F,_xlfn.MAXIFS($H$2:H300,$A$2:A300,A300)),W300)),0)</f>
        <v/>
      </c>
      <c r="H300">
        <f>IF(AND(E300=1,B300="RECEIPT"),ROW(),0)</f>
        <v/>
      </c>
      <c r="I300">
        <f>IF(E300=1,IF(OR(B300="SALE",B300="WRITEOFF"),Transactions!E300,0),0)</f>
        <v/>
      </c>
      <c r="J300">
        <f>SUMIFS($F$1:F299,$A$1:A299,A300)</f>
        <v/>
      </c>
      <c r="K300">
        <f>SUMIFS($I$1:I299,$A$1:A299,A300)</f>
        <v/>
      </c>
      <c r="L300">
        <f>IFERROR(VLOOKUP(A300,Opening!$A:$C,3,0),0)</f>
        <v/>
      </c>
      <c r="M300">
        <f>IF(I300=0,0,MAX(0,MIN(INDEX(Month!H$2:H$13,MATCH($A300,Month!$A$2:$A$13,0))-K300,I300)))</f>
        <v/>
      </c>
      <c r="N300">
        <f>IF(I300=0,0,MAX(0,MIN(INDEX(Month!I$2:I$13,MATCH($A300,Month!$A$2:$A$13,0))-K300,I300)))</f>
        <v/>
      </c>
      <c r="O300">
        <f>IF(I300=0,0,MAX(0,MIN(INDEX(Month!J$2:J$13,MATCH($A300,Month!$A$2:$A$13,0))-K300,I300)))</f>
        <v/>
      </c>
      <c r="P300">
        <f>IF(I300=0,0,(MIN(MAX(K300,0),L300)*W300+SUMPRODUCT((Calc!$A$2:$A$1001=A300)*Calc!$G$2:$G$1001*(((K300-(L300+Calc!$J$2:$J$1001))&gt;0)*((K300-(L300+Calc!$J$2:$J$1001))&lt;Calc!$F$2:$F$1001)*(K300-(L300+Calc!$J$2:$J$1001))+((K300-(L300+Calc!$J$2:$J$1001))&gt;=Calc!$F$2:$F$1001)*Calc!$F$2:$F$1001))))</f>
        <v/>
      </c>
      <c r="Q300">
        <f>IF(I300=0,0,(MIN(MAX((K300+M300),0),L300)*W300+SUMPRODUCT((Calc!$A$2:$A$1001=A300)*Calc!$G$2:$G$1001*((((K300+M300)-(L300+Calc!$J$2:$J$1001))&gt;0)*(((K300+M300)-(L300+Calc!$J$2:$J$1001))&lt;Calc!$F$2:$F$1001)*((K300+M300)-(L300+Calc!$J$2:$J$1001))+(((K300+M300)-(L300+Calc!$J$2:$J$1001))&gt;=Calc!$F$2:$F$1001)*Calc!$F$2:$F$1001))))</f>
        <v/>
      </c>
      <c r="R300">
        <f>IF(I300=0,0,(MIN(MAX((K300+N300),0),L300)*W300+SUMPRODUCT((Calc!$A$2:$A$1001=A300)*Calc!$G$2:$G$1001*((((K300+N300)-(L300+Calc!$J$2:$J$1001))&gt;0)*(((K300+N300)-(L300+Calc!$J$2:$J$1001))&lt;Calc!$F$2:$F$1001)*((K300+N300)-(L300+Calc!$J$2:$J$1001))+(((K300+N300)-(L300+Calc!$J$2:$J$1001))&gt;=Calc!$F$2:$F$1001)*Calc!$F$2:$F$1001))))</f>
        <v/>
      </c>
      <c r="S300">
        <f>IF(I300=0,0,(MIN(MAX((K300+O300),0),L300)*W300+SUMPRODUCT((Calc!$A$2:$A$1001=A300)*Calc!$G$2:$G$1001*((((K300+O300)-(L300+Calc!$J$2:$J$1001))&gt;0)*(((K300+O300)-(L300+Calc!$J$2:$J$1001))&lt;Calc!$F$2:$F$1001)*((K300+O300)-(L300+Calc!$J$2:$J$1001))+(((K300+O300)-(L300+Calc!$J$2:$J$1001))&gt;=Calc!$F$2:$F$1001)*Calc!$F$2:$F$1001))))</f>
        <v/>
      </c>
      <c r="T300">
        <f>IF(AND(E300=1,B300="RETURN"),Transactions!E300*Transactions!G300,0)</f>
        <v/>
      </c>
      <c r="U300">
        <f>IF(AND(E300=1,B300="EXPENSE"),Transactions!J300,0)</f>
        <v/>
      </c>
      <c r="V300">
        <f>IF(AND(Transactions!A300&lt;&gt;"",E300=0),ROW(),"")</f>
        <v/>
      </c>
      <c r="W300">
        <f>IFERROR(VLOOKUP(A300,Opening!$A:$D,4,0),0)</f>
        <v/>
      </c>
    </row>
    <row r="301">
      <c r="A301">
        <f>IF(Transactions!D301="","",UPPER(TRIM(Transactions!D301)))</f>
        <v/>
      </c>
      <c r="B301">
        <f>IF(Transactions!C301="","",UPPER(TRIM(Transactions!C301)))</f>
        <v/>
      </c>
      <c r="C301">
        <f>IF(Transactions!B301="",0,YEAR(Transactions!B301)*100+MONTH(Transactions!B301))</f>
        <v/>
      </c>
      <c r="D301">
        <f>IF(Transactions!A301="",1,IF(COUNTIF(Transactions!$A$1:A300,Transactions!A301)&gt;0,1,0))</f>
        <v/>
      </c>
      <c r="E301">
        <f>IF(D301=1,0,IF(B301="RETURN",IF(COUNTIFS($A$1:A300,A301,$B$1:B300,"SALE",$E$1:E300,1)&gt;0,1,0),1))</f>
        <v/>
      </c>
      <c r="F301">
        <f>IF(E301=1,IF(B301="RECEIPT",Transactions!E301,IF(AND(B301="RETURN",LOWER(TRIM(Transactions!H301))="resellable"),Transactions!E301,0)),0)</f>
        <v/>
      </c>
      <c r="G301">
        <f>IF(F301&gt;0,IF(B301="RECEIPT",Transactions!F301,IF(_xlfn.MAXIFS($H$2:H301,$A$2:A301,A301)&gt;0,INDEX(Transactions!$F:$F,_xlfn.MAXIFS($H$2:H301,$A$2:A301,A301)),W301)),0)</f>
        <v/>
      </c>
      <c r="H301">
        <f>IF(AND(E301=1,B301="RECEIPT"),ROW(),0)</f>
        <v/>
      </c>
      <c r="I301">
        <f>IF(E301=1,IF(OR(B301="SALE",B301="WRITEOFF"),Transactions!E301,0),0)</f>
        <v/>
      </c>
      <c r="J301">
        <f>SUMIFS($F$1:F300,$A$1:A300,A301)</f>
        <v/>
      </c>
      <c r="K301">
        <f>SUMIFS($I$1:I300,$A$1:A300,A301)</f>
        <v/>
      </c>
      <c r="L301">
        <f>IFERROR(VLOOKUP(A301,Opening!$A:$C,3,0),0)</f>
        <v/>
      </c>
      <c r="M301">
        <f>IF(I301=0,0,MAX(0,MIN(INDEX(Month!H$2:H$13,MATCH($A301,Month!$A$2:$A$13,0))-K301,I301)))</f>
        <v/>
      </c>
      <c r="N301">
        <f>IF(I301=0,0,MAX(0,MIN(INDEX(Month!I$2:I$13,MATCH($A301,Month!$A$2:$A$13,0))-K301,I301)))</f>
        <v/>
      </c>
      <c r="O301">
        <f>IF(I301=0,0,MAX(0,MIN(INDEX(Month!J$2:J$13,MATCH($A301,Month!$A$2:$A$13,0))-K301,I301)))</f>
        <v/>
      </c>
      <c r="P301">
        <f>IF(I301=0,0,(MIN(MAX(K301,0),L301)*W301+SUMPRODUCT((Calc!$A$2:$A$1001=A301)*Calc!$G$2:$G$1001*(((K301-(L301+Calc!$J$2:$J$1001))&gt;0)*((K301-(L301+Calc!$J$2:$J$1001))&lt;Calc!$F$2:$F$1001)*(K301-(L301+Calc!$J$2:$J$1001))+((K301-(L301+Calc!$J$2:$J$1001))&gt;=Calc!$F$2:$F$1001)*Calc!$F$2:$F$1001))))</f>
        <v/>
      </c>
      <c r="Q301">
        <f>IF(I301=0,0,(MIN(MAX((K301+M301),0),L301)*W301+SUMPRODUCT((Calc!$A$2:$A$1001=A301)*Calc!$G$2:$G$1001*((((K301+M301)-(L301+Calc!$J$2:$J$1001))&gt;0)*(((K301+M301)-(L301+Calc!$J$2:$J$1001))&lt;Calc!$F$2:$F$1001)*((K301+M301)-(L301+Calc!$J$2:$J$1001))+(((K301+M301)-(L301+Calc!$J$2:$J$1001))&gt;=Calc!$F$2:$F$1001)*Calc!$F$2:$F$1001))))</f>
        <v/>
      </c>
      <c r="R301">
        <f>IF(I301=0,0,(MIN(MAX((K301+N301),0),L301)*W301+SUMPRODUCT((Calc!$A$2:$A$1001=A301)*Calc!$G$2:$G$1001*((((K301+N301)-(L301+Calc!$J$2:$J$1001))&gt;0)*(((K301+N301)-(L301+Calc!$J$2:$J$1001))&lt;Calc!$F$2:$F$1001)*((K301+N301)-(L301+Calc!$J$2:$J$1001))+(((K301+N301)-(L301+Calc!$J$2:$J$1001))&gt;=Calc!$F$2:$F$1001)*Calc!$F$2:$F$1001))))</f>
        <v/>
      </c>
      <c r="S301">
        <f>IF(I301=0,0,(MIN(MAX((K301+O301),0),L301)*W301+SUMPRODUCT((Calc!$A$2:$A$1001=A301)*Calc!$G$2:$G$1001*((((K301+O301)-(L301+Calc!$J$2:$J$1001))&gt;0)*(((K301+O301)-(L301+Calc!$J$2:$J$1001))&lt;Calc!$F$2:$F$1001)*((K301+O301)-(L301+Calc!$J$2:$J$1001))+(((K301+O301)-(L301+Calc!$J$2:$J$1001))&gt;=Calc!$F$2:$F$1001)*Calc!$F$2:$F$1001))))</f>
        <v/>
      </c>
      <c r="T301">
        <f>IF(AND(E301=1,B301="RETURN"),Transactions!E301*Transactions!G301,0)</f>
        <v/>
      </c>
      <c r="U301">
        <f>IF(AND(E301=1,B301="EXPENSE"),Transactions!J301,0)</f>
        <v/>
      </c>
      <c r="V301">
        <f>IF(AND(Transactions!A301&lt;&gt;"",E301=0),ROW(),"")</f>
        <v/>
      </c>
      <c r="W301">
        <f>IFERROR(VLOOKUP(A301,Opening!$A:$D,4,0),0)</f>
        <v/>
      </c>
    </row>
    <row r="302">
      <c r="A302">
        <f>IF(Transactions!D302="","",UPPER(TRIM(Transactions!D302)))</f>
        <v/>
      </c>
      <c r="B302">
        <f>IF(Transactions!C302="","",UPPER(TRIM(Transactions!C302)))</f>
        <v/>
      </c>
      <c r="C302">
        <f>IF(Transactions!B302="",0,YEAR(Transactions!B302)*100+MONTH(Transactions!B302))</f>
        <v/>
      </c>
      <c r="D302">
        <f>IF(Transactions!A302="",1,IF(COUNTIF(Transactions!$A$1:A301,Transactions!A302)&gt;0,1,0))</f>
        <v/>
      </c>
      <c r="E302">
        <f>IF(D302=1,0,IF(B302="RETURN",IF(COUNTIFS($A$1:A301,A302,$B$1:B301,"SALE",$E$1:E301,1)&gt;0,1,0),1))</f>
        <v/>
      </c>
      <c r="F302">
        <f>IF(E302=1,IF(B302="RECEIPT",Transactions!E302,IF(AND(B302="RETURN",LOWER(TRIM(Transactions!H302))="resellable"),Transactions!E302,0)),0)</f>
        <v/>
      </c>
      <c r="G302">
        <f>IF(F302&gt;0,IF(B302="RECEIPT",Transactions!F302,IF(_xlfn.MAXIFS($H$2:H302,$A$2:A302,A302)&gt;0,INDEX(Transactions!$F:$F,_xlfn.MAXIFS($H$2:H302,$A$2:A302,A302)),W302)),0)</f>
        <v/>
      </c>
      <c r="H302">
        <f>IF(AND(E302=1,B302="RECEIPT"),ROW(),0)</f>
        <v/>
      </c>
      <c r="I302">
        <f>IF(E302=1,IF(OR(B302="SALE",B302="WRITEOFF"),Transactions!E302,0),0)</f>
        <v/>
      </c>
      <c r="J302">
        <f>SUMIFS($F$1:F301,$A$1:A301,A302)</f>
        <v/>
      </c>
      <c r="K302">
        <f>SUMIFS($I$1:I301,$A$1:A301,A302)</f>
        <v/>
      </c>
      <c r="L302">
        <f>IFERROR(VLOOKUP(A302,Opening!$A:$C,3,0),0)</f>
        <v/>
      </c>
      <c r="M302">
        <f>IF(I302=0,0,MAX(0,MIN(INDEX(Month!H$2:H$13,MATCH($A302,Month!$A$2:$A$13,0))-K302,I302)))</f>
        <v/>
      </c>
      <c r="N302">
        <f>IF(I302=0,0,MAX(0,MIN(INDEX(Month!I$2:I$13,MATCH($A302,Month!$A$2:$A$13,0))-K302,I302)))</f>
        <v/>
      </c>
      <c r="O302">
        <f>IF(I302=0,0,MAX(0,MIN(INDEX(Month!J$2:J$13,MATCH($A302,Month!$A$2:$A$13,0))-K302,I302)))</f>
        <v/>
      </c>
      <c r="P302">
        <f>IF(I302=0,0,(MIN(MAX(K302,0),L302)*W302+SUMPRODUCT((Calc!$A$2:$A$1001=A302)*Calc!$G$2:$G$1001*(((K302-(L302+Calc!$J$2:$J$1001))&gt;0)*((K302-(L302+Calc!$J$2:$J$1001))&lt;Calc!$F$2:$F$1001)*(K302-(L302+Calc!$J$2:$J$1001))+((K302-(L302+Calc!$J$2:$J$1001))&gt;=Calc!$F$2:$F$1001)*Calc!$F$2:$F$1001))))</f>
        <v/>
      </c>
      <c r="Q302">
        <f>IF(I302=0,0,(MIN(MAX((K302+M302),0),L302)*W302+SUMPRODUCT((Calc!$A$2:$A$1001=A302)*Calc!$G$2:$G$1001*((((K302+M302)-(L302+Calc!$J$2:$J$1001))&gt;0)*(((K302+M302)-(L302+Calc!$J$2:$J$1001))&lt;Calc!$F$2:$F$1001)*((K302+M302)-(L302+Calc!$J$2:$J$1001))+(((K302+M302)-(L302+Calc!$J$2:$J$1001))&gt;=Calc!$F$2:$F$1001)*Calc!$F$2:$F$1001))))</f>
        <v/>
      </c>
      <c r="R302">
        <f>IF(I302=0,0,(MIN(MAX((K302+N302),0),L302)*W302+SUMPRODUCT((Calc!$A$2:$A$1001=A302)*Calc!$G$2:$G$1001*((((K302+N302)-(L302+Calc!$J$2:$J$1001))&gt;0)*(((K302+N302)-(L302+Calc!$J$2:$J$1001))&lt;Calc!$F$2:$F$1001)*((K302+N302)-(L302+Calc!$J$2:$J$1001))+(((K302+N302)-(L302+Calc!$J$2:$J$1001))&gt;=Calc!$F$2:$F$1001)*Calc!$F$2:$F$1001))))</f>
        <v/>
      </c>
      <c r="S302">
        <f>IF(I302=0,0,(MIN(MAX((K302+O302),0),L302)*W302+SUMPRODUCT((Calc!$A$2:$A$1001=A302)*Calc!$G$2:$G$1001*((((K302+O302)-(L302+Calc!$J$2:$J$1001))&gt;0)*(((K302+O302)-(L302+Calc!$J$2:$J$1001))&lt;Calc!$F$2:$F$1001)*((K302+O302)-(L302+Calc!$J$2:$J$1001))+(((K302+O302)-(L302+Calc!$J$2:$J$1001))&gt;=Calc!$F$2:$F$1001)*Calc!$F$2:$F$1001))))</f>
        <v/>
      </c>
      <c r="T302">
        <f>IF(AND(E302=1,B302="RETURN"),Transactions!E302*Transactions!G302,0)</f>
        <v/>
      </c>
      <c r="U302">
        <f>IF(AND(E302=1,B302="EXPENSE"),Transactions!J302,0)</f>
        <v/>
      </c>
      <c r="V302">
        <f>IF(AND(Transactions!A302&lt;&gt;"",E302=0),ROW(),"")</f>
        <v/>
      </c>
      <c r="W302">
        <f>IFERROR(VLOOKUP(A302,Opening!$A:$D,4,0),0)</f>
        <v/>
      </c>
    </row>
    <row r="303">
      <c r="A303">
        <f>IF(Transactions!D303="","",UPPER(TRIM(Transactions!D303)))</f>
        <v/>
      </c>
      <c r="B303">
        <f>IF(Transactions!C303="","",UPPER(TRIM(Transactions!C303)))</f>
        <v/>
      </c>
      <c r="C303">
        <f>IF(Transactions!B303="",0,YEAR(Transactions!B303)*100+MONTH(Transactions!B303))</f>
        <v/>
      </c>
      <c r="D303">
        <f>IF(Transactions!A303="",1,IF(COUNTIF(Transactions!$A$1:A302,Transactions!A303)&gt;0,1,0))</f>
        <v/>
      </c>
      <c r="E303">
        <f>IF(D303=1,0,IF(B303="RETURN",IF(COUNTIFS($A$1:A302,A303,$B$1:B302,"SALE",$E$1:E302,1)&gt;0,1,0),1))</f>
        <v/>
      </c>
      <c r="F303">
        <f>IF(E303=1,IF(B303="RECEIPT",Transactions!E303,IF(AND(B303="RETURN",LOWER(TRIM(Transactions!H303))="resellable"),Transactions!E303,0)),0)</f>
        <v/>
      </c>
      <c r="G303">
        <f>IF(F303&gt;0,IF(B303="RECEIPT",Transactions!F303,IF(_xlfn.MAXIFS($H$2:H303,$A$2:A303,A303)&gt;0,INDEX(Transactions!$F:$F,_xlfn.MAXIFS($H$2:H303,$A$2:A303,A303)),W303)),0)</f>
        <v/>
      </c>
      <c r="H303">
        <f>IF(AND(E303=1,B303="RECEIPT"),ROW(),0)</f>
        <v/>
      </c>
      <c r="I303">
        <f>IF(E303=1,IF(OR(B303="SALE",B303="WRITEOFF"),Transactions!E303,0),0)</f>
        <v/>
      </c>
      <c r="J303">
        <f>SUMIFS($F$1:F302,$A$1:A302,A303)</f>
        <v/>
      </c>
      <c r="K303">
        <f>SUMIFS($I$1:I302,$A$1:A302,A303)</f>
        <v/>
      </c>
      <c r="L303">
        <f>IFERROR(VLOOKUP(A303,Opening!$A:$C,3,0),0)</f>
        <v/>
      </c>
      <c r="M303">
        <f>IF(I303=0,0,MAX(0,MIN(INDEX(Month!H$2:H$13,MATCH($A303,Month!$A$2:$A$13,0))-K303,I303)))</f>
        <v/>
      </c>
      <c r="N303">
        <f>IF(I303=0,0,MAX(0,MIN(INDEX(Month!I$2:I$13,MATCH($A303,Month!$A$2:$A$13,0))-K303,I303)))</f>
        <v/>
      </c>
      <c r="O303">
        <f>IF(I303=0,0,MAX(0,MIN(INDEX(Month!J$2:J$13,MATCH($A303,Month!$A$2:$A$13,0))-K303,I303)))</f>
        <v/>
      </c>
      <c r="P303">
        <f>IF(I303=0,0,(MIN(MAX(K303,0),L303)*W303+SUMPRODUCT((Calc!$A$2:$A$1001=A303)*Calc!$G$2:$G$1001*(((K303-(L303+Calc!$J$2:$J$1001))&gt;0)*((K303-(L303+Calc!$J$2:$J$1001))&lt;Calc!$F$2:$F$1001)*(K303-(L303+Calc!$J$2:$J$1001))+((K303-(L303+Calc!$J$2:$J$1001))&gt;=Calc!$F$2:$F$1001)*Calc!$F$2:$F$1001))))</f>
        <v/>
      </c>
      <c r="Q303">
        <f>IF(I303=0,0,(MIN(MAX((K303+M303),0),L303)*W303+SUMPRODUCT((Calc!$A$2:$A$1001=A303)*Calc!$G$2:$G$1001*((((K303+M303)-(L303+Calc!$J$2:$J$1001))&gt;0)*(((K303+M303)-(L303+Calc!$J$2:$J$1001))&lt;Calc!$F$2:$F$1001)*((K303+M303)-(L303+Calc!$J$2:$J$1001))+(((K303+M303)-(L303+Calc!$J$2:$J$1001))&gt;=Calc!$F$2:$F$1001)*Calc!$F$2:$F$1001))))</f>
        <v/>
      </c>
      <c r="R303">
        <f>IF(I303=0,0,(MIN(MAX((K303+N303),0),L303)*W303+SUMPRODUCT((Calc!$A$2:$A$1001=A303)*Calc!$G$2:$G$1001*((((K303+N303)-(L303+Calc!$J$2:$J$1001))&gt;0)*(((K303+N303)-(L303+Calc!$J$2:$J$1001))&lt;Calc!$F$2:$F$1001)*((K303+N303)-(L303+Calc!$J$2:$J$1001))+(((K303+N303)-(L303+Calc!$J$2:$J$1001))&gt;=Calc!$F$2:$F$1001)*Calc!$F$2:$F$1001))))</f>
        <v/>
      </c>
      <c r="S303">
        <f>IF(I303=0,0,(MIN(MAX((K303+O303),0),L303)*W303+SUMPRODUCT((Calc!$A$2:$A$1001=A303)*Calc!$G$2:$G$1001*((((K303+O303)-(L303+Calc!$J$2:$J$1001))&gt;0)*(((K303+O303)-(L303+Calc!$J$2:$J$1001))&lt;Calc!$F$2:$F$1001)*((K303+O303)-(L303+Calc!$J$2:$J$1001))+(((K303+O303)-(L303+Calc!$J$2:$J$1001))&gt;=Calc!$F$2:$F$1001)*Calc!$F$2:$F$1001))))</f>
        <v/>
      </c>
      <c r="T303">
        <f>IF(AND(E303=1,B303="RETURN"),Transactions!E303*Transactions!G303,0)</f>
        <v/>
      </c>
      <c r="U303">
        <f>IF(AND(E303=1,B303="EXPENSE"),Transactions!J303,0)</f>
        <v/>
      </c>
      <c r="V303">
        <f>IF(AND(Transactions!A303&lt;&gt;"",E303=0),ROW(),"")</f>
        <v/>
      </c>
      <c r="W303">
        <f>IFERROR(VLOOKUP(A303,Opening!$A:$D,4,0),0)</f>
        <v/>
      </c>
    </row>
    <row r="304">
      <c r="A304">
        <f>IF(Transactions!D304="","",UPPER(TRIM(Transactions!D304)))</f>
        <v/>
      </c>
      <c r="B304">
        <f>IF(Transactions!C304="","",UPPER(TRIM(Transactions!C304)))</f>
        <v/>
      </c>
      <c r="C304">
        <f>IF(Transactions!B304="",0,YEAR(Transactions!B304)*100+MONTH(Transactions!B304))</f>
        <v/>
      </c>
      <c r="D304">
        <f>IF(Transactions!A304="",1,IF(COUNTIF(Transactions!$A$1:A303,Transactions!A304)&gt;0,1,0))</f>
        <v/>
      </c>
      <c r="E304">
        <f>IF(D304=1,0,IF(B304="RETURN",IF(COUNTIFS($A$1:A303,A304,$B$1:B303,"SALE",$E$1:E303,1)&gt;0,1,0),1))</f>
        <v/>
      </c>
      <c r="F304">
        <f>IF(E304=1,IF(B304="RECEIPT",Transactions!E304,IF(AND(B304="RETURN",LOWER(TRIM(Transactions!H304))="resellable"),Transactions!E304,0)),0)</f>
        <v/>
      </c>
      <c r="G304">
        <f>IF(F304&gt;0,IF(B304="RECEIPT",Transactions!F304,IF(_xlfn.MAXIFS($H$2:H304,$A$2:A304,A304)&gt;0,INDEX(Transactions!$F:$F,_xlfn.MAXIFS($H$2:H304,$A$2:A304,A304)),W304)),0)</f>
        <v/>
      </c>
      <c r="H304">
        <f>IF(AND(E304=1,B304="RECEIPT"),ROW(),0)</f>
        <v/>
      </c>
      <c r="I304">
        <f>IF(E304=1,IF(OR(B304="SALE",B304="WRITEOFF"),Transactions!E304,0),0)</f>
        <v/>
      </c>
      <c r="J304">
        <f>SUMIFS($F$1:F303,$A$1:A303,A304)</f>
        <v/>
      </c>
      <c r="K304">
        <f>SUMIFS($I$1:I303,$A$1:A303,A304)</f>
        <v/>
      </c>
      <c r="L304">
        <f>IFERROR(VLOOKUP(A304,Opening!$A:$C,3,0),0)</f>
        <v/>
      </c>
      <c r="M304">
        <f>IF(I304=0,0,MAX(0,MIN(INDEX(Month!H$2:H$13,MATCH($A304,Month!$A$2:$A$13,0))-K304,I304)))</f>
        <v/>
      </c>
      <c r="N304">
        <f>IF(I304=0,0,MAX(0,MIN(INDEX(Month!I$2:I$13,MATCH($A304,Month!$A$2:$A$13,0))-K304,I304)))</f>
        <v/>
      </c>
      <c r="O304">
        <f>IF(I304=0,0,MAX(0,MIN(INDEX(Month!J$2:J$13,MATCH($A304,Month!$A$2:$A$13,0))-K304,I304)))</f>
        <v/>
      </c>
      <c r="P304">
        <f>IF(I304=0,0,(MIN(MAX(K304,0),L304)*W304+SUMPRODUCT((Calc!$A$2:$A$1001=A304)*Calc!$G$2:$G$1001*(((K304-(L304+Calc!$J$2:$J$1001))&gt;0)*((K304-(L304+Calc!$J$2:$J$1001))&lt;Calc!$F$2:$F$1001)*(K304-(L304+Calc!$J$2:$J$1001))+((K304-(L304+Calc!$J$2:$J$1001))&gt;=Calc!$F$2:$F$1001)*Calc!$F$2:$F$1001))))</f>
        <v/>
      </c>
      <c r="Q304">
        <f>IF(I304=0,0,(MIN(MAX((K304+M304),0),L304)*W304+SUMPRODUCT((Calc!$A$2:$A$1001=A304)*Calc!$G$2:$G$1001*((((K304+M304)-(L304+Calc!$J$2:$J$1001))&gt;0)*(((K304+M304)-(L304+Calc!$J$2:$J$1001))&lt;Calc!$F$2:$F$1001)*((K304+M304)-(L304+Calc!$J$2:$J$1001))+(((K304+M304)-(L304+Calc!$J$2:$J$1001))&gt;=Calc!$F$2:$F$1001)*Calc!$F$2:$F$1001))))</f>
        <v/>
      </c>
      <c r="R304">
        <f>IF(I304=0,0,(MIN(MAX((K304+N304),0),L304)*W304+SUMPRODUCT((Calc!$A$2:$A$1001=A304)*Calc!$G$2:$G$1001*((((K304+N304)-(L304+Calc!$J$2:$J$1001))&gt;0)*(((K304+N304)-(L304+Calc!$J$2:$J$1001))&lt;Calc!$F$2:$F$1001)*((K304+N304)-(L304+Calc!$J$2:$J$1001))+(((K304+N304)-(L304+Calc!$J$2:$J$1001))&gt;=Calc!$F$2:$F$1001)*Calc!$F$2:$F$1001))))</f>
        <v/>
      </c>
      <c r="S304">
        <f>IF(I304=0,0,(MIN(MAX((K304+O304),0),L304)*W304+SUMPRODUCT((Calc!$A$2:$A$1001=A304)*Calc!$G$2:$G$1001*((((K304+O304)-(L304+Calc!$J$2:$J$1001))&gt;0)*(((K304+O304)-(L304+Calc!$J$2:$J$1001))&lt;Calc!$F$2:$F$1001)*((K304+O304)-(L304+Calc!$J$2:$J$1001))+(((K304+O304)-(L304+Calc!$J$2:$J$1001))&gt;=Calc!$F$2:$F$1001)*Calc!$F$2:$F$1001))))</f>
        <v/>
      </c>
      <c r="T304">
        <f>IF(AND(E304=1,B304="RETURN"),Transactions!E304*Transactions!G304,0)</f>
        <v/>
      </c>
      <c r="U304">
        <f>IF(AND(E304=1,B304="EXPENSE"),Transactions!J304,0)</f>
        <v/>
      </c>
      <c r="V304">
        <f>IF(AND(Transactions!A304&lt;&gt;"",E304=0),ROW(),"")</f>
        <v/>
      </c>
      <c r="W304">
        <f>IFERROR(VLOOKUP(A304,Opening!$A:$D,4,0),0)</f>
        <v/>
      </c>
    </row>
    <row r="305">
      <c r="A305">
        <f>IF(Transactions!D305="","",UPPER(TRIM(Transactions!D305)))</f>
        <v/>
      </c>
      <c r="B305">
        <f>IF(Transactions!C305="","",UPPER(TRIM(Transactions!C305)))</f>
        <v/>
      </c>
      <c r="C305">
        <f>IF(Transactions!B305="",0,YEAR(Transactions!B305)*100+MONTH(Transactions!B305))</f>
        <v/>
      </c>
      <c r="D305">
        <f>IF(Transactions!A305="",1,IF(COUNTIF(Transactions!$A$1:A304,Transactions!A305)&gt;0,1,0))</f>
        <v/>
      </c>
      <c r="E305">
        <f>IF(D305=1,0,IF(B305="RETURN",IF(COUNTIFS($A$1:A304,A305,$B$1:B304,"SALE",$E$1:E304,1)&gt;0,1,0),1))</f>
        <v/>
      </c>
      <c r="F305">
        <f>IF(E305=1,IF(B305="RECEIPT",Transactions!E305,IF(AND(B305="RETURN",LOWER(TRIM(Transactions!H305))="resellable"),Transactions!E305,0)),0)</f>
        <v/>
      </c>
      <c r="G305">
        <f>IF(F305&gt;0,IF(B305="RECEIPT",Transactions!F305,IF(_xlfn.MAXIFS($H$2:H305,$A$2:A305,A305)&gt;0,INDEX(Transactions!$F:$F,_xlfn.MAXIFS($H$2:H305,$A$2:A305,A305)),W305)),0)</f>
        <v/>
      </c>
      <c r="H305">
        <f>IF(AND(E305=1,B305="RECEIPT"),ROW(),0)</f>
        <v/>
      </c>
      <c r="I305">
        <f>IF(E305=1,IF(OR(B305="SALE",B305="WRITEOFF"),Transactions!E305,0),0)</f>
        <v/>
      </c>
      <c r="J305">
        <f>SUMIFS($F$1:F304,$A$1:A304,A305)</f>
        <v/>
      </c>
      <c r="K305">
        <f>SUMIFS($I$1:I304,$A$1:A304,A305)</f>
        <v/>
      </c>
      <c r="L305">
        <f>IFERROR(VLOOKUP(A305,Opening!$A:$C,3,0),0)</f>
        <v/>
      </c>
      <c r="M305">
        <f>IF(I305=0,0,MAX(0,MIN(INDEX(Month!H$2:H$13,MATCH($A305,Month!$A$2:$A$13,0))-K305,I305)))</f>
        <v/>
      </c>
      <c r="N305">
        <f>IF(I305=0,0,MAX(0,MIN(INDEX(Month!I$2:I$13,MATCH($A305,Month!$A$2:$A$13,0))-K305,I305)))</f>
        <v/>
      </c>
      <c r="O305">
        <f>IF(I305=0,0,MAX(0,MIN(INDEX(Month!J$2:J$13,MATCH($A305,Month!$A$2:$A$13,0))-K305,I305)))</f>
        <v/>
      </c>
      <c r="P305">
        <f>IF(I305=0,0,(MIN(MAX(K305,0),L305)*W305+SUMPRODUCT((Calc!$A$2:$A$1001=A305)*Calc!$G$2:$G$1001*(((K305-(L305+Calc!$J$2:$J$1001))&gt;0)*((K305-(L305+Calc!$J$2:$J$1001))&lt;Calc!$F$2:$F$1001)*(K305-(L305+Calc!$J$2:$J$1001))+((K305-(L305+Calc!$J$2:$J$1001))&gt;=Calc!$F$2:$F$1001)*Calc!$F$2:$F$1001))))</f>
        <v/>
      </c>
      <c r="Q305">
        <f>IF(I305=0,0,(MIN(MAX((K305+M305),0),L305)*W305+SUMPRODUCT((Calc!$A$2:$A$1001=A305)*Calc!$G$2:$G$1001*((((K305+M305)-(L305+Calc!$J$2:$J$1001))&gt;0)*(((K305+M305)-(L305+Calc!$J$2:$J$1001))&lt;Calc!$F$2:$F$1001)*((K305+M305)-(L305+Calc!$J$2:$J$1001))+(((K305+M305)-(L305+Calc!$J$2:$J$1001))&gt;=Calc!$F$2:$F$1001)*Calc!$F$2:$F$1001))))</f>
        <v/>
      </c>
      <c r="R305">
        <f>IF(I305=0,0,(MIN(MAX((K305+N305),0),L305)*W305+SUMPRODUCT((Calc!$A$2:$A$1001=A305)*Calc!$G$2:$G$1001*((((K305+N305)-(L305+Calc!$J$2:$J$1001))&gt;0)*(((K305+N305)-(L305+Calc!$J$2:$J$1001))&lt;Calc!$F$2:$F$1001)*((K305+N305)-(L305+Calc!$J$2:$J$1001))+(((K305+N305)-(L305+Calc!$J$2:$J$1001))&gt;=Calc!$F$2:$F$1001)*Calc!$F$2:$F$1001))))</f>
        <v/>
      </c>
      <c r="S305">
        <f>IF(I305=0,0,(MIN(MAX((K305+O305),0),L305)*W305+SUMPRODUCT((Calc!$A$2:$A$1001=A305)*Calc!$G$2:$G$1001*((((K305+O305)-(L305+Calc!$J$2:$J$1001))&gt;0)*(((K305+O305)-(L305+Calc!$J$2:$J$1001))&lt;Calc!$F$2:$F$1001)*((K305+O305)-(L305+Calc!$J$2:$J$1001))+(((K305+O305)-(L305+Calc!$J$2:$J$1001))&gt;=Calc!$F$2:$F$1001)*Calc!$F$2:$F$1001))))</f>
        <v/>
      </c>
      <c r="T305">
        <f>IF(AND(E305=1,B305="RETURN"),Transactions!E305*Transactions!G305,0)</f>
        <v/>
      </c>
      <c r="U305">
        <f>IF(AND(E305=1,B305="EXPENSE"),Transactions!J305,0)</f>
        <v/>
      </c>
      <c r="V305">
        <f>IF(AND(Transactions!A305&lt;&gt;"",E305=0),ROW(),"")</f>
        <v/>
      </c>
      <c r="W305">
        <f>IFERROR(VLOOKUP(A305,Opening!$A:$D,4,0),0)</f>
        <v/>
      </c>
    </row>
    <row r="306">
      <c r="A306">
        <f>IF(Transactions!D306="","",UPPER(TRIM(Transactions!D306)))</f>
        <v/>
      </c>
      <c r="B306">
        <f>IF(Transactions!C306="","",UPPER(TRIM(Transactions!C306)))</f>
        <v/>
      </c>
      <c r="C306">
        <f>IF(Transactions!B306="",0,YEAR(Transactions!B306)*100+MONTH(Transactions!B306))</f>
        <v/>
      </c>
      <c r="D306">
        <f>IF(Transactions!A306="",1,IF(COUNTIF(Transactions!$A$1:A305,Transactions!A306)&gt;0,1,0))</f>
        <v/>
      </c>
      <c r="E306">
        <f>IF(D306=1,0,IF(B306="RETURN",IF(COUNTIFS($A$1:A305,A306,$B$1:B305,"SALE",$E$1:E305,1)&gt;0,1,0),1))</f>
        <v/>
      </c>
      <c r="F306">
        <f>IF(E306=1,IF(B306="RECEIPT",Transactions!E306,IF(AND(B306="RETURN",LOWER(TRIM(Transactions!H306))="resellable"),Transactions!E306,0)),0)</f>
        <v/>
      </c>
      <c r="G306">
        <f>IF(F306&gt;0,IF(B306="RECEIPT",Transactions!F306,IF(_xlfn.MAXIFS($H$2:H306,$A$2:A306,A306)&gt;0,INDEX(Transactions!$F:$F,_xlfn.MAXIFS($H$2:H306,$A$2:A306,A306)),W306)),0)</f>
        <v/>
      </c>
      <c r="H306">
        <f>IF(AND(E306=1,B306="RECEIPT"),ROW(),0)</f>
        <v/>
      </c>
      <c r="I306">
        <f>IF(E306=1,IF(OR(B306="SALE",B306="WRITEOFF"),Transactions!E306,0),0)</f>
        <v/>
      </c>
      <c r="J306">
        <f>SUMIFS($F$1:F305,$A$1:A305,A306)</f>
        <v/>
      </c>
      <c r="K306">
        <f>SUMIFS($I$1:I305,$A$1:A305,A306)</f>
        <v/>
      </c>
      <c r="L306">
        <f>IFERROR(VLOOKUP(A306,Opening!$A:$C,3,0),0)</f>
        <v/>
      </c>
      <c r="M306">
        <f>IF(I306=0,0,MAX(0,MIN(INDEX(Month!H$2:H$13,MATCH($A306,Month!$A$2:$A$13,0))-K306,I306)))</f>
        <v/>
      </c>
      <c r="N306">
        <f>IF(I306=0,0,MAX(0,MIN(INDEX(Month!I$2:I$13,MATCH($A306,Month!$A$2:$A$13,0))-K306,I306)))</f>
        <v/>
      </c>
      <c r="O306">
        <f>IF(I306=0,0,MAX(0,MIN(INDEX(Month!J$2:J$13,MATCH($A306,Month!$A$2:$A$13,0))-K306,I306)))</f>
        <v/>
      </c>
      <c r="P306">
        <f>IF(I306=0,0,(MIN(MAX(K306,0),L306)*W306+SUMPRODUCT((Calc!$A$2:$A$1001=A306)*Calc!$G$2:$G$1001*(((K306-(L306+Calc!$J$2:$J$1001))&gt;0)*((K306-(L306+Calc!$J$2:$J$1001))&lt;Calc!$F$2:$F$1001)*(K306-(L306+Calc!$J$2:$J$1001))+((K306-(L306+Calc!$J$2:$J$1001))&gt;=Calc!$F$2:$F$1001)*Calc!$F$2:$F$1001))))</f>
        <v/>
      </c>
      <c r="Q306">
        <f>IF(I306=0,0,(MIN(MAX((K306+M306),0),L306)*W306+SUMPRODUCT((Calc!$A$2:$A$1001=A306)*Calc!$G$2:$G$1001*((((K306+M306)-(L306+Calc!$J$2:$J$1001))&gt;0)*(((K306+M306)-(L306+Calc!$J$2:$J$1001))&lt;Calc!$F$2:$F$1001)*((K306+M306)-(L306+Calc!$J$2:$J$1001))+(((K306+M306)-(L306+Calc!$J$2:$J$1001))&gt;=Calc!$F$2:$F$1001)*Calc!$F$2:$F$1001))))</f>
        <v/>
      </c>
      <c r="R306">
        <f>IF(I306=0,0,(MIN(MAX((K306+N306),0),L306)*W306+SUMPRODUCT((Calc!$A$2:$A$1001=A306)*Calc!$G$2:$G$1001*((((K306+N306)-(L306+Calc!$J$2:$J$1001))&gt;0)*(((K306+N306)-(L306+Calc!$J$2:$J$1001))&lt;Calc!$F$2:$F$1001)*((K306+N306)-(L306+Calc!$J$2:$J$1001))+(((K306+N306)-(L306+Calc!$J$2:$J$1001))&gt;=Calc!$F$2:$F$1001)*Calc!$F$2:$F$1001))))</f>
        <v/>
      </c>
      <c r="S306">
        <f>IF(I306=0,0,(MIN(MAX((K306+O306),0),L306)*W306+SUMPRODUCT((Calc!$A$2:$A$1001=A306)*Calc!$G$2:$G$1001*((((K306+O306)-(L306+Calc!$J$2:$J$1001))&gt;0)*(((K306+O306)-(L306+Calc!$J$2:$J$1001))&lt;Calc!$F$2:$F$1001)*((K306+O306)-(L306+Calc!$J$2:$J$1001))+(((K306+O306)-(L306+Calc!$J$2:$J$1001))&gt;=Calc!$F$2:$F$1001)*Calc!$F$2:$F$1001))))</f>
        <v/>
      </c>
      <c r="T306">
        <f>IF(AND(E306=1,B306="RETURN"),Transactions!E306*Transactions!G306,0)</f>
        <v/>
      </c>
      <c r="U306">
        <f>IF(AND(E306=1,B306="EXPENSE"),Transactions!J306,0)</f>
        <v/>
      </c>
      <c r="V306">
        <f>IF(AND(Transactions!A306&lt;&gt;"",E306=0),ROW(),"")</f>
        <v/>
      </c>
      <c r="W306">
        <f>IFERROR(VLOOKUP(A306,Opening!$A:$D,4,0),0)</f>
        <v/>
      </c>
    </row>
    <row r="307">
      <c r="A307">
        <f>IF(Transactions!D307="","",UPPER(TRIM(Transactions!D307)))</f>
        <v/>
      </c>
      <c r="B307">
        <f>IF(Transactions!C307="","",UPPER(TRIM(Transactions!C307)))</f>
        <v/>
      </c>
      <c r="C307">
        <f>IF(Transactions!B307="",0,YEAR(Transactions!B307)*100+MONTH(Transactions!B307))</f>
        <v/>
      </c>
      <c r="D307">
        <f>IF(Transactions!A307="",1,IF(COUNTIF(Transactions!$A$1:A306,Transactions!A307)&gt;0,1,0))</f>
        <v/>
      </c>
      <c r="E307">
        <f>IF(D307=1,0,IF(B307="RETURN",IF(COUNTIFS($A$1:A306,A307,$B$1:B306,"SALE",$E$1:E306,1)&gt;0,1,0),1))</f>
        <v/>
      </c>
      <c r="F307">
        <f>IF(E307=1,IF(B307="RECEIPT",Transactions!E307,IF(AND(B307="RETURN",LOWER(TRIM(Transactions!H307))="resellable"),Transactions!E307,0)),0)</f>
        <v/>
      </c>
      <c r="G307">
        <f>IF(F307&gt;0,IF(B307="RECEIPT",Transactions!F307,IF(_xlfn.MAXIFS($H$2:H307,$A$2:A307,A307)&gt;0,INDEX(Transactions!$F:$F,_xlfn.MAXIFS($H$2:H307,$A$2:A307,A307)),W307)),0)</f>
        <v/>
      </c>
      <c r="H307">
        <f>IF(AND(E307=1,B307="RECEIPT"),ROW(),0)</f>
        <v/>
      </c>
      <c r="I307">
        <f>IF(E307=1,IF(OR(B307="SALE",B307="WRITEOFF"),Transactions!E307,0),0)</f>
        <v/>
      </c>
      <c r="J307">
        <f>SUMIFS($F$1:F306,$A$1:A306,A307)</f>
        <v/>
      </c>
      <c r="K307">
        <f>SUMIFS($I$1:I306,$A$1:A306,A307)</f>
        <v/>
      </c>
      <c r="L307">
        <f>IFERROR(VLOOKUP(A307,Opening!$A:$C,3,0),0)</f>
        <v/>
      </c>
      <c r="M307">
        <f>IF(I307=0,0,MAX(0,MIN(INDEX(Month!H$2:H$13,MATCH($A307,Month!$A$2:$A$13,0))-K307,I307)))</f>
        <v/>
      </c>
      <c r="N307">
        <f>IF(I307=0,0,MAX(0,MIN(INDEX(Month!I$2:I$13,MATCH($A307,Month!$A$2:$A$13,0))-K307,I307)))</f>
        <v/>
      </c>
      <c r="O307">
        <f>IF(I307=0,0,MAX(0,MIN(INDEX(Month!J$2:J$13,MATCH($A307,Month!$A$2:$A$13,0))-K307,I307)))</f>
        <v/>
      </c>
      <c r="P307">
        <f>IF(I307=0,0,(MIN(MAX(K307,0),L307)*W307+SUMPRODUCT((Calc!$A$2:$A$1001=A307)*Calc!$G$2:$G$1001*(((K307-(L307+Calc!$J$2:$J$1001))&gt;0)*((K307-(L307+Calc!$J$2:$J$1001))&lt;Calc!$F$2:$F$1001)*(K307-(L307+Calc!$J$2:$J$1001))+((K307-(L307+Calc!$J$2:$J$1001))&gt;=Calc!$F$2:$F$1001)*Calc!$F$2:$F$1001))))</f>
        <v/>
      </c>
      <c r="Q307">
        <f>IF(I307=0,0,(MIN(MAX((K307+M307),0),L307)*W307+SUMPRODUCT((Calc!$A$2:$A$1001=A307)*Calc!$G$2:$G$1001*((((K307+M307)-(L307+Calc!$J$2:$J$1001))&gt;0)*(((K307+M307)-(L307+Calc!$J$2:$J$1001))&lt;Calc!$F$2:$F$1001)*((K307+M307)-(L307+Calc!$J$2:$J$1001))+(((K307+M307)-(L307+Calc!$J$2:$J$1001))&gt;=Calc!$F$2:$F$1001)*Calc!$F$2:$F$1001))))</f>
        <v/>
      </c>
      <c r="R307">
        <f>IF(I307=0,0,(MIN(MAX((K307+N307),0),L307)*W307+SUMPRODUCT((Calc!$A$2:$A$1001=A307)*Calc!$G$2:$G$1001*((((K307+N307)-(L307+Calc!$J$2:$J$1001))&gt;0)*(((K307+N307)-(L307+Calc!$J$2:$J$1001))&lt;Calc!$F$2:$F$1001)*((K307+N307)-(L307+Calc!$J$2:$J$1001))+(((K307+N307)-(L307+Calc!$J$2:$J$1001))&gt;=Calc!$F$2:$F$1001)*Calc!$F$2:$F$1001))))</f>
        <v/>
      </c>
      <c r="S307">
        <f>IF(I307=0,0,(MIN(MAX((K307+O307),0),L307)*W307+SUMPRODUCT((Calc!$A$2:$A$1001=A307)*Calc!$G$2:$G$1001*((((K307+O307)-(L307+Calc!$J$2:$J$1001))&gt;0)*(((K307+O307)-(L307+Calc!$J$2:$J$1001))&lt;Calc!$F$2:$F$1001)*((K307+O307)-(L307+Calc!$J$2:$J$1001))+(((K307+O307)-(L307+Calc!$J$2:$J$1001))&gt;=Calc!$F$2:$F$1001)*Calc!$F$2:$F$1001))))</f>
        <v/>
      </c>
      <c r="T307">
        <f>IF(AND(E307=1,B307="RETURN"),Transactions!E307*Transactions!G307,0)</f>
        <v/>
      </c>
      <c r="U307">
        <f>IF(AND(E307=1,B307="EXPENSE"),Transactions!J307,0)</f>
        <v/>
      </c>
      <c r="V307">
        <f>IF(AND(Transactions!A307&lt;&gt;"",E307=0),ROW(),"")</f>
        <v/>
      </c>
      <c r="W307">
        <f>IFERROR(VLOOKUP(A307,Opening!$A:$D,4,0),0)</f>
        <v/>
      </c>
    </row>
    <row r="308">
      <c r="A308">
        <f>IF(Transactions!D308="","",UPPER(TRIM(Transactions!D308)))</f>
        <v/>
      </c>
      <c r="B308">
        <f>IF(Transactions!C308="","",UPPER(TRIM(Transactions!C308)))</f>
        <v/>
      </c>
      <c r="C308">
        <f>IF(Transactions!B308="",0,YEAR(Transactions!B308)*100+MONTH(Transactions!B308))</f>
        <v/>
      </c>
      <c r="D308">
        <f>IF(Transactions!A308="",1,IF(COUNTIF(Transactions!$A$1:A307,Transactions!A308)&gt;0,1,0))</f>
        <v/>
      </c>
      <c r="E308">
        <f>IF(D308=1,0,IF(B308="RETURN",IF(COUNTIFS($A$1:A307,A308,$B$1:B307,"SALE",$E$1:E307,1)&gt;0,1,0),1))</f>
        <v/>
      </c>
      <c r="F308">
        <f>IF(E308=1,IF(B308="RECEIPT",Transactions!E308,IF(AND(B308="RETURN",LOWER(TRIM(Transactions!H308))="resellable"),Transactions!E308,0)),0)</f>
        <v/>
      </c>
      <c r="G308">
        <f>IF(F308&gt;0,IF(B308="RECEIPT",Transactions!F308,IF(_xlfn.MAXIFS($H$2:H308,$A$2:A308,A308)&gt;0,INDEX(Transactions!$F:$F,_xlfn.MAXIFS($H$2:H308,$A$2:A308,A308)),W308)),0)</f>
        <v/>
      </c>
      <c r="H308">
        <f>IF(AND(E308=1,B308="RECEIPT"),ROW(),0)</f>
        <v/>
      </c>
      <c r="I308">
        <f>IF(E308=1,IF(OR(B308="SALE",B308="WRITEOFF"),Transactions!E308,0),0)</f>
        <v/>
      </c>
      <c r="J308">
        <f>SUMIFS($F$1:F307,$A$1:A307,A308)</f>
        <v/>
      </c>
      <c r="K308">
        <f>SUMIFS($I$1:I307,$A$1:A307,A308)</f>
        <v/>
      </c>
      <c r="L308">
        <f>IFERROR(VLOOKUP(A308,Opening!$A:$C,3,0),0)</f>
        <v/>
      </c>
      <c r="M308">
        <f>IF(I308=0,0,MAX(0,MIN(INDEX(Month!H$2:H$13,MATCH($A308,Month!$A$2:$A$13,0))-K308,I308)))</f>
        <v/>
      </c>
      <c r="N308">
        <f>IF(I308=0,0,MAX(0,MIN(INDEX(Month!I$2:I$13,MATCH($A308,Month!$A$2:$A$13,0))-K308,I308)))</f>
        <v/>
      </c>
      <c r="O308">
        <f>IF(I308=0,0,MAX(0,MIN(INDEX(Month!J$2:J$13,MATCH($A308,Month!$A$2:$A$13,0))-K308,I308)))</f>
        <v/>
      </c>
      <c r="P308">
        <f>IF(I308=0,0,(MIN(MAX(K308,0),L308)*W308+SUMPRODUCT((Calc!$A$2:$A$1001=A308)*Calc!$G$2:$G$1001*(((K308-(L308+Calc!$J$2:$J$1001))&gt;0)*((K308-(L308+Calc!$J$2:$J$1001))&lt;Calc!$F$2:$F$1001)*(K308-(L308+Calc!$J$2:$J$1001))+((K308-(L308+Calc!$J$2:$J$1001))&gt;=Calc!$F$2:$F$1001)*Calc!$F$2:$F$1001))))</f>
        <v/>
      </c>
      <c r="Q308">
        <f>IF(I308=0,0,(MIN(MAX((K308+M308),0),L308)*W308+SUMPRODUCT((Calc!$A$2:$A$1001=A308)*Calc!$G$2:$G$1001*((((K308+M308)-(L308+Calc!$J$2:$J$1001))&gt;0)*(((K308+M308)-(L308+Calc!$J$2:$J$1001))&lt;Calc!$F$2:$F$1001)*((K308+M308)-(L308+Calc!$J$2:$J$1001))+(((K308+M308)-(L308+Calc!$J$2:$J$1001))&gt;=Calc!$F$2:$F$1001)*Calc!$F$2:$F$1001))))</f>
        <v/>
      </c>
      <c r="R308">
        <f>IF(I308=0,0,(MIN(MAX((K308+N308),0),L308)*W308+SUMPRODUCT((Calc!$A$2:$A$1001=A308)*Calc!$G$2:$G$1001*((((K308+N308)-(L308+Calc!$J$2:$J$1001))&gt;0)*(((K308+N308)-(L308+Calc!$J$2:$J$1001))&lt;Calc!$F$2:$F$1001)*((K308+N308)-(L308+Calc!$J$2:$J$1001))+(((K308+N308)-(L308+Calc!$J$2:$J$1001))&gt;=Calc!$F$2:$F$1001)*Calc!$F$2:$F$1001))))</f>
        <v/>
      </c>
      <c r="S308">
        <f>IF(I308=0,0,(MIN(MAX((K308+O308),0),L308)*W308+SUMPRODUCT((Calc!$A$2:$A$1001=A308)*Calc!$G$2:$G$1001*((((K308+O308)-(L308+Calc!$J$2:$J$1001))&gt;0)*(((K308+O308)-(L308+Calc!$J$2:$J$1001))&lt;Calc!$F$2:$F$1001)*((K308+O308)-(L308+Calc!$J$2:$J$1001))+(((K308+O308)-(L308+Calc!$J$2:$J$1001))&gt;=Calc!$F$2:$F$1001)*Calc!$F$2:$F$1001))))</f>
        <v/>
      </c>
      <c r="T308">
        <f>IF(AND(E308=1,B308="RETURN"),Transactions!E308*Transactions!G308,0)</f>
        <v/>
      </c>
      <c r="U308">
        <f>IF(AND(E308=1,B308="EXPENSE"),Transactions!J308,0)</f>
        <v/>
      </c>
      <c r="V308">
        <f>IF(AND(Transactions!A308&lt;&gt;"",E308=0),ROW(),"")</f>
        <v/>
      </c>
      <c r="W308">
        <f>IFERROR(VLOOKUP(A308,Opening!$A:$D,4,0),0)</f>
        <v/>
      </c>
    </row>
    <row r="309">
      <c r="A309">
        <f>IF(Transactions!D309="","",UPPER(TRIM(Transactions!D309)))</f>
        <v/>
      </c>
      <c r="B309">
        <f>IF(Transactions!C309="","",UPPER(TRIM(Transactions!C309)))</f>
        <v/>
      </c>
      <c r="C309">
        <f>IF(Transactions!B309="",0,YEAR(Transactions!B309)*100+MONTH(Transactions!B309))</f>
        <v/>
      </c>
      <c r="D309">
        <f>IF(Transactions!A309="",1,IF(COUNTIF(Transactions!$A$1:A308,Transactions!A309)&gt;0,1,0))</f>
        <v/>
      </c>
      <c r="E309">
        <f>IF(D309=1,0,IF(B309="RETURN",IF(COUNTIFS($A$1:A308,A309,$B$1:B308,"SALE",$E$1:E308,1)&gt;0,1,0),1))</f>
        <v/>
      </c>
      <c r="F309">
        <f>IF(E309=1,IF(B309="RECEIPT",Transactions!E309,IF(AND(B309="RETURN",LOWER(TRIM(Transactions!H309))="resellable"),Transactions!E309,0)),0)</f>
        <v/>
      </c>
      <c r="G309">
        <f>IF(F309&gt;0,IF(B309="RECEIPT",Transactions!F309,IF(_xlfn.MAXIFS($H$2:H309,$A$2:A309,A309)&gt;0,INDEX(Transactions!$F:$F,_xlfn.MAXIFS($H$2:H309,$A$2:A309,A309)),W309)),0)</f>
        <v/>
      </c>
      <c r="H309">
        <f>IF(AND(E309=1,B309="RECEIPT"),ROW(),0)</f>
        <v/>
      </c>
      <c r="I309">
        <f>IF(E309=1,IF(OR(B309="SALE",B309="WRITEOFF"),Transactions!E309,0),0)</f>
        <v/>
      </c>
      <c r="J309">
        <f>SUMIFS($F$1:F308,$A$1:A308,A309)</f>
        <v/>
      </c>
      <c r="K309">
        <f>SUMIFS($I$1:I308,$A$1:A308,A309)</f>
        <v/>
      </c>
      <c r="L309">
        <f>IFERROR(VLOOKUP(A309,Opening!$A:$C,3,0),0)</f>
        <v/>
      </c>
      <c r="M309">
        <f>IF(I309=0,0,MAX(0,MIN(INDEX(Month!H$2:H$13,MATCH($A309,Month!$A$2:$A$13,0))-K309,I309)))</f>
        <v/>
      </c>
      <c r="N309">
        <f>IF(I309=0,0,MAX(0,MIN(INDEX(Month!I$2:I$13,MATCH($A309,Month!$A$2:$A$13,0))-K309,I309)))</f>
        <v/>
      </c>
      <c r="O309">
        <f>IF(I309=0,0,MAX(0,MIN(INDEX(Month!J$2:J$13,MATCH($A309,Month!$A$2:$A$13,0))-K309,I309)))</f>
        <v/>
      </c>
      <c r="P309">
        <f>IF(I309=0,0,(MIN(MAX(K309,0),L309)*W309+SUMPRODUCT((Calc!$A$2:$A$1001=A309)*Calc!$G$2:$G$1001*(((K309-(L309+Calc!$J$2:$J$1001))&gt;0)*((K309-(L309+Calc!$J$2:$J$1001))&lt;Calc!$F$2:$F$1001)*(K309-(L309+Calc!$J$2:$J$1001))+((K309-(L309+Calc!$J$2:$J$1001))&gt;=Calc!$F$2:$F$1001)*Calc!$F$2:$F$1001))))</f>
        <v/>
      </c>
      <c r="Q309">
        <f>IF(I309=0,0,(MIN(MAX((K309+M309),0),L309)*W309+SUMPRODUCT((Calc!$A$2:$A$1001=A309)*Calc!$G$2:$G$1001*((((K309+M309)-(L309+Calc!$J$2:$J$1001))&gt;0)*(((K309+M309)-(L309+Calc!$J$2:$J$1001))&lt;Calc!$F$2:$F$1001)*((K309+M309)-(L309+Calc!$J$2:$J$1001))+(((K309+M309)-(L309+Calc!$J$2:$J$1001))&gt;=Calc!$F$2:$F$1001)*Calc!$F$2:$F$1001))))</f>
        <v/>
      </c>
      <c r="R309">
        <f>IF(I309=0,0,(MIN(MAX((K309+N309),0),L309)*W309+SUMPRODUCT((Calc!$A$2:$A$1001=A309)*Calc!$G$2:$G$1001*((((K309+N309)-(L309+Calc!$J$2:$J$1001))&gt;0)*(((K309+N309)-(L309+Calc!$J$2:$J$1001))&lt;Calc!$F$2:$F$1001)*((K309+N309)-(L309+Calc!$J$2:$J$1001))+(((K309+N309)-(L309+Calc!$J$2:$J$1001))&gt;=Calc!$F$2:$F$1001)*Calc!$F$2:$F$1001))))</f>
        <v/>
      </c>
      <c r="S309">
        <f>IF(I309=0,0,(MIN(MAX((K309+O309),0),L309)*W309+SUMPRODUCT((Calc!$A$2:$A$1001=A309)*Calc!$G$2:$G$1001*((((K309+O309)-(L309+Calc!$J$2:$J$1001))&gt;0)*(((K309+O309)-(L309+Calc!$J$2:$J$1001))&lt;Calc!$F$2:$F$1001)*((K309+O309)-(L309+Calc!$J$2:$J$1001))+(((K309+O309)-(L309+Calc!$J$2:$J$1001))&gt;=Calc!$F$2:$F$1001)*Calc!$F$2:$F$1001))))</f>
        <v/>
      </c>
      <c r="T309">
        <f>IF(AND(E309=1,B309="RETURN"),Transactions!E309*Transactions!G309,0)</f>
        <v/>
      </c>
      <c r="U309">
        <f>IF(AND(E309=1,B309="EXPENSE"),Transactions!J309,0)</f>
        <v/>
      </c>
      <c r="V309">
        <f>IF(AND(Transactions!A309&lt;&gt;"",E309=0),ROW(),"")</f>
        <v/>
      </c>
      <c r="W309">
        <f>IFERROR(VLOOKUP(A309,Opening!$A:$D,4,0),0)</f>
        <v/>
      </c>
    </row>
    <row r="310">
      <c r="A310">
        <f>IF(Transactions!D310="","",UPPER(TRIM(Transactions!D310)))</f>
        <v/>
      </c>
      <c r="B310">
        <f>IF(Transactions!C310="","",UPPER(TRIM(Transactions!C310)))</f>
        <v/>
      </c>
      <c r="C310">
        <f>IF(Transactions!B310="",0,YEAR(Transactions!B310)*100+MONTH(Transactions!B310))</f>
        <v/>
      </c>
      <c r="D310">
        <f>IF(Transactions!A310="",1,IF(COUNTIF(Transactions!$A$1:A309,Transactions!A310)&gt;0,1,0))</f>
        <v/>
      </c>
      <c r="E310">
        <f>IF(D310=1,0,IF(B310="RETURN",IF(COUNTIFS($A$1:A309,A310,$B$1:B309,"SALE",$E$1:E309,1)&gt;0,1,0),1))</f>
        <v/>
      </c>
      <c r="F310">
        <f>IF(E310=1,IF(B310="RECEIPT",Transactions!E310,IF(AND(B310="RETURN",LOWER(TRIM(Transactions!H310))="resellable"),Transactions!E310,0)),0)</f>
        <v/>
      </c>
      <c r="G310">
        <f>IF(F310&gt;0,IF(B310="RECEIPT",Transactions!F310,IF(_xlfn.MAXIFS($H$2:H310,$A$2:A310,A310)&gt;0,INDEX(Transactions!$F:$F,_xlfn.MAXIFS($H$2:H310,$A$2:A310,A310)),W310)),0)</f>
        <v/>
      </c>
      <c r="H310">
        <f>IF(AND(E310=1,B310="RECEIPT"),ROW(),0)</f>
        <v/>
      </c>
      <c r="I310">
        <f>IF(E310=1,IF(OR(B310="SALE",B310="WRITEOFF"),Transactions!E310,0),0)</f>
        <v/>
      </c>
      <c r="J310">
        <f>SUMIFS($F$1:F309,$A$1:A309,A310)</f>
        <v/>
      </c>
      <c r="K310">
        <f>SUMIFS($I$1:I309,$A$1:A309,A310)</f>
        <v/>
      </c>
      <c r="L310">
        <f>IFERROR(VLOOKUP(A310,Opening!$A:$C,3,0),0)</f>
        <v/>
      </c>
      <c r="M310">
        <f>IF(I310=0,0,MAX(0,MIN(INDEX(Month!H$2:H$13,MATCH($A310,Month!$A$2:$A$13,0))-K310,I310)))</f>
        <v/>
      </c>
      <c r="N310">
        <f>IF(I310=0,0,MAX(0,MIN(INDEX(Month!I$2:I$13,MATCH($A310,Month!$A$2:$A$13,0))-K310,I310)))</f>
        <v/>
      </c>
      <c r="O310">
        <f>IF(I310=0,0,MAX(0,MIN(INDEX(Month!J$2:J$13,MATCH($A310,Month!$A$2:$A$13,0))-K310,I310)))</f>
        <v/>
      </c>
      <c r="P310">
        <f>IF(I310=0,0,(MIN(MAX(K310,0),L310)*W310+SUMPRODUCT((Calc!$A$2:$A$1001=A310)*Calc!$G$2:$G$1001*(((K310-(L310+Calc!$J$2:$J$1001))&gt;0)*((K310-(L310+Calc!$J$2:$J$1001))&lt;Calc!$F$2:$F$1001)*(K310-(L310+Calc!$J$2:$J$1001))+((K310-(L310+Calc!$J$2:$J$1001))&gt;=Calc!$F$2:$F$1001)*Calc!$F$2:$F$1001))))</f>
        <v/>
      </c>
      <c r="Q310">
        <f>IF(I310=0,0,(MIN(MAX((K310+M310),0),L310)*W310+SUMPRODUCT((Calc!$A$2:$A$1001=A310)*Calc!$G$2:$G$1001*((((K310+M310)-(L310+Calc!$J$2:$J$1001))&gt;0)*(((K310+M310)-(L310+Calc!$J$2:$J$1001))&lt;Calc!$F$2:$F$1001)*((K310+M310)-(L310+Calc!$J$2:$J$1001))+(((K310+M310)-(L310+Calc!$J$2:$J$1001))&gt;=Calc!$F$2:$F$1001)*Calc!$F$2:$F$1001))))</f>
        <v/>
      </c>
      <c r="R310">
        <f>IF(I310=0,0,(MIN(MAX((K310+N310),0),L310)*W310+SUMPRODUCT((Calc!$A$2:$A$1001=A310)*Calc!$G$2:$G$1001*((((K310+N310)-(L310+Calc!$J$2:$J$1001))&gt;0)*(((K310+N310)-(L310+Calc!$J$2:$J$1001))&lt;Calc!$F$2:$F$1001)*((K310+N310)-(L310+Calc!$J$2:$J$1001))+(((K310+N310)-(L310+Calc!$J$2:$J$1001))&gt;=Calc!$F$2:$F$1001)*Calc!$F$2:$F$1001))))</f>
        <v/>
      </c>
      <c r="S310">
        <f>IF(I310=0,0,(MIN(MAX((K310+O310),0),L310)*W310+SUMPRODUCT((Calc!$A$2:$A$1001=A310)*Calc!$G$2:$G$1001*((((K310+O310)-(L310+Calc!$J$2:$J$1001))&gt;0)*(((K310+O310)-(L310+Calc!$J$2:$J$1001))&lt;Calc!$F$2:$F$1001)*((K310+O310)-(L310+Calc!$J$2:$J$1001))+(((K310+O310)-(L310+Calc!$J$2:$J$1001))&gt;=Calc!$F$2:$F$1001)*Calc!$F$2:$F$1001))))</f>
        <v/>
      </c>
      <c r="T310">
        <f>IF(AND(E310=1,B310="RETURN"),Transactions!E310*Transactions!G310,0)</f>
        <v/>
      </c>
      <c r="U310">
        <f>IF(AND(E310=1,B310="EXPENSE"),Transactions!J310,0)</f>
        <v/>
      </c>
      <c r="V310">
        <f>IF(AND(Transactions!A310&lt;&gt;"",E310=0),ROW(),"")</f>
        <v/>
      </c>
      <c r="W310">
        <f>IFERROR(VLOOKUP(A310,Opening!$A:$D,4,0),0)</f>
        <v/>
      </c>
    </row>
    <row r="311">
      <c r="A311">
        <f>IF(Transactions!D311="","",UPPER(TRIM(Transactions!D311)))</f>
        <v/>
      </c>
      <c r="B311">
        <f>IF(Transactions!C311="","",UPPER(TRIM(Transactions!C311)))</f>
        <v/>
      </c>
      <c r="C311">
        <f>IF(Transactions!B311="",0,YEAR(Transactions!B311)*100+MONTH(Transactions!B311))</f>
        <v/>
      </c>
      <c r="D311">
        <f>IF(Transactions!A311="",1,IF(COUNTIF(Transactions!$A$1:A310,Transactions!A311)&gt;0,1,0))</f>
        <v/>
      </c>
      <c r="E311">
        <f>IF(D311=1,0,IF(B311="RETURN",IF(COUNTIFS($A$1:A310,A311,$B$1:B310,"SALE",$E$1:E310,1)&gt;0,1,0),1))</f>
        <v/>
      </c>
      <c r="F311">
        <f>IF(E311=1,IF(B311="RECEIPT",Transactions!E311,IF(AND(B311="RETURN",LOWER(TRIM(Transactions!H311))="resellable"),Transactions!E311,0)),0)</f>
        <v/>
      </c>
      <c r="G311">
        <f>IF(F311&gt;0,IF(B311="RECEIPT",Transactions!F311,IF(_xlfn.MAXIFS($H$2:H311,$A$2:A311,A311)&gt;0,INDEX(Transactions!$F:$F,_xlfn.MAXIFS($H$2:H311,$A$2:A311,A311)),W311)),0)</f>
        <v/>
      </c>
      <c r="H311">
        <f>IF(AND(E311=1,B311="RECEIPT"),ROW(),0)</f>
        <v/>
      </c>
      <c r="I311">
        <f>IF(E311=1,IF(OR(B311="SALE",B311="WRITEOFF"),Transactions!E311,0),0)</f>
        <v/>
      </c>
      <c r="J311">
        <f>SUMIFS($F$1:F310,$A$1:A310,A311)</f>
        <v/>
      </c>
      <c r="K311">
        <f>SUMIFS($I$1:I310,$A$1:A310,A311)</f>
        <v/>
      </c>
      <c r="L311">
        <f>IFERROR(VLOOKUP(A311,Opening!$A:$C,3,0),0)</f>
        <v/>
      </c>
      <c r="M311">
        <f>IF(I311=0,0,MAX(0,MIN(INDEX(Month!H$2:H$13,MATCH($A311,Month!$A$2:$A$13,0))-K311,I311)))</f>
        <v/>
      </c>
      <c r="N311">
        <f>IF(I311=0,0,MAX(0,MIN(INDEX(Month!I$2:I$13,MATCH($A311,Month!$A$2:$A$13,0))-K311,I311)))</f>
        <v/>
      </c>
      <c r="O311">
        <f>IF(I311=0,0,MAX(0,MIN(INDEX(Month!J$2:J$13,MATCH($A311,Month!$A$2:$A$13,0))-K311,I311)))</f>
        <v/>
      </c>
      <c r="P311">
        <f>IF(I311=0,0,(MIN(MAX(K311,0),L311)*W311+SUMPRODUCT((Calc!$A$2:$A$1001=A311)*Calc!$G$2:$G$1001*(((K311-(L311+Calc!$J$2:$J$1001))&gt;0)*((K311-(L311+Calc!$J$2:$J$1001))&lt;Calc!$F$2:$F$1001)*(K311-(L311+Calc!$J$2:$J$1001))+((K311-(L311+Calc!$J$2:$J$1001))&gt;=Calc!$F$2:$F$1001)*Calc!$F$2:$F$1001))))</f>
        <v/>
      </c>
      <c r="Q311">
        <f>IF(I311=0,0,(MIN(MAX((K311+M311),0),L311)*W311+SUMPRODUCT((Calc!$A$2:$A$1001=A311)*Calc!$G$2:$G$1001*((((K311+M311)-(L311+Calc!$J$2:$J$1001))&gt;0)*(((K311+M311)-(L311+Calc!$J$2:$J$1001))&lt;Calc!$F$2:$F$1001)*((K311+M311)-(L311+Calc!$J$2:$J$1001))+(((K311+M311)-(L311+Calc!$J$2:$J$1001))&gt;=Calc!$F$2:$F$1001)*Calc!$F$2:$F$1001))))</f>
        <v/>
      </c>
      <c r="R311">
        <f>IF(I311=0,0,(MIN(MAX((K311+N311),0),L311)*W311+SUMPRODUCT((Calc!$A$2:$A$1001=A311)*Calc!$G$2:$G$1001*((((K311+N311)-(L311+Calc!$J$2:$J$1001))&gt;0)*(((K311+N311)-(L311+Calc!$J$2:$J$1001))&lt;Calc!$F$2:$F$1001)*((K311+N311)-(L311+Calc!$J$2:$J$1001))+(((K311+N311)-(L311+Calc!$J$2:$J$1001))&gt;=Calc!$F$2:$F$1001)*Calc!$F$2:$F$1001))))</f>
        <v/>
      </c>
      <c r="S311">
        <f>IF(I311=0,0,(MIN(MAX((K311+O311),0),L311)*W311+SUMPRODUCT((Calc!$A$2:$A$1001=A311)*Calc!$G$2:$G$1001*((((K311+O311)-(L311+Calc!$J$2:$J$1001))&gt;0)*(((K311+O311)-(L311+Calc!$J$2:$J$1001))&lt;Calc!$F$2:$F$1001)*((K311+O311)-(L311+Calc!$J$2:$J$1001))+(((K311+O311)-(L311+Calc!$J$2:$J$1001))&gt;=Calc!$F$2:$F$1001)*Calc!$F$2:$F$1001))))</f>
        <v/>
      </c>
      <c r="T311">
        <f>IF(AND(E311=1,B311="RETURN"),Transactions!E311*Transactions!G311,0)</f>
        <v/>
      </c>
      <c r="U311">
        <f>IF(AND(E311=1,B311="EXPENSE"),Transactions!J311,0)</f>
        <v/>
      </c>
      <c r="V311">
        <f>IF(AND(Transactions!A311&lt;&gt;"",E311=0),ROW(),"")</f>
        <v/>
      </c>
      <c r="W311">
        <f>IFERROR(VLOOKUP(A311,Opening!$A:$D,4,0),0)</f>
        <v/>
      </c>
    </row>
    <row r="312">
      <c r="A312">
        <f>IF(Transactions!D312="","",UPPER(TRIM(Transactions!D312)))</f>
        <v/>
      </c>
      <c r="B312">
        <f>IF(Transactions!C312="","",UPPER(TRIM(Transactions!C312)))</f>
        <v/>
      </c>
      <c r="C312">
        <f>IF(Transactions!B312="",0,YEAR(Transactions!B312)*100+MONTH(Transactions!B312))</f>
        <v/>
      </c>
      <c r="D312">
        <f>IF(Transactions!A312="",1,IF(COUNTIF(Transactions!$A$1:A311,Transactions!A312)&gt;0,1,0))</f>
        <v/>
      </c>
      <c r="E312">
        <f>IF(D312=1,0,IF(B312="RETURN",IF(COUNTIFS($A$1:A311,A312,$B$1:B311,"SALE",$E$1:E311,1)&gt;0,1,0),1))</f>
        <v/>
      </c>
      <c r="F312">
        <f>IF(E312=1,IF(B312="RECEIPT",Transactions!E312,IF(AND(B312="RETURN",LOWER(TRIM(Transactions!H312))="resellable"),Transactions!E312,0)),0)</f>
        <v/>
      </c>
      <c r="G312">
        <f>IF(F312&gt;0,IF(B312="RECEIPT",Transactions!F312,IF(_xlfn.MAXIFS($H$2:H312,$A$2:A312,A312)&gt;0,INDEX(Transactions!$F:$F,_xlfn.MAXIFS($H$2:H312,$A$2:A312,A312)),W312)),0)</f>
        <v/>
      </c>
      <c r="H312">
        <f>IF(AND(E312=1,B312="RECEIPT"),ROW(),0)</f>
        <v/>
      </c>
      <c r="I312">
        <f>IF(E312=1,IF(OR(B312="SALE",B312="WRITEOFF"),Transactions!E312,0),0)</f>
        <v/>
      </c>
      <c r="J312">
        <f>SUMIFS($F$1:F311,$A$1:A311,A312)</f>
        <v/>
      </c>
      <c r="K312">
        <f>SUMIFS($I$1:I311,$A$1:A311,A312)</f>
        <v/>
      </c>
      <c r="L312">
        <f>IFERROR(VLOOKUP(A312,Opening!$A:$C,3,0),0)</f>
        <v/>
      </c>
      <c r="M312">
        <f>IF(I312=0,0,MAX(0,MIN(INDEX(Month!H$2:H$13,MATCH($A312,Month!$A$2:$A$13,0))-K312,I312)))</f>
        <v/>
      </c>
      <c r="N312">
        <f>IF(I312=0,0,MAX(0,MIN(INDEX(Month!I$2:I$13,MATCH($A312,Month!$A$2:$A$13,0))-K312,I312)))</f>
        <v/>
      </c>
      <c r="O312">
        <f>IF(I312=0,0,MAX(0,MIN(INDEX(Month!J$2:J$13,MATCH($A312,Month!$A$2:$A$13,0))-K312,I312)))</f>
        <v/>
      </c>
      <c r="P312">
        <f>IF(I312=0,0,(MIN(MAX(K312,0),L312)*W312+SUMPRODUCT((Calc!$A$2:$A$1001=A312)*Calc!$G$2:$G$1001*(((K312-(L312+Calc!$J$2:$J$1001))&gt;0)*((K312-(L312+Calc!$J$2:$J$1001))&lt;Calc!$F$2:$F$1001)*(K312-(L312+Calc!$J$2:$J$1001))+((K312-(L312+Calc!$J$2:$J$1001))&gt;=Calc!$F$2:$F$1001)*Calc!$F$2:$F$1001))))</f>
        <v/>
      </c>
      <c r="Q312">
        <f>IF(I312=0,0,(MIN(MAX((K312+M312),0),L312)*W312+SUMPRODUCT((Calc!$A$2:$A$1001=A312)*Calc!$G$2:$G$1001*((((K312+M312)-(L312+Calc!$J$2:$J$1001))&gt;0)*(((K312+M312)-(L312+Calc!$J$2:$J$1001))&lt;Calc!$F$2:$F$1001)*((K312+M312)-(L312+Calc!$J$2:$J$1001))+(((K312+M312)-(L312+Calc!$J$2:$J$1001))&gt;=Calc!$F$2:$F$1001)*Calc!$F$2:$F$1001))))</f>
        <v/>
      </c>
      <c r="R312">
        <f>IF(I312=0,0,(MIN(MAX((K312+N312),0),L312)*W312+SUMPRODUCT((Calc!$A$2:$A$1001=A312)*Calc!$G$2:$G$1001*((((K312+N312)-(L312+Calc!$J$2:$J$1001))&gt;0)*(((K312+N312)-(L312+Calc!$J$2:$J$1001))&lt;Calc!$F$2:$F$1001)*((K312+N312)-(L312+Calc!$J$2:$J$1001))+(((K312+N312)-(L312+Calc!$J$2:$J$1001))&gt;=Calc!$F$2:$F$1001)*Calc!$F$2:$F$1001))))</f>
        <v/>
      </c>
      <c r="S312">
        <f>IF(I312=0,0,(MIN(MAX((K312+O312),0),L312)*W312+SUMPRODUCT((Calc!$A$2:$A$1001=A312)*Calc!$G$2:$G$1001*((((K312+O312)-(L312+Calc!$J$2:$J$1001))&gt;0)*(((K312+O312)-(L312+Calc!$J$2:$J$1001))&lt;Calc!$F$2:$F$1001)*((K312+O312)-(L312+Calc!$J$2:$J$1001))+(((K312+O312)-(L312+Calc!$J$2:$J$1001))&gt;=Calc!$F$2:$F$1001)*Calc!$F$2:$F$1001))))</f>
        <v/>
      </c>
      <c r="T312">
        <f>IF(AND(E312=1,B312="RETURN"),Transactions!E312*Transactions!G312,0)</f>
        <v/>
      </c>
      <c r="U312">
        <f>IF(AND(E312=1,B312="EXPENSE"),Transactions!J312,0)</f>
        <v/>
      </c>
      <c r="V312">
        <f>IF(AND(Transactions!A312&lt;&gt;"",E312=0),ROW(),"")</f>
        <v/>
      </c>
      <c r="W312">
        <f>IFERROR(VLOOKUP(A312,Opening!$A:$D,4,0),0)</f>
        <v/>
      </c>
    </row>
    <row r="313">
      <c r="A313">
        <f>IF(Transactions!D313="","",UPPER(TRIM(Transactions!D313)))</f>
        <v/>
      </c>
      <c r="B313">
        <f>IF(Transactions!C313="","",UPPER(TRIM(Transactions!C313)))</f>
        <v/>
      </c>
      <c r="C313">
        <f>IF(Transactions!B313="",0,YEAR(Transactions!B313)*100+MONTH(Transactions!B313))</f>
        <v/>
      </c>
      <c r="D313">
        <f>IF(Transactions!A313="",1,IF(COUNTIF(Transactions!$A$1:A312,Transactions!A313)&gt;0,1,0))</f>
        <v/>
      </c>
      <c r="E313">
        <f>IF(D313=1,0,IF(B313="RETURN",IF(COUNTIFS($A$1:A312,A313,$B$1:B312,"SALE",$E$1:E312,1)&gt;0,1,0),1))</f>
        <v/>
      </c>
      <c r="F313">
        <f>IF(E313=1,IF(B313="RECEIPT",Transactions!E313,IF(AND(B313="RETURN",LOWER(TRIM(Transactions!H313))="resellable"),Transactions!E313,0)),0)</f>
        <v/>
      </c>
      <c r="G313">
        <f>IF(F313&gt;0,IF(B313="RECEIPT",Transactions!F313,IF(_xlfn.MAXIFS($H$2:H313,$A$2:A313,A313)&gt;0,INDEX(Transactions!$F:$F,_xlfn.MAXIFS($H$2:H313,$A$2:A313,A313)),W313)),0)</f>
        <v/>
      </c>
      <c r="H313">
        <f>IF(AND(E313=1,B313="RECEIPT"),ROW(),0)</f>
        <v/>
      </c>
      <c r="I313">
        <f>IF(E313=1,IF(OR(B313="SALE",B313="WRITEOFF"),Transactions!E313,0),0)</f>
        <v/>
      </c>
      <c r="J313">
        <f>SUMIFS($F$1:F312,$A$1:A312,A313)</f>
        <v/>
      </c>
      <c r="K313">
        <f>SUMIFS($I$1:I312,$A$1:A312,A313)</f>
        <v/>
      </c>
      <c r="L313">
        <f>IFERROR(VLOOKUP(A313,Opening!$A:$C,3,0),0)</f>
        <v/>
      </c>
      <c r="M313">
        <f>IF(I313=0,0,MAX(0,MIN(INDEX(Month!H$2:H$13,MATCH($A313,Month!$A$2:$A$13,0))-K313,I313)))</f>
        <v/>
      </c>
      <c r="N313">
        <f>IF(I313=0,0,MAX(0,MIN(INDEX(Month!I$2:I$13,MATCH($A313,Month!$A$2:$A$13,0))-K313,I313)))</f>
        <v/>
      </c>
      <c r="O313">
        <f>IF(I313=0,0,MAX(0,MIN(INDEX(Month!J$2:J$13,MATCH($A313,Month!$A$2:$A$13,0))-K313,I313)))</f>
        <v/>
      </c>
      <c r="P313">
        <f>IF(I313=0,0,(MIN(MAX(K313,0),L313)*W313+SUMPRODUCT((Calc!$A$2:$A$1001=A313)*Calc!$G$2:$G$1001*(((K313-(L313+Calc!$J$2:$J$1001))&gt;0)*((K313-(L313+Calc!$J$2:$J$1001))&lt;Calc!$F$2:$F$1001)*(K313-(L313+Calc!$J$2:$J$1001))+((K313-(L313+Calc!$J$2:$J$1001))&gt;=Calc!$F$2:$F$1001)*Calc!$F$2:$F$1001))))</f>
        <v/>
      </c>
      <c r="Q313">
        <f>IF(I313=0,0,(MIN(MAX((K313+M313),0),L313)*W313+SUMPRODUCT((Calc!$A$2:$A$1001=A313)*Calc!$G$2:$G$1001*((((K313+M313)-(L313+Calc!$J$2:$J$1001))&gt;0)*(((K313+M313)-(L313+Calc!$J$2:$J$1001))&lt;Calc!$F$2:$F$1001)*((K313+M313)-(L313+Calc!$J$2:$J$1001))+(((K313+M313)-(L313+Calc!$J$2:$J$1001))&gt;=Calc!$F$2:$F$1001)*Calc!$F$2:$F$1001))))</f>
        <v/>
      </c>
      <c r="R313">
        <f>IF(I313=0,0,(MIN(MAX((K313+N313),0),L313)*W313+SUMPRODUCT((Calc!$A$2:$A$1001=A313)*Calc!$G$2:$G$1001*((((K313+N313)-(L313+Calc!$J$2:$J$1001))&gt;0)*(((K313+N313)-(L313+Calc!$J$2:$J$1001))&lt;Calc!$F$2:$F$1001)*((K313+N313)-(L313+Calc!$J$2:$J$1001))+(((K313+N313)-(L313+Calc!$J$2:$J$1001))&gt;=Calc!$F$2:$F$1001)*Calc!$F$2:$F$1001))))</f>
        <v/>
      </c>
      <c r="S313">
        <f>IF(I313=0,0,(MIN(MAX((K313+O313),0),L313)*W313+SUMPRODUCT((Calc!$A$2:$A$1001=A313)*Calc!$G$2:$G$1001*((((K313+O313)-(L313+Calc!$J$2:$J$1001))&gt;0)*(((K313+O313)-(L313+Calc!$J$2:$J$1001))&lt;Calc!$F$2:$F$1001)*((K313+O313)-(L313+Calc!$J$2:$J$1001))+(((K313+O313)-(L313+Calc!$J$2:$J$1001))&gt;=Calc!$F$2:$F$1001)*Calc!$F$2:$F$1001))))</f>
        <v/>
      </c>
      <c r="T313">
        <f>IF(AND(E313=1,B313="RETURN"),Transactions!E313*Transactions!G313,0)</f>
        <v/>
      </c>
      <c r="U313">
        <f>IF(AND(E313=1,B313="EXPENSE"),Transactions!J313,0)</f>
        <v/>
      </c>
      <c r="V313">
        <f>IF(AND(Transactions!A313&lt;&gt;"",E313=0),ROW(),"")</f>
        <v/>
      </c>
      <c r="W313">
        <f>IFERROR(VLOOKUP(A313,Opening!$A:$D,4,0),0)</f>
        <v/>
      </c>
    </row>
    <row r="314">
      <c r="A314">
        <f>IF(Transactions!D314="","",UPPER(TRIM(Transactions!D314)))</f>
        <v/>
      </c>
      <c r="B314">
        <f>IF(Transactions!C314="","",UPPER(TRIM(Transactions!C314)))</f>
        <v/>
      </c>
      <c r="C314">
        <f>IF(Transactions!B314="",0,YEAR(Transactions!B314)*100+MONTH(Transactions!B314))</f>
        <v/>
      </c>
      <c r="D314">
        <f>IF(Transactions!A314="",1,IF(COUNTIF(Transactions!$A$1:A313,Transactions!A314)&gt;0,1,0))</f>
        <v/>
      </c>
      <c r="E314">
        <f>IF(D314=1,0,IF(B314="RETURN",IF(COUNTIFS($A$1:A313,A314,$B$1:B313,"SALE",$E$1:E313,1)&gt;0,1,0),1))</f>
        <v/>
      </c>
      <c r="F314">
        <f>IF(E314=1,IF(B314="RECEIPT",Transactions!E314,IF(AND(B314="RETURN",LOWER(TRIM(Transactions!H314))="resellable"),Transactions!E314,0)),0)</f>
        <v/>
      </c>
      <c r="G314">
        <f>IF(F314&gt;0,IF(B314="RECEIPT",Transactions!F314,IF(_xlfn.MAXIFS($H$2:H314,$A$2:A314,A314)&gt;0,INDEX(Transactions!$F:$F,_xlfn.MAXIFS($H$2:H314,$A$2:A314,A314)),W314)),0)</f>
        <v/>
      </c>
      <c r="H314">
        <f>IF(AND(E314=1,B314="RECEIPT"),ROW(),0)</f>
        <v/>
      </c>
      <c r="I314">
        <f>IF(E314=1,IF(OR(B314="SALE",B314="WRITEOFF"),Transactions!E314,0),0)</f>
        <v/>
      </c>
      <c r="J314">
        <f>SUMIFS($F$1:F313,$A$1:A313,A314)</f>
        <v/>
      </c>
      <c r="K314">
        <f>SUMIFS($I$1:I313,$A$1:A313,A314)</f>
        <v/>
      </c>
      <c r="L314">
        <f>IFERROR(VLOOKUP(A314,Opening!$A:$C,3,0),0)</f>
        <v/>
      </c>
      <c r="M314">
        <f>IF(I314=0,0,MAX(0,MIN(INDEX(Month!H$2:H$13,MATCH($A314,Month!$A$2:$A$13,0))-K314,I314)))</f>
        <v/>
      </c>
      <c r="N314">
        <f>IF(I314=0,0,MAX(0,MIN(INDEX(Month!I$2:I$13,MATCH($A314,Month!$A$2:$A$13,0))-K314,I314)))</f>
        <v/>
      </c>
      <c r="O314">
        <f>IF(I314=0,0,MAX(0,MIN(INDEX(Month!J$2:J$13,MATCH($A314,Month!$A$2:$A$13,0))-K314,I314)))</f>
        <v/>
      </c>
      <c r="P314">
        <f>IF(I314=0,0,(MIN(MAX(K314,0),L314)*W314+SUMPRODUCT((Calc!$A$2:$A$1001=A314)*Calc!$G$2:$G$1001*(((K314-(L314+Calc!$J$2:$J$1001))&gt;0)*((K314-(L314+Calc!$J$2:$J$1001))&lt;Calc!$F$2:$F$1001)*(K314-(L314+Calc!$J$2:$J$1001))+((K314-(L314+Calc!$J$2:$J$1001))&gt;=Calc!$F$2:$F$1001)*Calc!$F$2:$F$1001))))</f>
        <v/>
      </c>
      <c r="Q314">
        <f>IF(I314=0,0,(MIN(MAX((K314+M314),0),L314)*W314+SUMPRODUCT((Calc!$A$2:$A$1001=A314)*Calc!$G$2:$G$1001*((((K314+M314)-(L314+Calc!$J$2:$J$1001))&gt;0)*(((K314+M314)-(L314+Calc!$J$2:$J$1001))&lt;Calc!$F$2:$F$1001)*((K314+M314)-(L314+Calc!$J$2:$J$1001))+(((K314+M314)-(L314+Calc!$J$2:$J$1001))&gt;=Calc!$F$2:$F$1001)*Calc!$F$2:$F$1001))))</f>
        <v/>
      </c>
      <c r="R314">
        <f>IF(I314=0,0,(MIN(MAX((K314+N314),0),L314)*W314+SUMPRODUCT((Calc!$A$2:$A$1001=A314)*Calc!$G$2:$G$1001*((((K314+N314)-(L314+Calc!$J$2:$J$1001))&gt;0)*(((K314+N314)-(L314+Calc!$J$2:$J$1001))&lt;Calc!$F$2:$F$1001)*((K314+N314)-(L314+Calc!$J$2:$J$1001))+(((K314+N314)-(L314+Calc!$J$2:$J$1001))&gt;=Calc!$F$2:$F$1001)*Calc!$F$2:$F$1001))))</f>
        <v/>
      </c>
      <c r="S314">
        <f>IF(I314=0,0,(MIN(MAX((K314+O314),0),L314)*W314+SUMPRODUCT((Calc!$A$2:$A$1001=A314)*Calc!$G$2:$G$1001*((((K314+O314)-(L314+Calc!$J$2:$J$1001))&gt;0)*(((K314+O314)-(L314+Calc!$J$2:$J$1001))&lt;Calc!$F$2:$F$1001)*((K314+O314)-(L314+Calc!$J$2:$J$1001))+(((K314+O314)-(L314+Calc!$J$2:$J$1001))&gt;=Calc!$F$2:$F$1001)*Calc!$F$2:$F$1001))))</f>
        <v/>
      </c>
      <c r="T314">
        <f>IF(AND(E314=1,B314="RETURN"),Transactions!E314*Transactions!G314,0)</f>
        <v/>
      </c>
      <c r="U314">
        <f>IF(AND(E314=1,B314="EXPENSE"),Transactions!J314,0)</f>
        <v/>
      </c>
      <c r="V314">
        <f>IF(AND(Transactions!A314&lt;&gt;"",E314=0),ROW(),"")</f>
        <v/>
      </c>
      <c r="W314">
        <f>IFERROR(VLOOKUP(A314,Opening!$A:$D,4,0),0)</f>
        <v/>
      </c>
    </row>
    <row r="315">
      <c r="A315">
        <f>IF(Transactions!D315="","",UPPER(TRIM(Transactions!D315)))</f>
        <v/>
      </c>
      <c r="B315">
        <f>IF(Transactions!C315="","",UPPER(TRIM(Transactions!C315)))</f>
        <v/>
      </c>
      <c r="C315">
        <f>IF(Transactions!B315="",0,YEAR(Transactions!B315)*100+MONTH(Transactions!B315))</f>
        <v/>
      </c>
      <c r="D315">
        <f>IF(Transactions!A315="",1,IF(COUNTIF(Transactions!$A$1:A314,Transactions!A315)&gt;0,1,0))</f>
        <v/>
      </c>
      <c r="E315">
        <f>IF(D315=1,0,IF(B315="RETURN",IF(COUNTIFS($A$1:A314,A315,$B$1:B314,"SALE",$E$1:E314,1)&gt;0,1,0),1))</f>
        <v/>
      </c>
      <c r="F315">
        <f>IF(E315=1,IF(B315="RECEIPT",Transactions!E315,IF(AND(B315="RETURN",LOWER(TRIM(Transactions!H315))="resellable"),Transactions!E315,0)),0)</f>
        <v/>
      </c>
      <c r="G315">
        <f>IF(F315&gt;0,IF(B315="RECEIPT",Transactions!F315,IF(_xlfn.MAXIFS($H$2:H315,$A$2:A315,A315)&gt;0,INDEX(Transactions!$F:$F,_xlfn.MAXIFS($H$2:H315,$A$2:A315,A315)),W315)),0)</f>
        <v/>
      </c>
      <c r="H315">
        <f>IF(AND(E315=1,B315="RECEIPT"),ROW(),0)</f>
        <v/>
      </c>
      <c r="I315">
        <f>IF(E315=1,IF(OR(B315="SALE",B315="WRITEOFF"),Transactions!E315,0),0)</f>
        <v/>
      </c>
      <c r="J315">
        <f>SUMIFS($F$1:F314,$A$1:A314,A315)</f>
        <v/>
      </c>
      <c r="K315">
        <f>SUMIFS($I$1:I314,$A$1:A314,A315)</f>
        <v/>
      </c>
      <c r="L315">
        <f>IFERROR(VLOOKUP(A315,Opening!$A:$C,3,0),0)</f>
        <v/>
      </c>
      <c r="M315">
        <f>IF(I315=0,0,MAX(0,MIN(INDEX(Month!H$2:H$13,MATCH($A315,Month!$A$2:$A$13,0))-K315,I315)))</f>
        <v/>
      </c>
      <c r="N315">
        <f>IF(I315=0,0,MAX(0,MIN(INDEX(Month!I$2:I$13,MATCH($A315,Month!$A$2:$A$13,0))-K315,I315)))</f>
        <v/>
      </c>
      <c r="O315">
        <f>IF(I315=0,0,MAX(0,MIN(INDEX(Month!J$2:J$13,MATCH($A315,Month!$A$2:$A$13,0))-K315,I315)))</f>
        <v/>
      </c>
      <c r="P315">
        <f>IF(I315=0,0,(MIN(MAX(K315,0),L315)*W315+SUMPRODUCT((Calc!$A$2:$A$1001=A315)*Calc!$G$2:$G$1001*(((K315-(L315+Calc!$J$2:$J$1001))&gt;0)*((K315-(L315+Calc!$J$2:$J$1001))&lt;Calc!$F$2:$F$1001)*(K315-(L315+Calc!$J$2:$J$1001))+((K315-(L315+Calc!$J$2:$J$1001))&gt;=Calc!$F$2:$F$1001)*Calc!$F$2:$F$1001))))</f>
        <v/>
      </c>
      <c r="Q315">
        <f>IF(I315=0,0,(MIN(MAX((K315+M315),0),L315)*W315+SUMPRODUCT((Calc!$A$2:$A$1001=A315)*Calc!$G$2:$G$1001*((((K315+M315)-(L315+Calc!$J$2:$J$1001))&gt;0)*(((K315+M315)-(L315+Calc!$J$2:$J$1001))&lt;Calc!$F$2:$F$1001)*((K315+M315)-(L315+Calc!$J$2:$J$1001))+(((K315+M315)-(L315+Calc!$J$2:$J$1001))&gt;=Calc!$F$2:$F$1001)*Calc!$F$2:$F$1001))))</f>
        <v/>
      </c>
      <c r="R315">
        <f>IF(I315=0,0,(MIN(MAX((K315+N315),0),L315)*W315+SUMPRODUCT((Calc!$A$2:$A$1001=A315)*Calc!$G$2:$G$1001*((((K315+N315)-(L315+Calc!$J$2:$J$1001))&gt;0)*(((K315+N315)-(L315+Calc!$J$2:$J$1001))&lt;Calc!$F$2:$F$1001)*((K315+N315)-(L315+Calc!$J$2:$J$1001))+(((K315+N315)-(L315+Calc!$J$2:$J$1001))&gt;=Calc!$F$2:$F$1001)*Calc!$F$2:$F$1001))))</f>
        <v/>
      </c>
      <c r="S315">
        <f>IF(I315=0,0,(MIN(MAX((K315+O315),0),L315)*W315+SUMPRODUCT((Calc!$A$2:$A$1001=A315)*Calc!$G$2:$G$1001*((((K315+O315)-(L315+Calc!$J$2:$J$1001))&gt;0)*(((K315+O315)-(L315+Calc!$J$2:$J$1001))&lt;Calc!$F$2:$F$1001)*((K315+O315)-(L315+Calc!$J$2:$J$1001))+(((K315+O315)-(L315+Calc!$J$2:$J$1001))&gt;=Calc!$F$2:$F$1001)*Calc!$F$2:$F$1001))))</f>
        <v/>
      </c>
      <c r="T315">
        <f>IF(AND(E315=1,B315="RETURN"),Transactions!E315*Transactions!G315,0)</f>
        <v/>
      </c>
      <c r="U315">
        <f>IF(AND(E315=1,B315="EXPENSE"),Transactions!J315,0)</f>
        <v/>
      </c>
      <c r="V315">
        <f>IF(AND(Transactions!A315&lt;&gt;"",E315=0),ROW(),"")</f>
        <v/>
      </c>
      <c r="W315">
        <f>IFERROR(VLOOKUP(A315,Opening!$A:$D,4,0),0)</f>
        <v/>
      </c>
    </row>
    <row r="316">
      <c r="A316">
        <f>IF(Transactions!D316="","",UPPER(TRIM(Transactions!D316)))</f>
        <v/>
      </c>
      <c r="B316">
        <f>IF(Transactions!C316="","",UPPER(TRIM(Transactions!C316)))</f>
        <v/>
      </c>
      <c r="C316">
        <f>IF(Transactions!B316="",0,YEAR(Transactions!B316)*100+MONTH(Transactions!B316))</f>
        <v/>
      </c>
      <c r="D316">
        <f>IF(Transactions!A316="",1,IF(COUNTIF(Transactions!$A$1:A315,Transactions!A316)&gt;0,1,0))</f>
        <v/>
      </c>
      <c r="E316">
        <f>IF(D316=1,0,IF(B316="RETURN",IF(COUNTIFS($A$1:A315,A316,$B$1:B315,"SALE",$E$1:E315,1)&gt;0,1,0),1))</f>
        <v/>
      </c>
      <c r="F316">
        <f>IF(E316=1,IF(B316="RECEIPT",Transactions!E316,IF(AND(B316="RETURN",LOWER(TRIM(Transactions!H316))="resellable"),Transactions!E316,0)),0)</f>
        <v/>
      </c>
      <c r="G316">
        <f>IF(F316&gt;0,IF(B316="RECEIPT",Transactions!F316,IF(_xlfn.MAXIFS($H$2:H316,$A$2:A316,A316)&gt;0,INDEX(Transactions!$F:$F,_xlfn.MAXIFS($H$2:H316,$A$2:A316,A316)),W316)),0)</f>
        <v/>
      </c>
      <c r="H316">
        <f>IF(AND(E316=1,B316="RECEIPT"),ROW(),0)</f>
        <v/>
      </c>
      <c r="I316">
        <f>IF(E316=1,IF(OR(B316="SALE",B316="WRITEOFF"),Transactions!E316,0),0)</f>
        <v/>
      </c>
      <c r="J316">
        <f>SUMIFS($F$1:F315,$A$1:A315,A316)</f>
        <v/>
      </c>
      <c r="K316">
        <f>SUMIFS($I$1:I315,$A$1:A315,A316)</f>
        <v/>
      </c>
      <c r="L316">
        <f>IFERROR(VLOOKUP(A316,Opening!$A:$C,3,0),0)</f>
        <v/>
      </c>
      <c r="M316">
        <f>IF(I316=0,0,MAX(0,MIN(INDEX(Month!H$2:H$13,MATCH($A316,Month!$A$2:$A$13,0))-K316,I316)))</f>
        <v/>
      </c>
      <c r="N316">
        <f>IF(I316=0,0,MAX(0,MIN(INDEX(Month!I$2:I$13,MATCH($A316,Month!$A$2:$A$13,0))-K316,I316)))</f>
        <v/>
      </c>
      <c r="O316">
        <f>IF(I316=0,0,MAX(0,MIN(INDEX(Month!J$2:J$13,MATCH($A316,Month!$A$2:$A$13,0))-K316,I316)))</f>
        <v/>
      </c>
      <c r="P316">
        <f>IF(I316=0,0,(MIN(MAX(K316,0),L316)*W316+SUMPRODUCT((Calc!$A$2:$A$1001=A316)*Calc!$G$2:$G$1001*(((K316-(L316+Calc!$J$2:$J$1001))&gt;0)*((K316-(L316+Calc!$J$2:$J$1001))&lt;Calc!$F$2:$F$1001)*(K316-(L316+Calc!$J$2:$J$1001))+((K316-(L316+Calc!$J$2:$J$1001))&gt;=Calc!$F$2:$F$1001)*Calc!$F$2:$F$1001))))</f>
        <v/>
      </c>
      <c r="Q316">
        <f>IF(I316=0,0,(MIN(MAX((K316+M316),0),L316)*W316+SUMPRODUCT((Calc!$A$2:$A$1001=A316)*Calc!$G$2:$G$1001*((((K316+M316)-(L316+Calc!$J$2:$J$1001))&gt;0)*(((K316+M316)-(L316+Calc!$J$2:$J$1001))&lt;Calc!$F$2:$F$1001)*((K316+M316)-(L316+Calc!$J$2:$J$1001))+(((K316+M316)-(L316+Calc!$J$2:$J$1001))&gt;=Calc!$F$2:$F$1001)*Calc!$F$2:$F$1001))))</f>
        <v/>
      </c>
      <c r="R316">
        <f>IF(I316=0,0,(MIN(MAX((K316+N316),0),L316)*W316+SUMPRODUCT((Calc!$A$2:$A$1001=A316)*Calc!$G$2:$G$1001*((((K316+N316)-(L316+Calc!$J$2:$J$1001))&gt;0)*(((K316+N316)-(L316+Calc!$J$2:$J$1001))&lt;Calc!$F$2:$F$1001)*((K316+N316)-(L316+Calc!$J$2:$J$1001))+(((K316+N316)-(L316+Calc!$J$2:$J$1001))&gt;=Calc!$F$2:$F$1001)*Calc!$F$2:$F$1001))))</f>
        <v/>
      </c>
      <c r="S316">
        <f>IF(I316=0,0,(MIN(MAX((K316+O316),0),L316)*W316+SUMPRODUCT((Calc!$A$2:$A$1001=A316)*Calc!$G$2:$G$1001*((((K316+O316)-(L316+Calc!$J$2:$J$1001))&gt;0)*(((K316+O316)-(L316+Calc!$J$2:$J$1001))&lt;Calc!$F$2:$F$1001)*((K316+O316)-(L316+Calc!$J$2:$J$1001))+(((K316+O316)-(L316+Calc!$J$2:$J$1001))&gt;=Calc!$F$2:$F$1001)*Calc!$F$2:$F$1001))))</f>
        <v/>
      </c>
      <c r="T316">
        <f>IF(AND(E316=1,B316="RETURN"),Transactions!E316*Transactions!G316,0)</f>
        <v/>
      </c>
      <c r="U316">
        <f>IF(AND(E316=1,B316="EXPENSE"),Transactions!J316,0)</f>
        <v/>
      </c>
      <c r="V316">
        <f>IF(AND(Transactions!A316&lt;&gt;"",E316=0),ROW(),"")</f>
        <v/>
      </c>
      <c r="W316">
        <f>IFERROR(VLOOKUP(A316,Opening!$A:$D,4,0),0)</f>
        <v/>
      </c>
    </row>
    <row r="317">
      <c r="A317">
        <f>IF(Transactions!D317="","",UPPER(TRIM(Transactions!D317)))</f>
        <v/>
      </c>
      <c r="B317">
        <f>IF(Transactions!C317="","",UPPER(TRIM(Transactions!C317)))</f>
        <v/>
      </c>
      <c r="C317">
        <f>IF(Transactions!B317="",0,YEAR(Transactions!B317)*100+MONTH(Transactions!B317))</f>
        <v/>
      </c>
      <c r="D317">
        <f>IF(Transactions!A317="",1,IF(COUNTIF(Transactions!$A$1:A316,Transactions!A317)&gt;0,1,0))</f>
        <v/>
      </c>
      <c r="E317">
        <f>IF(D317=1,0,IF(B317="RETURN",IF(COUNTIFS($A$1:A316,A317,$B$1:B316,"SALE",$E$1:E316,1)&gt;0,1,0),1))</f>
        <v/>
      </c>
      <c r="F317">
        <f>IF(E317=1,IF(B317="RECEIPT",Transactions!E317,IF(AND(B317="RETURN",LOWER(TRIM(Transactions!H317))="resellable"),Transactions!E317,0)),0)</f>
        <v/>
      </c>
      <c r="G317">
        <f>IF(F317&gt;0,IF(B317="RECEIPT",Transactions!F317,IF(_xlfn.MAXIFS($H$2:H317,$A$2:A317,A317)&gt;0,INDEX(Transactions!$F:$F,_xlfn.MAXIFS($H$2:H317,$A$2:A317,A317)),W317)),0)</f>
        <v/>
      </c>
      <c r="H317">
        <f>IF(AND(E317=1,B317="RECEIPT"),ROW(),0)</f>
        <v/>
      </c>
      <c r="I317">
        <f>IF(E317=1,IF(OR(B317="SALE",B317="WRITEOFF"),Transactions!E317,0),0)</f>
        <v/>
      </c>
      <c r="J317">
        <f>SUMIFS($F$1:F316,$A$1:A316,A317)</f>
        <v/>
      </c>
      <c r="K317">
        <f>SUMIFS($I$1:I316,$A$1:A316,A317)</f>
        <v/>
      </c>
      <c r="L317">
        <f>IFERROR(VLOOKUP(A317,Opening!$A:$C,3,0),0)</f>
        <v/>
      </c>
      <c r="M317">
        <f>IF(I317=0,0,MAX(0,MIN(INDEX(Month!H$2:H$13,MATCH($A317,Month!$A$2:$A$13,0))-K317,I317)))</f>
        <v/>
      </c>
      <c r="N317">
        <f>IF(I317=0,0,MAX(0,MIN(INDEX(Month!I$2:I$13,MATCH($A317,Month!$A$2:$A$13,0))-K317,I317)))</f>
        <v/>
      </c>
      <c r="O317">
        <f>IF(I317=0,0,MAX(0,MIN(INDEX(Month!J$2:J$13,MATCH($A317,Month!$A$2:$A$13,0))-K317,I317)))</f>
        <v/>
      </c>
      <c r="P317">
        <f>IF(I317=0,0,(MIN(MAX(K317,0),L317)*W317+SUMPRODUCT((Calc!$A$2:$A$1001=A317)*Calc!$G$2:$G$1001*(((K317-(L317+Calc!$J$2:$J$1001))&gt;0)*((K317-(L317+Calc!$J$2:$J$1001))&lt;Calc!$F$2:$F$1001)*(K317-(L317+Calc!$J$2:$J$1001))+((K317-(L317+Calc!$J$2:$J$1001))&gt;=Calc!$F$2:$F$1001)*Calc!$F$2:$F$1001))))</f>
        <v/>
      </c>
      <c r="Q317">
        <f>IF(I317=0,0,(MIN(MAX((K317+M317),0),L317)*W317+SUMPRODUCT((Calc!$A$2:$A$1001=A317)*Calc!$G$2:$G$1001*((((K317+M317)-(L317+Calc!$J$2:$J$1001))&gt;0)*(((K317+M317)-(L317+Calc!$J$2:$J$1001))&lt;Calc!$F$2:$F$1001)*((K317+M317)-(L317+Calc!$J$2:$J$1001))+(((K317+M317)-(L317+Calc!$J$2:$J$1001))&gt;=Calc!$F$2:$F$1001)*Calc!$F$2:$F$1001))))</f>
        <v/>
      </c>
      <c r="R317">
        <f>IF(I317=0,0,(MIN(MAX((K317+N317),0),L317)*W317+SUMPRODUCT((Calc!$A$2:$A$1001=A317)*Calc!$G$2:$G$1001*((((K317+N317)-(L317+Calc!$J$2:$J$1001))&gt;0)*(((K317+N317)-(L317+Calc!$J$2:$J$1001))&lt;Calc!$F$2:$F$1001)*((K317+N317)-(L317+Calc!$J$2:$J$1001))+(((K317+N317)-(L317+Calc!$J$2:$J$1001))&gt;=Calc!$F$2:$F$1001)*Calc!$F$2:$F$1001))))</f>
        <v/>
      </c>
      <c r="S317">
        <f>IF(I317=0,0,(MIN(MAX((K317+O317),0),L317)*W317+SUMPRODUCT((Calc!$A$2:$A$1001=A317)*Calc!$G$2:$G$1001*((((K317+O317)-(L317+Calc!$J$2:$J$1001))&gt;0)*(((K317+O317)-(L317+Calc!$J$2:$J$1001))&lt;Calc!$F$2:$F$1001)*((K317+O317)-(L317+Calc!$J$2:$J$1001))+(((K317+O317)-(L317+Calc!$J$2:$J$1001))&gt;=Calc!$F$2:$F$1001)*Calc!$F$2:$F$1001))))</f>
        <v/>
      </c>
      <c r="T317">
        <f>IF(AND(E317=1,B317="RETURN"),Transactions!E317*Transactions!G317,0)</f>
        <v/>
      </c>
      <c r="U317">
        <f>IF(AND(E317=1,B317="EXPENSE"),Transactions!J317,0)</f>
        <v/>
      </c>
      <c r="V317">
        <f>IF(AND(Transactions!A317&lt;&gt;"",E317=0),ROW(),"")</f>
        <v/>
      </c>
      <c r="W317">
        <f>IFERROR(VLOOKUP(A317,Opening!$A:$D,4,0),0)</f>
        <v/>
      </c>
    </row>
    <row r="318">
      <c r="A318">
        <f>IF(Transactions!D318="","",UPPER(TRIM(Transactions!D318)))</f>
        <v/>
      </c>
      <c r="B318">
        <f>IF(Transactions!C318="","",UPPER(TRIM(Transactions!C318)))</f>
        <v/>
      </c>
      <c r="C318">
        <f>IF(Transactions!B318="",0,YEAR(Transactions!B318)*100+MONTH(Transactions!B318))</f>
        <v/>
      </c>
      <c r="D318">
        <f>IF(Transactions!A318="",1,IF(COUNTIF(Transactions!$A$1:A317,Transactions!A318)&gt;0,1,0))</f>
        <v/>
      </c>
      <c r="E318">
        <f>IF(D318=1,0,IF(B318="RETURN",IF(COUNTIFS($A$1:A317,A318,$B$1:B317,"SALE",$E$1:E317,1)&gt;0,1,0),1))</f>
        <v/>
      </c>
      <c r="F318">
        <f>IF(E318=1,IF(B318="RECEIPT",Transactions!E318,IF(AND(B318="RETURN",LOWER(TRIM(Transactions!H318))="resellable"),Transactions!E318,0)),0)</f>
        <v/>
      </c>
      <c r="G318">
        <f>IF(F318&gt;0,IF(B318="RECEIPT",Transactions!F318,IF(_xlfn.MAXIFS($H$2:H318,$A$2:A318,A318)&gt;0,INDEX(Transactions!$F:$F,_xlfn.MAXIFS($H$2:H318,$A$2:A318,A318)),W318)),0)</f>
        <v/>
      </c>
      <c r="H318">
        <f>IF(AND(E318=1,B318="RECEIPT"),ROW(),0)</f>
        <v/>
      </c>
      <c r="I318">
        <f>IF(E318=1,IF(OR(B318="SALE",B318="WRITEOFF"),Transactions!E318,0),0)</f>
        <v/>
      </c>
      <c r="J318">
        <f>SUMIFS($F$1:F317,$A$1:A317,A318)</f>
        <v/>
      </c>
      <c r="K318">
        <f>SUMIFS($I$1:I317,$A$1:A317,A318)</f>
        <v/>
      </c>
      <c r="L318">
        <f>IFERROR(VLOOKUP(A318,Opening!$A:$C,3,0),0)</f>
        <v/>
      </c>
      <c r="M318">
        <f>IF(I318=0,0,MAX(0,MIN(INDEX(Month!H$2:H$13,MATCH($A318,Month!$A$2:$A$13,0))-K318,I318)))</f>
        <v/>
      </c>
      <c r="N318">
        <f>IF(I318=0,0,MAX(0,MIN(INDEX(Month!I$2:I$13,MATCH($A318,Month!$A$2:$A$13,0))-K318,I318)))</f>
        <v/>
      </c>
      <c r="O318">
        <f>IF(I318=0,0,MAX(0,MIN(INDEX(Month!J$2:J$13,MATCH($A318,Month!$A$2:$A$13,0))-K318,I318)))</f>
        <v/>
      </c>
      <c r="P318">
        <f>IF(I318=0,0,(MIN(MAX(K318,0),L318)*W318+SUMPRODUCT((Calc!$A$2:$A$1001=A318)*Calc!$G$2:$G$1001*(((K318-(L318+Calc!$J$2:$J$1001))&gt;0)*((K318-(L318+Calc!$J$2:$J$1001))&lt;Calc!$F$2:$F$1001)*(K318-(L318+Calc!$J$2:$J$1001))+((K318-(L318+Calc!$J$2:$J$1001))&gt;=Calc!$F$2:$F$1001)*Calc!$F$2:$F$1001))))</f>
        <v/>
      </c>
      <c r="Q318">
        <f>IF(I318=0,0,(MIN(MAX((K318+M318),0),L318)*W318+SUMPRODUCT((Calc!$A$2:$A$1001=A318)*Calc!$G$2:$G$1001*((((K318+M318)-(L318+Calc!$J$2:$J$1001))&gt;0)*(((K318+M318)-(L318+Calc!$J$2:$J$1001))&lt;Calc!$F$2:$F$1001)*((K318+M318)-(L318+Calc!$J$2:$J$1001))+(((K318+M318)-(L318+Calc!$J$2:$J$1001))&gt;=Calc!$F$2:$F$1001)*Calc!$F$2:$F$1001))))</f>
        <v/>
      </c>
      <c r="R318">
        <f>IF(I318=0,0,(MIN(MAX((K318+N318),0),L318)*W318+SUMPRODUCT((Calc!$A$2:$A$1001=A318)*Calc!$G$2:$G$1001*((((K318+N318)-(L318+Calc!$J$2:$J$1001))&gt;0)*(((K318+N318)-(L318+Calc!$J$2:$J$1001))&lt;Calc!$F$2:$F$1001)*((K318+N318)-(L318+Calc!$J$2:$J$1001))+(((K318+N318)-(L318+Calc!$J$2:$J$1001))&gt;=Calc!$F$2:$F$1001)*Calc!$F$2:$F$1001))))</f>
        <v/>
      </c>
      <c r="S318">
        <f>IF(I318=0,0,(MIN(MAX((K318+O318),0),L318)*W318+SUMPRODUCT((Calc!$A$2:$A$1001=A318)*Calc!$G$2:$G$1001*((((K318+O318)-(L318+Calc!$J$2:$J$1001))&gt;0)*(((K318+O318)-(L318+Calc!$J$2:$J$1001))&lt;Calc!$F$2:$F$1001)*((K318+O318)-(L318+Calc!$J$2:$J$1001))+(((K318+O318)-(L318+Calc!$J$2:$J$1001))&gt;=Calc!$F$2:$F$1001)*Calc!$F$2:$F$1001))))</f>
        <v/>
      </c>
      <c r="T318">
        <f>IF(AND(E318=1,B318="RETURN"),Transactions!E318*Transactions!G318,0)</f>
        <v/>
      </c>
      <c r="U318">
        <f>IF(AND(E318=1,B318="EXPENSE"),Transactions!J318,0)</f>
        <v/>
      </c>
      <c r="V318">
        <f>IF(AND(Transactions!A318&lt;&gt;"",E318=0),ROW(),"")</f>
        <v/>
      </c>
      <c r="W318">
        <f>IFERROR(VLOOKUP(A318,Opening!$A:$D,4,0),0)</f>
        <v/>
      </c>
    </row>
    <row r="319">
      <c r="A319">
        <f>IF(Transactions!D319="","",UPPER(TRIM(Transactions!D319)))</f>
        <v/>
      </c>
      <c r="B319">
        <f>IF(Transactions!C319="","",UPPER(TRIM(Transactions!C319)))</f>
        <v/>
      </c>
      <c r="C319">
        <f>IF(Transactions!B319="",0,YEAR(Transactions!B319)*100+MONTH(Transactions!B319))</f>
        <v/>
      </c>
      <c r="D319">
        <f>IF(Transactions!A319="",1,IF(COUNTIF(Transactions!$A$1:A318,Transactions!A319)&gt;0,1,0))</f>
        <v/>
      </c>
      <c r="E319">
        <f>IF(D319=1,0,IF(B319="RETURN",IF(COUNTIFS($A$1:A318,A319,$B$1:B318,"SALE",$E$1:E318,1)&gt;0,1,0),1))</f>
        <v/>
      </c>
      <c r="F319">
        <f>IF(E319=1,IF(B319="RECEIPT",Transactions!E319,IF(AND(B319="RETURN",LOWER(TRIM(Transactions!H319))="resellable"),Transactions!E319,0)),0)</f>
        <v/>
      </c>
      <c r="G319">
        <f>IF(F319&gt;0,IF(B319="RECEIPT",Transactions!F319,IF(_xlfn.MAXIFS($H$2:H319,$A$2:A319,A319)&gt;0,INDEX(Transactions!$F:$F,_xlfn.MAXIFS($H$2:H319,$A$2:A319,A319)),W319)),0)</f>
        <v/>
      </c>
      <c r="H319">
        <f>IF(AND(E319=1,B319="RECEIPT"),ROW(),0)</f>
        <v/>
      </c>
      <c r="I319">
        <f>IF(E319=1,IF(OR(B319="SALE",B319="WRITEOFF"),Transactions!E319,0),0)</f>
        <v/>
      </c>
      <c r="J319">
        <f>SUMIFS($F$1:F318,$A$1:A318,A319)</f>
        <v/>
      </c>
      <c r="K319">
        <f>SUMIFS($I$1:I318,$A$1:A318,A319)</f>
        <v/>
      </c>
      <c r="L319">
        <f>IFERROR(VLOOKUP(A319,Opening!$A:$C,3,0),0)</f>
        <v/>
      </c>
      <c r="M319">
        <f>IF(I319=0,0,MAX(0,MIN(INDEX(Month!H$2:H$13,MATCH($A319,Month!$A$2:$A$13,0))-K319,I319)))</f>
        <v/>
      </c>
      <c r="N319">
        <f>IF(I319=0,0,MAX(0,MIN(INDEX(Month!I$2:I$13,MATCH($A319,Month!$A$2:$A$13,0))-K319,I319)))</f>
        <v/>
      </c>
      <c r="O319">
        <f>IF(I319=0,0,MAX(0,MIN(INDEX(Month!J$2:J$13,MATCH($A319,Month!$A$2:$A$13,0))-K319,I319)))</f>
        <v/>
      </c>
      <c r="P319">
        <f>IF(I319=0,0,(MIN(MAX(K319,0),L319)*W319+SUMPRODUCT((Calc!$A$2:$A$1001=A319)*Calc!$G$2:$G$1001*(((K319-(L319+Calc!$J$2:$J$1001))&gt;0)*((K319-(L319+Calc!$J$2:$J$1001))&lt;Calc!$F$2:$F$1001)*(K319-(L319+Calc!$J$2:$J$1001))+((K319-(L319+Calc!$J$2:$J$1001))&gt;=Calc!$F$2:$F$1001)*Calc!$F$2:$F$1001))))</f>
        <v/>
      </c>
      <c r="Q319">
        <f>IF(I319=0,0,(MIN(MAX((K319+M319),0),L319)*W319+SUMPRODUCT((Calc!$A$2:$A$1001=A319)*Calc!$G$2:$G$1001*((((K319+M319)-(L319+Calc!$J$2:$J$1001))&gt;0)*(((K319+M319)-(L319+Calc!$J$2:$J$1001))&lt;Calc!$F$2:$F$1001)*((K319+M319)-(L319+Calc!$J$2:$J$1001))+(((K319+M319)-(L319+Calc!$J$2:$J$1001))&gt;=Calc!$F$2:$F$1001)*Calc!$F$2:$F$1001))))</f>
        <v/>
      </c>
      <c r="R319">
        <f>IF(I319=0,0,(MIN(MAX((K319+N319),0),L319)*W319+SUMPRODUCT((Calc!$A$2:$A$1001=A319)*Calc!$G$2:$G$1001*((((K319+N319)-(L319+Calc!$J$2:$J$1001))&gt;0)*(((K319+N319)-(L319+Calc!$J$2:$J$1001))&lt;Calc!$F$2:$F$1001)*((K319+N319)-(L319+Calc!$J$2:$J$1001))+(((K319+N319)-(L319+Calc!$J$2:$J$1001))&gt;=Calc!$F$2:$F$1001)*Calc!$F$2:$F$1001))))</f>
        <v/>
      </c>
      <c r="S319">
        <f>IF(I319=0,0,(MIN(MAX((K319+O319),0),L319)*W319+SUMPRODUCT((Calc!$A$2:$A$1001=A319)*Calc!$G$2:$G$1001*((((K319+O319)-(L319+Calc!$J$2:$J$1001))&gt;0)*(((K319+O319)-(L319+Calc!$J$2:$J$1001))&lt;Calc!$F$2:$F$1001)*((K319+O319)-(L319+Calc!$J$2:$J$1001))+(((K319+O319)-(L319+Calc!$J$2:$J$1001))&gt;=Calc!$F$2:$F$1001)*Calc!$F$2:$F$1001))))</f>
        <v/>
      </c>
      <c r="T319">
        <f>IF(AND(E319=1,B319="RETURN"),Transactions!E319*Transactions!G319,0)</f>
        <v/>
      </c>
      <c r="U319">
        <f>IF(AND(E319=1,B319="EXPENSE"),Transactions!J319,0)</f>
        <v/>
      </c>
      <c r="V319">
        <f>IF(AND(Transactions!A319&lt;&gt;"",E319=0),ROW(),"")</f>
        <v/>
      </c>
      <c r="W319">
        <f>IFERROR(VLOOKUP(A319,Opening!$A:$D,4,0),0)</f>
        <v/>
      </c>
    </row>
    <row r="320">
      <c r="A320">
        <f>IF(Transactions!D320="","",UPPER(TRIM(Transactions!D320)))</f>
        <v/>
      </c>
      <c r="B320">
        <f>IF(Transactions!C320="","",UPPER(TRIM(Transactions!C320)))</f>
        <v/>
      </c>
      <c r="C320">
        <f>IF(Transactions!B320="",0,YEAR(Transactions!B320)*100+MONTH(Transactions!B320))</f>
        <v/>
      </c>
      <c r="D320">
        <f>IF(Transactions!A320="",1,IF(COUNTIF(Transactions!$A$1:A319,Transactions!A320)&gt;0,1,0))</f>
        <v/>
      </c>
      <c r="E320">
        <f>IF(D320=1,0,IF(B320="RETURN",IF(COUNTIFS($A$1:A319,A320,$B$1:B319,"SALE",$E$1:E319,1)&gt;0,1,0),1))</f>
        <v/>
      </c>
      <c r="F320">
        <f>IF(E320=1,IF(B320="RECEIPT",Transactions!E320,IF(AND(B320="RETURN",LOWER(TRIM(Transactions!H320))="resellable"),Transactions!E320,0)),0)</f>
        <v/>
      </c>
      <c r="G320">
        <f>IF(F320&gt;0,IF(B320="RECEIPT",Transactions!F320,IF(_xlfn.MAXIFS($H$2:H320,$A$2:A320,A320)&gt;0,INDEX(Transactions!$F:$F,_xlfn.MAXIFS($H$2:H320,$A$2:A320,A320)),W320)),0)</f>
        <v/>
      </c>
      <c r="H320">
        <f>IF(AND(E320=1,B320="RECEIPT"),ROW(),0)</f>
        <v/>
      </c>
      <c r="I320">
        <f>IF(E320=1,IF(OR(B320="SALE",B320="WRITEOFF"),Transactions!E320,0),0)</f>
        <v/>
      </c>
      <c r="J320">
        <f>SUMIFS($F$1:F319,$A$1:A319,A320)</f>
        <v/>
      </c>
      <c r="K320">
        <f>SUMIFS($I$1:I319,$A$1:A319,A320)</f>
        <v/>
      </c>
      <c r="L320">
        <f>IFERROR(VLOOKUP(A320,Opening!$A:$C,3,0),0)</f>
        <v/>
      </c>
      <c r="M320">
        <f>IF(I320=0,0,MAX(0,MIN(INDEX(Month!H$2:H$13,MATCH($A320,Month!$A$2:$A$13,0))-K320,I320)))</f>
        <v/>
      </c>
      <c r="N320">
        <f>IF(I320=0,0,MAX(0,MIN(INDEX(Month!I$2:I$13,MATCH($A320,Month!$A$2:$A$13,0))-K320,I320)))</f>
        <v/>
      </c>
      <c r="O320">
        <f>IF(I320=0,0,MAX(0,MIN(INDEX(Month!J$2:J$13,MATCH($A320,Month!$A$2:$A$13,0))-K320,I320)))</f>
        <v/>
      </c>
      <c r="P320">
        <f>IF(I320=0,0,(MIN(MAX(K320,0),L320)*W320+SUMPRODUCT((Calc!$A$2:$A$1001=A320)*Calc!$G$2:$G$1001*(((K320-(L320+Calc!$J$2:$J$1001))&gt;0)*((K320-(L320+Calc!$J$2:$J$1001))&lt;Calc!$F$2:$F$1001)*(K320-(L320+Calc!$J$2:$J$1001))+((K320-(L320+Calc!$J$2:$J$1001))&gt;=Calc!$F$2:$F$1001)*Calc!$F$2:$F$1001))))</f>
        <v/>
      </c>
      <c r="Q320">
        <f>IF(I320=0,0,(MIN(MAX((K320+M320),0),L320)*W320+SUMPRODUCT((Calc!$A$2:$A$1001=A320)*Calc!$G$2:$G$1001*((((K320+M320)-(L320+Calc!$J$2:$J$1001))&gt;0)*(((K320+M320)-(L320+Calc!$J$2:$J$1001))&lt;Calc!$F$2:$F$1001)*((K320+M320)-(L320+Calc!$J$2:$J$1001))+(((K320+M320)-(L320+Calc!$J$2:$J$1001))&gt;=Calc!$F$2:$F$1001)*Calc!$F$2:$F$1001))))</f>
        <v/>
      </c>
      <c r="R320">
        <f>IF(I320=0,0,(MIN(MAX((K320+N320),0),L320)*W320+SUMPRODUCT((Calc!$A$2:$A$1001=A320)*Calc!$G$2:$G$1001*((((K320+N320)-(L320+Calc!$J$2:$J$1001))&gt;0)*(((K320+N320)-(L320+Calc!$J$2:$J$1001))&lt;Calc!$F$2:$F$1001)*((K320+N320)-(L320+Calc!$J$2:$J$1001))+(((K320+N320)-(L320+Calc!$J$2:$J$1001))&gt;=Calc!$F$2:$F$1001)*Calc!$F$2:$F$1001))))</f>
        <v/>
      </c>
      <c r="S320">
        <f>IF(I320=0,0,(MIN(MAX((K320+O320),0),L320)*W320+SUMPRODUCT((Calc!$A$2:$A$1001=A320)*Calc!$G$2:$G$1001*((((K320+O320)-(L320+Calc!$J$2:$J$1001))&gt;0)*(((K320+O320)-(L320+Calc!$J$2:$J$1001))&lt;Calc!$F$2:$F$1001)*((K320+O320)-(L320+Calc!$J$2:$J$1001))+(((K320+O320)-(L320+Calc!$J$2:$J$1001))&gt;=Calc!$F$2:$F$1001)*Calc!$F$2:$F$1001))))</f>
        <v/>
      </c>
      <c r="T320">
        <f>IF(AND(E320=1,B320="RETURN"),Transactions!E320*Transactions!G320,0)</f>
        <v/>
      </c>
      <c r="U320">
        <f>IF(AND(E320=1,B320="EXPENSE"),Transactions!J320,0)</f>
        <v/>
      </c>
      <c r="V320">
        <f>IF(AND(Transactions!A320&lt;&gt;"",E320=0),ROW(),"")</f>
        <v/>
      </c>
      <c r="W320">
        <f>IFERROR(VLOOKUP(A320,Opening!$A:$D,4,0),0)</f>
        <v/>
      </c>
    </row>
    <row r="321">
      <c r="A321">
        <f>IF(Transactions!D321="","",UPPER(TRIM(Transactions!D321)))</f>
        <v/>
      </c>
      <c r="B321">
        <f>IF(Transactions!C321="","",UPPER(TRIM(Transactions!C321)))</f>
        <v/>
      </c>
      <c r="C321">
        <f>IF(Transactions!B321="",0,YEAR(Transactions!B321)*100+MONTH(Transactions!B321))</f>
        <v/>
      </c>
      <c r="D321">
        <f>IF(Transactions!A321="",1,IF(COUNTIF(Transactions!$A$1:A320,Transactions!A321)&gt;0,1,0))</f>
        <v/>
      </c>
      <c r="E321">
        <f>IF(D321=1,0,IF(B321="RETURN",IF(COUNTIFS($A$1:A320,A321,$B$1:B320,"SALE",$E$1:E320,1)&gt;0,1,0),1))</f>
        <v/>
      </c>
      <c r="F321">
        <f>IF(E321=1,IF(B321="RECEIPT",Transactions!E321,IF(AND(B321="RETURN",LOWER(TRIM(Transactions!H321))="resellable"),Transactions!E321,0)),0)</f>
        <v/>
      </c>
      <c r="G321">
        <f>IF(F321&gt;0,IF(B321="RECEIPT",Transactions!F321,IF(_xlfn.MAXIFS($H$2:H321,$A$2:A321,A321)&gt;0,INDEX(Transactions!$F:$F,_xlfn.MAXIFS($H$2:H321,$A$2:A321,A321)),W321)),0)</f>
        <v/>
      </c>
      <c r="H321">
        <f>IF(AND(E321=1,B321="RECEIPT"),ROW(),0)</f>
        <v/>
      </c>
      <c r="I321">
        <f>IF(E321=1,IF(OR(B321="SALE",B321="WRITEOFF"),Transactions!E321,0),0)</f>
        <v/>
      </c>
      <c r="J321">
        <f>SUMIFS($F$1:F320,$A$1:A320,A321)</f>
        <v/>
      </c>
      <c r="K321">
        <f>SUMIFS($I$1:I320,$A$1:A320,A321)</f>
        <v/>
      </c>
      <c r="L321">
        <f>IFERROR(VLOOKUP(A321,Opening!$A:$C,3,0),0)</f>
        <v/>
      </c>
      <c r="M321">
        <f>IF(I321=0,0,MAX(0,MIN(INDEX(Month!H$2:H$13,MATCH($A321,Month!$A$2:$A$13,0))-K321,I321)))</f>
        <v/>
      </c>
      <c r="N321">
        <f>IF(I321=0,0,MAX(0,MIN(INDEX(Month!I$2:I$13,MATCH($A321,Month!$A$2:$A$13,0))-K321,I321)))</f>
        <v/>
      </c>
      <c r="O321">
        <f>IF(I321=0,0,MAX(0,MIN(INDEX(Month!J$2:J$13,MATCH($A321,Month!$A$2:$A$13,0))-K321,I321)))</f>
        <v/>
      </c>
      <c r="P321">
        <f>IF(I321=0,0,(MIN(MAX(K321,0),L321)*W321+SUMPRODUCT((Calc!$A$2:$A$1001=A321)*Calc!$G$2:$G$1001*(((K321-(L321+Calc!$J$2:$J$1001))&gt;0)*((K321-(L321+Calc!$J$2:$J$1001))&lt;Calc!$F$2:$F$1001)*(K321-(L321+Calc!$J$2:$J$1001))+((K321-(L321+Calc!$J$2:$J$1001))&gt;=Calc!$F$2:$F$1001)*Calc!$F$2:$F$1001))))</f>
        <v/>
      </c>
      <c r="Q321">
        <f>IF(I321=0,0,(MIN(MAX((K321+M321),0),L321)*W321+SUMPRODUCT((Calc!$A$2:$A$1001=A321)*Calc!$G$2:$G$1001*((((K321+M321)-(L321+Calc!$J$2:$J$1001))&gt;0)*(((K321+M321)-(L321+Calc!$J$2:$J$1001))&lt;Calc!$F$2:$F$1001)*((K321+M321)-(L321+Calc!$J$2:$J$1001))+(((K321+M321)-(L321+Calc!$J$2:$J$1001))&gt;=Calc!$F$2:$F$1001)*Calc!$F$2:$F$1001))))</f>
        <v/>
      </c>
      <c r="R321">
        <f>IF(I321=0,0,(MIN(MAX((K321+N321),0),L321)*W321+SUMPRODUCT((Calc!$A$2:$A$1001=A321)*Calc!$G$2:$G$1001*((((K321+N321)-(L321+Calc!$J$2:$J$1001))&gt;0)*(((K321+N321)-(L321+Calc!$J$2:$J$1001))&lt;Calc!$F$2:$F$1001)*((K321+N321)-(L321+Calc!$J$2:$J$1001))+(((K321+N321)-(L321+Calc!$J$2:$J$1001))&gt;=Calc!$F$2:$F$1001)*Calc!$F$2:$F$1001))))</f>
        <v/>
      </c>
      <c r="S321">
        <f>IF(I321=0,0,(MIN(MAX((K321+O321),0),L321)*W321+SUMPRODUCT((Calc!$A$2:$A$1001=A321)*Calc!$G$2:$G$1001*((((K321+O321)-(L321+Calc!$J$2:$J$1001))&gt;0)*(((K321+O321)-(L321+Calc!$J$2:$J$1001))&lt;Calc!$F$2:$F$1001)*((K321+O321)-(L321+Calc!$J$2:$J$1001))+(((K321+O321)-(L321+Calc!$J$2:$J$1001))&gt;=Calc!$F$2:$F$1001)*Calc!$F$2:$F$1001))))</f>
        <v/>
      </c>
      <c r="T321">
        <f>IF(AND(E321=1,B321="RETURN"),Transactions!E321*Transactions!G321,0)</f>
        <v/>
      </c>
      <c r="U321">
        <f>IF(AND(E321=1,B321="EXPENSE"),Transactions!J321,0)</f>
        <v/>
      </c>
      <c r="V321">
        <f>IF(AND(Transactions!A321&lt;&gt;"",E321=0),ROW(),"")</f>
        <v/>
      </c>
      <c r="W321">
        <f>IFERROR(VLOOKUP(A321,Opening!$A:$D,4,0),0)</f>
        <v/>
      </c>
    </row>
    <row r="322">
      <c r="A322">
        <f>IF(Transactions!D322="","",UPPER(TRIM(Transactions!D322)))</f>
        <v/>
      </c>
      <c r="B322">
        <f>IF(Transactions!C322="","",UPPER(TRIM(Transactions!C322)))</f>
        <v/>
      </c>
      <c r="C322">
        <f>IF(Transactions!B322="",0,YEAR(Transactions!B322)*100+MONTH(Transactions!B322))</f>
        <v/>
      </c>
      <c r="D322">
        <f>IF(Transactions!A322="",1,IF(COUNTIF(Transactions!$A$1:A321,Transactions!A322)&gt;0,1,0))</f>
        <v/>
      </c>
      <c r="E322">
        <f>IF(D322=1,0,IF(B322="RETURN",IF(COUNTIFS($A$1:A321,A322,$B$1:B321,"SALE",$E$1:E321,1)&gt;0,1,0),1))</f>
        <v/>
      </c>
      <c r="F322">
        <f>IF(E322=1,IF(B322="RECEIPT",Transactions!E322,IF(AND(B322="RETURN",LOWER(TRIM(Transactions!H322))="resellable"),Transactions!E322,0)),0)</f>
        <v/>
      </c>
      <c r="G322">
        <f>IF(F322&gt;0,IF(B322="RECEIPT",Transactions!F322,IF(_xlfn.MAXIFS($H$2:H322,$A$2:A322,A322)&gt;0,INDEX(Transactions!$F:$F,_xlfn.MAXIFS($H$2:H322,$A$2:A322,A322)),W322)),0)</f>
        <v/>
      </c>
      <c r="H322">
        <f>IF(AND(E322=1,B322="RECEIPT"),ROW(),0)</f>
        <v/>
      </c>
      <c r="I322">
        <f>IF(E322=1,IF(OR(B322="SALE",B322="WRITEOFF"),Transactions!E322,0),0)</f>
        <v/>
      </c>
      <c r="J322">
        <f>SUMIFS($F$1:F321,$A$1:A321,A322)</f>
        <v/>
      </c>
      <c r="K322">
        <f>SUMIFS($I$1:I321,$A$1:A321,A322)</f>
        <v/>
      </c>
      <c r="L322">
        <f>IFERROR(VLOOKUP(A322,Opening!$A:$C,3,0),0)</f>
        <v/>
      </c>
      <c r="M322">
        <f>IF(I322=0,0,MAX(0,MIN(INDEX(Month!H$2:H$13,MATCH($A322,Month!$A$2:$A$13,0))-K322,I322)))</f>
        <v/>
      </c>
      <c r="N322">
        <f>IF(I322=0,0,MAX(0,MIN(INDEX(Month!I$2:I$13,MATCH($A322,Month!$A$2:$A$13,0))-K322,I322)))</f>
        <v/>
      </c>
      <c r="O322">
        <f>IF(I322=0,0,MAX(0,MIN(INDEX(Month!J$2:J$13,MATCH($A322,Month!$A$2:$A$13,0))-K322,I322)))</f>
        <v/>
      </c>
      <c r="P322">
        <f>IF(I322=0,0,(MIN(MAX(K322,0),L322)*W322+SUMPRODUCT((Calc!$A$2:$A$1001=A322)*Calc!$G$2:$G$1001*(((K322-(L322+Calc!$J$2:$J$1001))&gt;0)*((K322-(L322+Calc!$J$2:$J$1001))&lt;Calc!$F$2:$F$1001)*(K322-(L322+Calc!$J$2:$J$1001))+((K322-(L322+Calc!$J$2:$J$1001))&gt;=Calc!$F$2:$F$1001)*Calc!$F$2:$F$1001))))</f>
        <v/>
      </c>
      <c r="Q322">
        <f>IF(I322=0,0,(MIN(MAX((K322+M322),0),L322)*W322+SUMPRODUCT((Calc!$A$2:$A$1001=A322)*Calc!$G$2:$G$1001*((((K322+M322)-(L322+Calc!$J$2:$J$1001))&gt;0)*(((K322+M322)-(L322+Calc!$J$2:$J$1001))&lt;Calc!$F$2:$F$1001)*((K322+M322)-(L322+Calc!$J$2:$J$1001))+(((K322+M322)-(L322+Calc!$J$2:$J$1001))&gt;=Calc!$F$2:$F$1001)*Calc!$F$2:$F$1001))))</f>
        <v/>
      </c>
      <c r="R322">
        <f>IF(I322=0,0,(MIN(MAX((K322+N322),0),L322)*W322+SUMPRODUCT((Calc!$A$2:$A$1001=A322)*Calc!$G$2:$G$1001*((((K322+N322)-(L322+Calc!$J$2:$J$1001))&gt;0)*(((K322+N322)-(L322+Calc!$J$2:$J$1001))&lt;Calc!$F$2:$F$1001)*((K322+N322)-(L322+Calc!$J$2:$J$1001))+(((K322+N322)-(L322+Calc!$J$2:$J$1001))&gt;=Calc!$F$2:$F$1001)*Calc!$F$2:$F$1001))))</f>
        <v/>
      </c>
      <c r="S322">
        <f>IF(I322=0,0,(MIN(MAX((K322+O322),0),L322)*W322+SUMPRODUCT((Calc!$A$2:$A$1001=A322)*Calc!$G$2:$G$1001*((((K322+O322)-(L322+Calc!$J$2:$J$1001))&gt;0)*(((K322+O322)-(L322+Calc!$J$2:$J$1001))&lt;Calc!$F$2:$F$1001)*((K322+O322)-(L322+Calc!$J$2:$J$1001))+(((K322+O322)-(L322+Calc!$J$2:$J$1001))&gt;=Calc!$F$2:$F$1001)*Calc!$F$2:$F$1001))))</f>
        <v/>
      </c>
      <c r="T322">
        <f>IF(AND(E322=1,B322="RETURN"),Transactions!E322*Transactions!G322,0)</f>
        <v/>
      </c>
      <c r="U322">
        <f>IF(AND(E322=1,B322="EXPENSE"),Transactions!J322,0)</f>
        <v/>
      </c>
      <c r="V322">
        <f>IF(AND(Transactions!A322&lt;&gt;"",E322=0),ROW(),"")</f>
        <v/>
      </c>
      <c r="W322">
        <f>IFERROR(VLOOKUP(A322,Opening!$A:$D,4,0),0)</f>
        <v/>
      </c>
    </row>
    <row r="323">
      <c r="A323">
        <f>IF(Transactions!D323="","",UPPER(TRIM(Transactions!D323)))</f>
        <v/>
      </c>
      <c r="B323">
        <f>IF(Transactions!C323="","",UPPER(TRIM(Transactions!C323)))</f>
        <v/>
      </c>
      <c r="C323">
        <f>IF(Transactions!B323="",0,YEAR(Transactions!B323)*100+MONTH(Transactions!B323))</f>
        <v/>
      </c>
      <c r="D323">
        <f>IF(Transactions!A323="",1,IF(COUNTIF(Transactions!$A$1:A322,Transactions!A323)&gt;0,1,0))</f>
        <v/>
      </c>
      <c r="E323">
        <f>IF(D323=1,0,IF(B323="RETURN",IF(COUNTIFS($A$1:A322,A323,$B$1:B322,"SALE",$E$1:E322,1)&gt;0,1,0),1))</f>
        <v/>
      </c>
      <c r="F323">
        <f>IF(E323=1,IF(B323="RECEIPT",Transactions!E323,IF(AND(B323="RETURN",LOWER(TRIM(Transactions!H323))="resellable"),Transactions!E323,0)),0)</f>
        <v/>
      </c>
      <c r="G323">
        <f>IF(F323&gt;0,IF(B323="RECEIPT",Transactions!F323,IF(_xlfn.MAXIFS($H$2:H323,$A$2:A323,A323)&gt;0,INDEX(Transactions!$F:$F,_xlfn.MAXIFS($H$2:H323,$A$2:A323,A323)),W323)),0)</f>
        <v/>
      </c>
      <c r="H323">
        <f>IF(AND(E323=1,B323="RECEIPT"),ROW(),0)</f>
        <v/>
      </c>
      <c r="I323">
        <f>IF(E323=1,IF(OR(B323="SALE",B323="WRITEOFF"),Transactions!E323,0),0)</f>
        <v/>
      </c>
      <c r="J323">
        <f>SUMIFS($F$1:F322,$A$1:A322,A323)</f>
        <v/>
      </c>
      <c r="K323">
        <f>SUMIFS($I$1:I322,$A$1:A322,A323)</f>
        <v/>
      </c>
      <c r="L323">
        <f>IFERROR(VLOOKUP(A323,Opening!$A:$C,3,0),0)</f>
        <v/>
      </c>
      <c r="M323">
        <f>IF(I323=0,0,MAX(0,MIN(INDEX(Month!H$2:H$13,MATCH($A323,Month!$A$2:$A$13,0))-K323,I323)))</f>
        <v/>
      </c>
      <c r="N323">
        <f>IF(I323=0,0,MAX(0,MIN(INDEX(Month!I$2:I$13,MATCH($A323,Month!$A$2:$A$13,0))-K323,I323)))</f>
        <v/>
      </c>
      <c r="O323">
        <f>IF(I323=0,0,MAX(0,MIN(INDEX(Month!J$2:J$13,MATCH($A323,Month!$A$2:$A$13,0))-K323,I323)))</f>
        <v/>
      </c>
      <c r="P323">
        <f>IF(I323=0,0,(MIN(MAX(K323,0),L323)*W323+SUMPRODUCT((Calc!$A$2:$A$1001=A323)*Calc!$G$2:$G$1001*(((K323-(L323+Calc!$J$2:$J$1001))&gt;0)*((K323-(L323+Calc!$J$2:$J$1001))&lt;Calc!$F$2:$F$1001)*(K323-(L323+Calc!$J$2:$J$1001))+((K323-(L323+Calc!$J$2:$J$1001))&gt;=Calc!$F$2:$F$1001)*Calc!$F$2:$F$1001))))</f>
        <v/>
      </c>
      <c r="Q323">
        <f>IF(I323=0,0,(MIN(MAX((K323+M323),0),L323)*W323+SUMPRODUCT((Calc!$A$2:$A$1001=A323)*Calc!$G$2:$G$1001*((((K323+M323)-(L323+Calc!$J$2:$J$1001))&gt;0)*(((K323+M323)-(L323+Calc!$J$2:$J$1001))&lt;Calc!$F$2:$F$1001)*((K323+M323)-(L323+Calc!$J$2:$J$1001))+(((K323+M323)-(L323+Calc!$J$2:$J$1001))&gt;=Calc!$F$2:$F$1001)*Calc!$F$2:$F$1001))))</f>
        <v/>
      </c>
      <c r="R323">
        <f>IF(I323=0,0,(MIN(MAX((K323+N323),0),L323)*W323+SUMPRODUCT((Calc!$A$2:$A$1001=A323)*Calc!$G$2:$G$1001*((((K323+N323)-(L323+Calc!$J$2:$J$1001))&gt;0)*(((K323+N323)-(L323+Calc!$J$2:$J$1001))&lt;Calc!$F$2:$F$1001)*((K323+N323)-(L323+Calc!$J$2:$J$1001))+(((K323+N323)-(L323+Calc!$J$2:$J$1001))&gt;=Calc!$F$2:$F$1001)*Calc!$F$2:$F$1001))))</f>
        <v/>
      </c>
      <c r="S323">
        <f>IF(I323=0,0,(MIN(MAX((K323+O323),0),L323)*W323+SUMPRODUCT((Calc!$A$2:$A$1001=A323)*Calc!$G$2:$G$1001*((((K323+O323)-(L323+Calc!$J$2:$J$1001))&gt;0)*(((K323+O323)-(L323+Calc!$J$2:$J$1001))&lt;Calc!$F$2:$F$1001)*((K323+O323)-(L323+Calc!$J$2:$J$1001))+(((K323+O323)-(L323+Calc!$J$2:$J$1001))&gt;=Calc!$F$2:$F$1001)*Calc!$F$2:$F$1001))))</f>
        <v/>
      </c>
      <c r="T323">
        <f>IF(AND(E323=1,B323="RETURN"),Transactions!E323*Transactions!G323,0)</f>
        <v/>
      </c>
      <c r="U323">
        <f>IF(AND(E323=1,B323="EXPENSE"),Transactions!J323,0)</f>
        <v/>
      </c>
      <c r="V323">
        <f>IF(AND(Transactions!A323&lt;&gt;"",E323=0),ROW(),"")</f>
        <v/>
      </c>
      <c r="W323">
        <f>IFERROR(VLOOKUP(A323,Opening!$A:$D,4,0),0)</f>
        <v/>
      </c>
    </row>
    <row r="324">
      <c r="A324">
        <f>IF(Transactions!D324="","",UPPER(TRIM(Transactions!D324)))</f>
        <v/>
      </c>
      <c r="B324">
        <f>IF(Transactions!C324="","",UPPER(TRIM(Transactions!C324)))</f>
        <v/>
      </c>
      <c r="C324">
        <f>IF(Transactions!B324="",0,YEAR(Transactions!B324)*100+MONTH(Transactions!B324))</f>
        <v/>
      </c>
      <c r="D324">
        <f>IF(Transactions!A324="",1,IF(COUNTIF(Transactions!$A$1:A323,Transactions!A324)&gt;0,1,0))</f>
        <v/>
      </c>
      <c r="E324">
        <f>IF(D324=1,0,IF(B324="RETURN",IF(COUNTIFS($A$1:A323,A324,$B$1:B323,"SALE",$E$1:E323,1)&gt;0,1,0),1))</f>
        <v/>
      </c>
      <c r="F324">
        <f>IF(E324=1,IF(B324="RECEIPT",Transactions!E324,IF(AND(B324="RETURN",LOWER(TRIM(Transactions!H324))="resellable"),Transactions!E324,0)),0)</f>
        <v/>
      </c>
      <c r="G324">
        <f>IF(F324&gt;0,IF(B324="RECEIPT",Transactions!F324,IF(_xlfn.MAXIFS($H$2:H324,$A$2:A324,A324)&gt;0,INDEX(Transactions!$F:$F,_xlfn.MAXIFS($H$2:H324,$A$2:A324,A324)),W324)),0)</f>
        <v/>
      </c>
      <c r="H324">
        <f>IF(AND(E324=1,B324="RECEIPT"),ROW(),0)</f>
        <v/>
      </c>
      <c r="I324">
        <f>IF(E324=1,IF(OR(B324="SALE",B324="WRITEOFF"),Transactions!E324,0),0)</f>
        <v/>
      </c>
      <c r="J324">
        <f>SUMIFS($F$1:F323,$A$1:A323,A324)</f>
        <v/>
      </c>
      <c r="K324">
        <f>SUMIFS($I$1:I323,$A$1:A323,A324)</f>
        <v/>
      </c>
      <c r="L324">
        <f>IFERROR(VLOOKUP(A324,Opening!$A:$C,3,0),0)</f>
        <v/>
      </c>
      <c r="M324">
        <f>IF(I324=0,0,MAX(0,MIN(INDEX(Month!H$2:H$13,MATCH($A324,Month!$A$2:$A$13,0))-K324,I324)))</f>
        <v/>
      </c>
      <c r="N324">
        <f>IF(I324=0,0,MAX(0,MIN(INDEX(Month!I$2:I$13,MATCH($A324,Month!$A$2:$A$13,0))-K324,I324)))</f>
        <v/>
      </c>
      <c r="O324">
        <f>IF(I324=0,0,MAX(0,MIN(INDEX(Month!J$2:J$13,MATCH($A324,Month!$A$2:$A$13,0))-K324,I324)))</f>
        <v/>
      </c>
      <c r="P324">
        <f>IF(I324=0,0,(MIN(MAX(K324,0),L324)*W324+SUMPRODUCT((Calc!$A$2:$A$1001=A324)*Calc!$G$2:$G$1001*(((K324-(L324+Calc!$J$2:$J$1001))&gt;0)*((K324-(L324+Calc!$J$2:$J$1001))&lt;Calc!$F$2:$F$1001)*(K324-(L324+Calc!$J$2:$J$1001))+((K324-(L324+Calc!$J$2:$J$1001))&gt;=Calc!$F$2:$F$1001)*Calc!$F$2:$F$1001))))</f>
        <v/>
      </c>
      <c r="Q324">
        <f>IF(I324=0,0,(MIN(MAX((K324+M324),0),L324)*W324+SUMPRODUCT((Calc!$A$2:$A$1001=A324)*Calc!$G$2:$G$1001*((((K324+M324)-(L324+Calc!$J$2:$J$1001))&gt;0)*(((K324+M324)-(L324+Calc!$J$2:$J$1001))&lt;Calc!$F$2:$F$1001)*((K324+M324)-(L324+Calc!$J$2:$J$1001))+(((K324+M324)-(L324+Calc!$J$2:$J$1001))&gt;=Calc!$F$2:$F$1001)*Calc!$F$2:$F$1001))))</f>
        <v/>
      </c>
      <c r="R324">
        <f>IF(I324=0,0,(MIN(MAX((K324+N324),0),L324)*W324+SUMPRODUCT((Calc!$A$2:$A$1001=A324)*Calc!$G$2:$G$1001*((((K324+N324)-(L324+Calc!$J$2:$J$1001))&gt;0)*(((K324+N324)-(L324+Calc!$J$2:$J$1001))&lt;Calc!$F$2:$F$1001)*((K324+N324)-(L324+Calc!$J$2:$J$1001))+(((K324+N324)-(L324+Calc!$J$2:$J$1001))&gt;=Calc!$F$2:$F$1001)*Calc!$F$2:$F$1001))))</f>
        <v/>
      </c>
      <c r="S324">
        <f>IF(I324=0,0,(MIN(MAX((K324+O324),0),L324)*W324+SUMPRODUCT((Calc!$A$2:$A$1001=A324)*Calc!$G$2:$G$1001*((((K324+O324)-(L324+Calc!$J$2:$J$1001))&gt;0)*(((K324+O324)-(L324+Calc!$J$2:$J$1001))&lt;Calc!$F$2:$F$1001)*((K324+O324)-(L324+Calc!$J$2:$J$1001))+(((K324+O324)-(L324+Calc!$J$2:$J$1001))&gt;=Calc!$F$2:$F$1001)*Calc!$F$2:$F$1001))))</f>
        <v/>
      </c>
      <c r="T324">
        <f>IF(AND(E324=1,B324="RETURN"),Transactions!E324*Transactions!G324,0)</f>
        <v/>
      </c>
      <c r="U324">
        <f>IF(AND(E324=1,B324="EXPENSE"),Transactions!J324,0)</f>
        <v/>
      </c>
      <c r="V324">
        <f>IF(AND(Transactions!A324&lt;&gt;"",E324=0),ROW(),"")</f>
        <v/>
      </c>
      <c r="W324">
        <f>IFERROR(VLOOKUP(A324,Opening!$A:$D,4,0),0)</f>
        <v/>
      </c>
    </row>
    <row r="325">
      <c r="A325">
        <f>IF(Transactions!D325="","",UPPER(TRIM(Transactions!D325)))</f>
        <v/>
      </c>
      <c r="B325">
        <f>IF(Transactions!C325="","",UPPER(TRIM(Transactions!C325)))</f>
        <v/>
      </c>
      <c r="C325">
        <f>IF(Transactions!B325="",0,YEAR(Transactions!B325)*100+MONTH(Transactions!B325))</f>
        <v/>
      </c>
      <c r="D325">
        <f>IF(Transactions!A325="",1,IF(COUNTIF(Transactions!$A$1:A324,Transactions!A325)&gt;0,1,0))</f>
        <v/>
      </c>
      <c r="E325">
        <f>IF(D325=1,0,IF(B325="RETURN",IF(COUNTIFS($A$1:A324,A325,$B$1:B324,"SALE",$E$1:E324,1)&gt;0,1,0),1))</f>
        <v/>
      </c>
      <c r="F325">
        <f>IF(E325=1,IF(B325="RECEIPT",Transactions!E325,IF(AND(B325="RETURN",LOWER(TRIM(Transactions!H325))="resellable"),Transactions!E325,0)),0)</f>
        <v/>
      </c>
      <c r="G325">
        <f>IF(F325&gt;0,IF(B325="RECEIPT",Transactions!F325,IF(_xlfn.MAXIFS($H$2:H325,$A$2:A325,A325)&gt;0,INDEX(Transactions!$F:$F,_xlfn.MAXIFS($H$2:H325,$A$2:A325,A325)),W325)),0)</f>
        <v/>
      </c>
      <c r="H325">
        <f>IF(AND(E325=1,B325="RECEIPT"),ROW(),0)</f>
        <v/>
      </c>
      <c r="I325">
        <f>IF(E325=1,IF(OR(B325="SALE",B325="WRITEOFF"),Transactions!E325,0),0)</f>
        <v/>
      </c>
      <c r="J325">
        <f>SUMIFS($F$1:F324,$A$1:A324,A325)</f>
        <v/>
      </c>
      <c r="K325">
        <f>SUMIFS($I$1:I324,$A$1:A324,A325)</f>
        <v/>
      </c>
      <c r="L325">
        <f>IFERROR(VLOOKUP(A325,Opening!$A:$C,3,0),0)</f>
        <v/>
      </c>
      <c r="M325">
        <f>IF(I325=0,0,MAX(0,MIN(INDEX(Month!H$2:H$13,MATCH($A325,Month!$A$2:$A$13,0))-K325,I325)))</f>
        <v/>
      </c>
      <c r="N325">
        <f>IF(I325=0,0,MAX(0,MIN(INDEX(Month!I$2:I$13,MATCH($A325,Month!$A$2:$A$13,0))-K325,I325)))</f>
        <v/>
      </c>
      <c r="O325">
        <f>IF(I325=0,0,MAX(0,MIN(INDEX(Month!J$2:J$13,MATCH($A325,Month!$A$2:$A$13,0))-K325,I325)))</f>
        <v/>
      </c>
      <c r="P325">
        <f>IF(I325=0,0,(MIN(MAX(K325,0),L325)*W325+SUMPRODUCT((Calc!$A$2:$A$1001=A325)*Calc!$G$2:$G$1001*(((K325-(L325+Calc!$J$2:$J$1001))&gt;0)*((K325-(L325+Calc!$J$2:$J$1001))&lt;Calc!$F$2:$F$1001)*(K325-(L325+Calc!$J$2:$J$1001))+((K325-(L325+Calc!$J$2:$J$1001))&gt;=Calc!$F$2:$F$1001)*Calc!$F$2:$F$1001))))</f>
        <v/>
      </c>
      <c r="Q325">
        <f>IF(I325=0,0,(MIN(MAX((K325+M325),0),L325)*W325+SUMPRODUCT((Calc!$A$2:$A$1001=A325)*Calc!$G$2:$G$1001*((((K325+M325)-(L325+Calc!$J$2:$J$1001))&gt;0)*(((K325+M325)-(L325+Calc!$J$2:$J$1001))&lt;Calc!$F$2:$F$1001)*((K325+M325)-(L325+Calc!$J$2:$J$1001))+(((K325+M325)-(L325+Calc!$J$2:$J$1001))&gt;=Calc!$F$2:$F$1001)*Calc!$F$2:$F$1001))))</f>
        <v/>
      </c>
      <c r="R325">
        <f>IF(I325=0,0,(MIN(MAX((K325+N325),0),L325)*W325+SUMPRODUCT((Calc!$A$2:$A$1001=A325)*Calc!$G$2:$G$1001*((((K325+N325)-(L325+Calc!$J$2:$J$1001))&gt;0)*(((K325+N325)-(L325+Calc!$J$2:$J$1001))&lt;Calc!$F$2:$F$1001)*((K325+N325)-(L325+Calc!$J$2:$J$1001))+(((K325+N325)-(L325+Calc!$J$2:$J$1001))&gt;=Calc!$F$2:$F$1001)*Calc!$F$2:$F$1001))))</f>
        <v/>
      </c>
      <c r="S325">
        <f>IF(I325=0,0,(MIN(MAX((K325+O325),0),L325)*W325+SUMPRODUCT((Calc!$A$2:$A$1001=A325)*Calc!$G$2:$G$1001*((((K325+O325)-(L325+Calc!$J$2:$J$1001))&gt;0)*(((K325+O325)-(L325+Calc!$J$2:$J$1001))&lt;Calc!$F$2:$F$1001)*((K325+O325)-(L325+Calc!$J$2:$J$1001))+(((K325+O325)-(L325+Calc!$J$2:$J$1001))&gt;=Calc!$F$2:$F$1001)*Calc!$F$2:$F$1001))))</f>
        <v/>
      </c>
      <c r="T325">
        <f>IF(AND(E325=1,B325="RETURN"),Transactions!E325*Transactions!G325,0)</f>
        <v/>
      </c>
      <c r="U325">
        <f>IF(AND(E325=1,B325="EXPENSE"),Transactions!J325,0)</f>
        <v/>
      </c>
      <c r="V325">
        <f>IF(AND(Transactions!A325&lt;&gt;"",E325=0),ROW(),"")</f>
        <v/>
      </c>
      <c r="W325">
        <f>IFERROR(VLOOKUP(A325,Opening!$A:$D,4,0),0)</f>
        <v/>
      </c>
    </row>
    <row r="326">
      <c r="A326">
        <f>IF(Transactions!D326="","",UPPER(TRIM(Transactions!D326)))</f>
        <v/>
      </c>
      <c r="B326">
        <f>IF(Transactions!C326="","",UPPER(TRIM(Transactions!C326)))</f>
        <v/>
      </c>
      <c r="C326">
        <f>IF(Transactions!B326="",0,YEAR(Transactions!B326)*100+MONTH(Transactions!B326))</f>
        <v/>
      </c>
      <c r="D326">
        <f>IF(Transactions!A326="",1,IF(COUNTIF(Transactions!$A$1:A325,Transactions!A326)&gt;0,1,0))</f>
        <v/>
      </c>
      <c r="E326">
        <f>IF(D326=1,0,IF(B326="RETURN",IF(COUNTIFS($A$1:A325,A326,$B$1:B325,"SALE",$E$1:E325,1)&gt;0,1,0),1))</f>
        <v/>
      </c>
      <c r="F326">
        <f>IF(E326=1,IF(B326="RECEIPT",Transactions!E326,IF(AND(B326="RETURN",LOWER(TRIM(Transactions!H326))="resellable"),Transactions!E326,0)),0)</f>
        <v/>
      </c>
      <c r="G326">
        <f>IF(F326&gt;0,IF(B326="RECEIPT",Transactions!F326,IF(_xlfn.MAXIFS($H$2:H326,$A$2:A326,A326)&gt;0,INDEX(Transactions!$F:$F,_xlfn.MAXIFS($H$2:H326,$A$2:A326,A326)),W326)),0)</f>
        <v/>
      </c>
      <c r="H326">
        <f>IF(AND(E326=1,B326="RECEIPT"),ROW(),0)</f>
        <v/>
      </c>
      <c r="I326">
        <f>IF(E326=1,IF(OR(B326="SALE",B326="WRITEOFF"),Transactions!E326,0),0)</f>
        <v/>
      </c>
      <c r="J326">
        <f>SUMIFS($F$1:F325,$A$1:A325,A326)</f>
        <v/>
      </c>
      <c r="K326">
        <f>SUMIFS($I$1:I325,$A$1:A325,A326)</f>
        <v/>
      </c>
      <c r="L326">
        <f>IFERROR(VLOOKUP(A326,Opening!$A:$C,3,0),0)</f>
        <v/>
      </c>
      <c r="M326">
        <f>IF(I326=0,0,MAX(0,MIN(INDEX(Month!H$2:H$13,MATCH($A326,Month!$A$2:$A$13,0))-K326,I326)))</f>
        <v/>
      </c>
      <c r="N326">
        <f>IF(I326=0,0,MAX(0,MIN(INDEX(Month!I$2:I$13,MATCH($A326,Month!$A$2:$A$13,0))-K326,I326)))</f>
        <v/>
      </c>
      <c r="O326">
        <f>IF(I326=0,0,MAX(0,MIN(INDEX(Month!J$2:J$13,MATCH($A326,Month!$A$2:$A$13,0))-K326,I326)))</f>
        <v/>
      </c>
      <c r="P326">
        <f>IF(I326=0,0,(MIN(MAX(K326,0),L326)*W326+SUMPRODUCT((Calc!$A$2:$A$1001=A326)*Calc!$G$2:$G$1001*(((K326-(L326+Calc!$J$2:$J$1001))&gt;0)*((K326-(L326+Calc!$J$2:$J$1001))&lt;Calc!$F$2:$F$1001)*(K326-(L326+Calc!$J$2:$J$1001))+((K326-(L326+Calc!$J$2:$J$1001))&gt;=Calc!$F$2:$F$1001)*Calc!$F$2:$F$1001))))</f>
        <v/>
      </c>
      <c r="Q326">
        <f>IF(I326=0,0,(MIN(MAX((K326+M326),0),L326)*W326+SUMPRODUCT((Calc!$A$2:$A$1001=A326)*Calc!$G$2:$G$1001*((((K326+M326)-(L326+Calc!$J$2:$J$1001))&gt;0)*(((K326+M326)-(L326+Calc!$J$2:$J$1001))&lt;Calc!$F$2:$F$1001)*((K326+M326)-(L326+Calc!$J$2:$J$1001))+(((K326+M326)-(L326+Calc!$J$2:$J$1001))&gt;=Calc!$F$2:$F$1001)*Calc!$F$2:$F$1001))))</f>
        <v/>
      </c>
      <c r="R326">
        <f>IF(I326=0,0,(MIN(MAX((K326+N326),0),L326)*W326+SUMPRODUCT((Calc!$A$2:$A$1001=A326)*Calc!$G$2:$G$1001*((((K326+N326)-(L326+Calc!$J$2:$J$1001))&gt;0)*(((K326+N326)-(L326+Calc!$J$2:$J$1001))&lt;Calc!$F$2:$F$1001)*((K326+N326)-(L326+Calc!$J$2:$J$1001))+(((K326+N326)-(L326+Calc!$J$2:$J$1001))&gt;=Calc!$F$2:$F$1001)*Calc!$F$2:$F$1001))))</f>
        <v/>
      </c>
      <c r="S326">
        <f>IF(I326=0,0,(MIN(MAX((K326+O326),0),L326)*W326+SUMPRODUCT((Calc!$A$2:$A$1001=A326)*Calc!$G$2:$G$1001*((((K326+O326)-(L326+Calc!$J$2:$J$1001))&gt;0)*(((K326+O326)-(L326+Calc!$J$2:$J$1001))&lt;Calc!$F$2:$F$1001)*((K326+O326)-(L326+Calc!$J$2:$J$1001))+(((K326+O326)-(L326+Calc!$J$2:$J$1001))&gt;=Calc!$F$2:$F$1001)*Calc!$F$2:$F$1001))))</f>
        <v/>
      </c>
      <c r="T326">
        <f>IF(AND(E326=1,B326="RETURN"),Transactions!E326*Transactions!G326,0)</f>
        <v/>
      </c>
      <c r="U326">
        <f>IF(AND(E326=1,B326="EXPENSE"),Transactions!J326,0)</f>
        <v/>
      </c>
      <c r="V326">
        <f>IF(AND(Transactions!A326&lt;&gt;"",E326=0),ROW(),"")</f>
        <v/>
      </c>
      <c r="W326">
        <f>IFERROR(VLOOKUP(A326,Opening!$A:$D,4,0),0)</f>
        <v/>
      </c>
    </row>
    <row r="327">
      <c r="A327">
        <f>IF(Transactions!D327="","",UPPER(TRIM(Transactions!D327)))</f>
        <v/>
      </c>
      <c r="B327">
        <f>IF(Transactions!C327="","",UPPER(TRIM(Transactions!C327)))</f>
        <v/>
      </c>
      <c r="C327">
        <f>IF(Transactions!B327="",0,YEAR(Transactions!B327)*100+MONTH(Transactions!B327))</f>
        <v/>
      </c>
      <c r="D327">
        <f>IF(Transactions!A327="",1,IF(COUNTIF(Transactions!$A$1:A326,Transactions!A327)&gt;0,1,0))</f>
        <v/>
      </c>
      <c r="E327">
        <f>IF(D327=1,0,IF(B327="RETURN",IF(COUNTIFS($A$1:A326,A327,$B$1:B326,"SALE",$E$1:E326,1)&gt;0,1,0),1))</f>
        <v/>
      </c>
      <c r="F327">
        <f>IF(E327=1,IF(B327="RECEIPT",Transactions!E327,IF(AND(B327="RETURN",LOWER(TRIM(Transactions!H327))="resellable"),Transactions!E327,0)),0)</f>
        <v/>
      </c>
      <c r="G327">
        <f>IF(F327&gt;0,IF(B327="RECEIPT",Transactions!F327,IF(_xlfn.MAXIFS($H$2:H327,$A$2:A327,A327)&gt;0,INDEX(Transactions!$F:$F,_xlfn.MAXIFS($H$2:H327,$A$2:A327,A327)),W327)),0)</f>
        <v/>
      </c>
      <c r="H327">
        <f>IF(AND(E327=1,B327="RECEIPT"),ROW(),0)</f>
        <v/>
      </c>
      <c r="I327">
        <f>IF(E327=1,IF(OR(B327="SALE",B327="WRITEOFF"),Transactions!E327,0),0)</f>
        <v/>
      </c>
      <c r="J327">
        <f>SUMIFS($F$1:F326,$A$1:A326,A327)</f>
        <v/>
      </c>
      <c r="K327">
        <f>SUMIFS($I$1:I326,$A$1:A326,A327)</f>
        <v/>
      </c>
      <c r="L327">
        <f>IFERROR(VLOOKUP(A327,Opening!$A:$C,3,0),0)</f>
        <v/>
      </c>
      <c r="M327">
        <f>IF(I327=0,0,MAX(0,MIN(INDEX(Month!H$2:H$13,MATCH($A327,Month!$A$2:$A$13,0))-K327,I327)))</f>
        <v/>
      </c>
      <c r="N327">
        <f>IF(I327=0,0,MAX(0,MIN(INDEX(Month!I$2:I$13,MATCH($A327,Month!$A$2:$A$13,0))-K327,I327)))</f>
        <v/>
      </c>
      <c r="O327">
        <f>IF(I327=0,0,MAX(0,MIN(INDEX(Month!J$2:J$13,MATCH($A327,Month!$A$2:$A$13,0))-K327,I327)))</f>
        <v/>
      </c>
      <c r="P327">
        <f>IF(I327=0,0,(MIN(MAX(K327,0),L327)*W327+SUMPRODUCT((Calc!$A$2:$A$1001=A327)*Calc!$G$2:$G$1001*(((K327-(L327+Calc!$J$2:$J$1001))&gt;0)*((K327-(L327+Calc!$J$2:$J$1001))&lt;Calc!$F$2:$F$1001)*(K327-(L327+Calc!$J$2:$J$1001))+((K327-(L327+Calc!$J$2:$J$1001))&gt;=Calc!$F$2:$F$1001)*Calc!$F$2:$F$1001))))</f>
        <v/>
      </c>
      <c r="Q327">
        <f>IF(I327=0,0,(MIN(MAX((K327+M327),0),L327)*W327+SUMPRODUCT((Calc!$A$2:$A$1001=A327)*Calc!$G$2:$G$1001*((((K327+M327)-(L327+Calc!$J$2:$J$1001))&gt;0)*(((K327+M327)-(L327+Calc!$J$2:$J$1001))&lt;Calc!$F$2:$F$1001)*((K327+M327)-(L327+Calc!$J$2:$J$1001))+(((K327+M327)-(L327+Calc!$J$2:$J$1001))&gt;=Calc!$F$2:$F$1001)*Calc!$F$2:$F$1001))))</f>
        <v/>
      </c>
      <c r="R327">
        <f>IF(I327=0,0,(MIN(MAX((K327+N327),0),L327)*W327+SUMPRODUCT((Calc!$A$2:$A$1001=A327)*Calc!$G$2:$G$1001*((((K327+N327)-(L327+Calc!$J$2:$J$1001))&gt;0)*(((K327+N327)-(L327+Calc!$J$2:$J$1001))&lt;Calc!$F$2:$F$1001)*((K327+N327)-(L327+Calc!$J$2:$J$1001))+(((K327+N327)-(L327+Calc!$J$2:$J$1001))&gt;=Calc!$F$2:$F$1001)*Calc!$F$2:$F$1001))))</f>
        <v/>
      </c>
      <c r="S327">
        <f>IF(I327=0,0,(MIN(MAX((K327+O327),0),L327)*W327+SUMPRODUCT((Calc!$A$2:$A$1001=A327)*Calc!$G$2:$G$1001*((((K327+O327)-(L327+Calc!$J$2:$J$1001))&gt;0)*(((K327+O327)-(L327+Calc!$J$2:$J$1001))&lt;Calc!$F$2:$F$1001)*((K327+O327)-(L327+Calc!$J$2:$J$1001))+(((K327+O327)-(L327+Calc!$J$2:$J$1001))&gt;=Calc!$F$2:$F$1001)*Calc!$F$2:$F$1001))))</f>
        <v/>
      </c>
      <c r="T327">
        <f>IF(AND(E327=1,B327="RETURN"),Transactions!E327*Transactions!G327,0)</f>
        <v/>
      </c>
      <c r="U327">
        <f>IF(AND(E327=1,B327="EXPENSE"),Transactions!J327,0)</f>
        <v/>
      </c>
      <c r="V327">
        <f>IF(AND(Transactions!A327&lt;&gt;"",E327=0),ROW(),"")</f>
        <v/>
      </c>
      <c r="W327">
        <f>IFERROR(VLOOKUP(A327,Opening!$A:$D,4,0),0)</f>
        <v/>
      </c>
    </row>
    <row r="328">
      <c r="A328">
        <f>IF(Transactions!D328="","",UPPER(TRIM(Transactions!D328)))</f>
        <v/>
      </c>
      <c r="B328">
        <f>IF(Transactions!C328="","",UPPER(TRIM(Transactions!C328)))</f>
        <v/>
      </c>
      <c r="C328">
        <f>IF(Transactions!B328="",0,YEAR(Transactions!B328)*100+MONTH(Transactions!B328))</f>
        <v/>
      </c>
      <c r="D328">
        <f>IF(Transactions!A328="",1,IF(COUNTIF(Transactions!$A$1:A327,Transactions!A328)&gt;0,1,0))</f>
        <v/>
      </c>
      <c r="E328">
        <f>IF(D328=1,0,IF(B328="RETURN",IF(COUNTIFS($A$1:A327,A328,$B$1:B327,"SALE",$E$1:E327,1)&gt;0,1,0),1))</f>
        <v/>
      </c>
      <c r="F328">
        <f>IF(E328=1,IF(B328="RECEIPT",Transactions!E328,IF(AND(B328="RETURN",LOWER(TRIM(Transactions!H328))="resellable"),Transactions!E328,0)),0)</f>
        <v/>
      </c>
      <c r="G328">
        <f>IF(F328&gt;0,IF(B328="RECEIPT",Transactions!F328,IF(_xlfn.MAXIFS($H$2:H328,$A$2:A328,A328)&gt;0,INDEX(Transactions!$F:$F,_xlfn.MAXIFS($H$2:H328,$A$2:A328,A328)),W328)),0)</f>
        <v/>
      </c>
      <c r="H328">
        <f>IF(AND(E328=1,B328="RECEIPT"),ROW(),0)</f>
        <v/>
      </c>
      <c r="I328">
        <f>IF(E328=1,IF(OR(B328="SALE",B328="WRITEOFF"),Transactions!E328,0),0)</f>
        <v/>
      </c>
      <c r="J328">
        <f>SUMIFS($F$1:F327,$A$1:A327,A328)</f>
        <v/>
      </c>
      <c r="K328">
        <f>SUMIFS($I$1:I327,$A$1:A327,A328)</f>
        <v/>
      </c>
      <c r="L328">
        <f>IFERROR(VLOOKUP(A328,Opening!$A:$C,3,0),0)</f>
        <v/>
      </c>
      <c r="M328">
        <f>IF(I328=0,0,MAX(0,MIN(INDEX(Month!H$2:H$13,MATCH($A328,Month!$A$2:$A$13,0))-K328,I328)))</f>
        <v/>
      </c>
      <c r="N328">
        <f>IF(I328=0,0,MAX(0,MIN(INDEX(Month!I$2:I$13,MATCH($A328,Month!$A$2:$A$13,0))-K328,I328)))</f>
        <v/>
      </c>
      <c r="O328">
        <f>IF(I328=0,0,MAX(0,MIN(INDEX(Month!J$2:J$13,MATCH($A328,Month!$A$2:$A$13,0))-K328,I328)))</f>
        <v/>
      </c>
      <c r="P328">
        <f>IF(I328=0,0,(MIN(MAX(K328,0),L328)*W328+SUMPRODUCT((Calc!$A$2:$A$1001=A328)*Calc!$G$2:$G$1001*(((K328-(L328+Calc!$J$2:$J$1001))&gt;0)*((K328-(L328+Calc!$J$2:$J$1001))&lt;Calc!$F$2:$F$1001)*(K328-(L328+Calc!$J$2:$J$1001))+((K328-(L328+Calc!$J$2:$J$1001))&gt;=Calc!$F$2:$F$1001)*Calc!$F$2:$F$1001))))</f>
        <v/>
      </c>
      <c r="Q328">
        <f>IF(I328=0,0,(MIN(MAX((K328+M328),0),L328)*W328+SUMPRODUCT((Calc!$A$2:$A$1001=A328)*Calc!$G$2:$G$1001*((((K328+M328)-(L328+Calc!$J$2:$J$1001))&gt;0)*(((K328+M328)-(L328+Calc!$J$2:$J$1001))&lt;Calc!$F$2:$F$1001)*((K328+M328)-(L328+Calc!$J$2:$J$1001))+(((K328+M328)-(L328+Calc!$J$2:$J$1001))&gt;=Calc!$F$2:$F$1001)*Calc!$F$2:$F$1001))))</f>
        <v/>
      </c>
      <c r="R328">
        <f>IF(I328=0,0,(MIN(MAX((K328+N328),0),L328)*W328+SUMPRODUCT((Calc!$A$2:$A$1001=A328)*Calc!$G$2:$G$1001*((((K328+N328)-(L328+Calc!$J$2:$J$1001))&gt;0)*(((K328+N328)-(L328+Calc!$J$2:$J$1001))&lt;Calc!$F$2:$F$1001)*((K328+N328)-(L328+Calc!$J$2:$J$1001))+(((K328+N328)-(L328+Calc!$J$2:$J$1001))&gt;=Calc!$F$2:$F$1001)*Calc!$F$2:$F$1001))))</f>
        <v/>
      </c>
      <c r="S328">
        <f>IF(I328=0,0,(MIN(MAX((K328+O328),0),L328)*W328+SUMPRODUCT((Calc!$A$2:$A$1001=A328)*Calc!$G$2:$G$1001*((((K328+O328)-(L328+Calc!$J$2:$J$1001))&gt;0)*(((K328+O328)-(L328+Calc!$J$2:$J$1001))&lt;Calc!$F$2:$F$1001)*((K328+O328)-(L328+Calc!$J$2:$J$1001))+(((K328+O328)-(L328+Calc!$J$2:$J$1001))&gt;=Calc!$F$2:$F$1001)*Calc!$F$2:$F$1001))))</f>
        <v/>
      </c>
      <c r="T328">
        <f>IF(AND(E328=1,B328="RETURN"),Transactions!E328*Transactions!G328,0)</f>
        <v/>
      </c>
      <c r="U328">
        <f>IF(AND(E328=1,B328="EXPENSE"),Transactions!J328,0)</f>
        <v/>
      </c>
      <c r="V328">
        <f>IF(AND(Transactions!A328&lt;&gt;"",E328=0),ROW(),"")</f>
        <v/>
      </c>
      <c r="W328">
        <f>IFERROR(VLOOKUP(A328,Opening!$A:$D,4,0),0)</f>
        <v/>
      </c>
    </row>
    <row r="329">
      <c r="A329">
        <f>IF(Transactions!D329="","",UPPER(TRIM(Transactions!D329)))</f>
        <v/>
      </c>
      <c r="B329">
        <f>IF(Transactions!C329="","",UPPER(TRIM(Transactions!C329)))</f>
        <v/>
      </c>
      <c r="C329">
        <f>IF(Transactions!B329="",0,YEAR(Transactions!B329)*100+MONTH(Transactions!B329))</f>
        <v/>
      </c>
      <c r="D329">
        <f>IF(Transactions!A329="",1,IF(COUNTIF(Transactions!$A$1:A328,Transactions!A329)&gt;0,1,0))</f>
        <v/>
      </c>
      <c r="E329">
        <f>IF(D329=1,0,IF(B329="RETURN",IF(COUNTIFS($A$1:A328,A329,$B$1:B328,"SALE",$E$1:E328,1)&gt;0,1,0),1))</f>
        <v/>
      </c>
      <c r="F329">
        <f>IF(E329=1,IF(B329="RECEIPT",Transactions!E329,IF(AND(B329="RETURN",LOWER(TRIM(Transactions!H329))="resellable"),Transactions!E329,0)),0)</f>
        <v/>
      </c>
      <c r="G329">
        <f>IF(F329&gt;0,IF(B329="RECEIPT",Transactions!F329,IF(_xlfn.MAXIFS($H$2:H329,$A$2:A329,A329)&gt;0,INDEX(Transactions!$F:$F,_xlfn.MAXIFS($H$2:H329,$A$2:A329,A329)),W329)),0)</f>
        <v/>
      </c>
      <c r="H329">
        <f>IF(AND(E329=1,B329="RECEIPT"),ROW(),0)</f>
        <v/>
      </c>
      <c r="I329">
        <f>IF(E329=1,IF(OR(B329="SALE",B329="WRITEOFF"),Transactions!E329,0),0)</f>
        <v/>
      </c>
      <c r="J329">
        <f>SUMIFS($F$1:F328,$A$1:A328,A329)</f>
        <v/>
      </c>
      <c r="K329">
        <f>SUMIFS($I$1:I328,$A$1:A328,A329)</f>
        <v/>
      </c>
      <c r="L329">
        <f>IFERROR(VLOOKUP(A329,Opening!$A:$C,3,0),0)</f>
        <v/>
      </c>
      <c r="M329">
        <f>IF(I329=0,0,MAX(0,MIN(INDEX(Month!H$2:H$13,MATCH($A329,Month!$A$2:$A$13,0))-K329,I329)))</f>
        <v/>
      </c>
      <c r="N329">
        <f>IF(I329=0,0,MAX(0,MIN(INDEX(Month!I$2:I$13,MATCH($A329,Month!$A$2:$A$13,0))-K329,I329)))</f>
        <v/>
      </c>
      <c r="O329">
        <f>IF(I329=0,0,MAX(0,MIN(INDEX(Month!J$2:J$13,MATCH($A329,Month!$A$2:$A$13,0))-K329,I329)))</f>
        <v/>
      </c>
      <c r="P329">
        <f>IF(I329=0,0,(MIN(MAX(K329,0),L329)*W329+SUMPRODUCT((Calc!$A$2:$A$1001=A329)*Calc!$G$2:$G$1001*(((K329-(L329+Calc!$J$2:$J$1001))&gt;0)*((K329-(L329+Calc!$J$2:$J$1001))&lt;Calc!$F$2:$F$1001)*(K329-(L329+Calc!$J$2:$J$1001))+((K329-(L329+Calc!$J$2:$J$1001))&gt;=Calc!$F$2:$F$1001)*Calc!$F$2:$F$1001))))</f>
        <v/>
      </c>
      <c r="Q329">
        <f>IF(I329=0,0,(MIN(MAX((K329+M329),0),L329)*W329+SUMPRODUCT((Calc!$A$2:$A$1001=A329)*Calc!$G$2:$G$1001*((((K329+M329)-(L329+Calc!$J$2:$J$1001))&gt;0)*(((K329+M329)-(L329+Calc!$J$2:$J$1001))&lt;Calc!$F$2:$F$1001)*((K329+M329)-(L329+Calc!$J$2:$J$1001))+(((K329+M329)-(L329+Calc!$J$2:$J$1001))&gt;=Calc!$F$2:$F$1001)*Calc!$F$2:$F$1001))))</f>
        <v/>
      </c>
      <c r="R329">
        <f>IF(I329=0,0,(MIN(MAX((K329+N329),0),L329)*W329+SUMPRODUCT((Calc!$A$2:$A$1001=A329)*Calc!$G$2:$G$1001*((((K329+N329)-(L329+Calc!$J$2:$J$1001))&gt;0)*(((K329+N329)-(L329+Calc!$J$2:$J$1001))&lt;Calc!$F$2:$F$1001)*((K329+N329)-(L329+Calc!$J$2:$J$1001))+(((K329+N329)-(L329+Calc!$J$2:$J$1001))&gt;=Calc!$F$2:$F$1001)*Calc!$F$2:$F$1001))))</f>
        <v/>
      </c>
      <c r="S329">
        <f>IF(I329=0,0,(MIN(MAX((K329+O329),0),L329)*W329+SUMPRODUCT((Calc!$A$2:$A$1001=A329)*Calc!$G$2:$G$1001*((((K329+O329)-(L329+Calc!$J$2:$J$1001))&gt;0)*(((K329+O329)-(L329+Calc!$J$2:$J$1001))&lt;Calc!$F$2:$F$1001)*((K329+O329)-(L329+Calc!$J$2:$J$1001))+(((K329+O329)-(L329+Calc!$J$2:$J$1001))&gt;=Calc!$F$2:$F$1001)*Calc!$F$2:$F$1001))))</f>
        <v/>
      </c>
      <c r="T329">
        <f>IF(AND(E329=1,B329="RETURN"),Transactions!E329*Transactions!G329,0)</f>
        <v/>
      </c>
      <c r="U329">
        <f>IF(AND(E329=1,B329="EXPENSE"),Transactions!J329,0)</f>
        <v/>
      </c>
      <c r="V329">
        <f>IF(AND(Transactions!A329&lt;&gt;"",E329=0),ROW(),"")</f>
        <v/>
      </c>
      <c r="W329">
        <f>IFERROR(VLOOKUP(A329,Opening!$A:$D,4,0),0)</f>
        <v/>
      </c>
    </row>
    <row r="330">
      <c r="A330">
        <f>IF(Transactions!D330="","",UPPER(TRIM(Transactions!D330)))</f>
        <v/>
      </c>
      <c r="B330">
        <f>IF(Transactions!C330="","",UPPER(TRIM(Transactions!C330)))</f>
        <v/>
      </c>
      <c r="C330">
        <f>IF(Transactions!B330="",0,YEAR(Transactions!B330)*100+MONTH(Transactions!B330))</f>
        <v/>
      </c>
      <c r="D330">
        <f>IF(Transactions!A330="",1,IF(COUNTIF(Transactions!$A$1:A329,Transactions!A330)&gt;0,1,0))</f>
        <v/>
      </c>
      <c r="E330">
        <f>IF(D330=1,0,IF(B330="RETURN",IF(COUNTIFS($A$1:A329,A330,$B$1:B329,"SALE",$E$1:E329,1)&gt;0,1,0),1))</f>
        <v/>
      </c>
      <c r="F330">
        <f>IF(E330=1,IF(B330="RECEIPT",Transactions!E330,IF(AND(B330="RETURN",LOWER(TRIM(Transactions!H330))="resellable"),Transactions!E330,0)),0)</f>
        <v/>
      </c>
      <c r="G330">
        <f>IF(F330&gt;0,IF(B330="RECEIPT",Transactions!F330,IF(_xlfn.MAXIFS($H$2:H330,$A$2:A330,A330)&gt;0,INDEX(Transactions!$F:$F,_xlfn.MAXIFS($H$2:H330,$A$2:A330,A330)),W330)),0)</f>
        <v/>
      </c>
      <c r="H330">
        <f>IF(AND(E330=1,B330="RECEIPT"),ROW(),0)</f>
        <v/>
      </c>
      <c r="I330">
        <f>IF(E330=1,IF(OR(B330="SALE",B330="WRITEOFF"),Transactions!E330,0),0)</f>
        <v/>
      </c>
      <c r="J330">
        <f>SUMIFS($F$1:F329,$A$1:A329,A330)</f>
        <v/>
      </c>
      <c r="K330">
        <f>SUMIFS($I$1:I329,$A$1:A329,A330)</f>
        <v/>
      </c>
      <c r="L330">
        <f>IFERROR(VLOOKUP(A330,Opening!$A:$C,3,0),0)</f>
        <v/>
      </c>
      <c r="M330">
        <f>IF(I330=0,0,MAX(0,MIN(INDEX(Month!H$2:H$13,MATCH($A330,Month!$A$2:$A$13,0))-K330,I330)))</f>
        <v/>
      </c>
      <c r="N330">
        <f>IF(I330=0,0,MAX(0,MIN(INDEX(Month!I$2:I$13,MATCH($A330,Month!$A$2:$A$13,0))-K330,I330)))</f>
        <v/>
      </c>
      <c r="O330">
        <f>IF(I330=0,0,MAX(0,MIN(INDEX(Month!J$2:J$13,MATCH($A330,Month!$A$2:$A$13,0))-K330,I330)))</f>
        <v/>
      </c>
      <c r="P330">
        <f>IF(I330=0,0,(MIN(MAX(K330,0),L330)*W330+SUMPRODUCT((Calc!$A$2:$A$1001=A330)*Calc!$G$2:$G$1001*(((K330-(L330+Calc!$J$2:$J$1001))&gt;0)*((K330-(L330+Calc!$J$2:$J$1001))&lt;Calc!$F$2:$F$1001)*(K330-(L330+Calc!$J$2:$J$1001))+((K330-(L330+Calc!$J$2:$J$1001))&gt;=Calc!$F$2:$F$1001)*Calc!$F$2:$F$1001))))</f>
        <v/>
      </c>
      <c r="Q330">
        <f>IF(I330=0,0,(MIN(MAX((K330+M330),0),L330)*W330+SUMPRODUCT((Calc!$A$2:$A$1001=A330)*Calc!$G$2:$G$1001*((((K330+M330)-(L330+Calc!$J$2:$J$1001))&gt;0)*(((K330+M330)-(L330+Calc!$J$2:$J$1001))&lt;Calc!$F$2:$F$1001)*((K330+M330)-(L330+Calc!$J$2:$J$1001))+(((K330+M330)-(L330+Calc!$J$2:$J$1001))&gt;=Calc!$F$2:$F$1001)*Calc!$F$2:$F$1001))))</f>
        <v/>
      </c>
      <c r="R330">
        <f>IF(I330=0,0,(MIN(MAX((K330+N330),0),L330)*W330+SUMPRODUCT((Calc!$A$2:$A$1001=A330)*Calc!$G$2:$G$1001*((((K330+N330)-(L330+Calc!$J$2:$J$1001))&gt;0)*(((K330+N330)-(L330+Calc!$J$2:$J$1001))&lt;Calc!$F$2:$F$1001)*((K330+N330)-(L330+Calc!$J$2:$J$1001))+(((K330+N330)-(L330+Calc!$J$2:$J$1001))&gt;=Calc!$F$2:$F$1001)*Calc!$F$2:$F$1001))))</f>
        <v/>
      </c>
      <c r="S330">
        <f>IF(I330=0,0,(MIN(MAX((K330+O330),0),L330)*W330+SUMPRODUCT((Calc!$A$2:$A$1001=A330)*Calc!$G$2:$G$1001*((((K330+O330)-(L330+Calc!$J$2:$J$1001))&gt;0)*(((K330+O330)-(L330+Calc!$J$2:$J$1001))&lt;Calc!$F$2:$F$1001)*((K330+O330)-(L330+Calc!$J$2:$J$1001))+(((K330+O330)-(L330+Calc!$J$2:$J$1001))&gt;=Calc!$F$2:$F$1001)*Calc!$F$2:$F$1001))))</f>
        <v/>
      </c>
      <c r="T330">
        <f>IF(AND(E330=1,B330="RETURN"),Transactions!E330*Transactions!G330,0)</f>
        <v/>
      </c>
      <c r="U330">
        <f>IF(AND(E330=1,B330="EXPENSE"),Transactions!J330,0)</f>
        <v/>
      </c>
      <c r="V330">
        <f>IF(AND(Transactions!A330&lt;&gt;"",E330=0),ROW(),"")</f>
        <v/>
      </c>
      <c r="W330">
        <f>IFERROR(VLOOKUP(A330,Opening!$A:$D,4,0),0)</f>
        <v/>
      </c>
    </row>
    <row r="331">
      <c r="A331">
        <f>IF(Transactions!D331="","",UPPER(TRIM(Transactions!D331)))</f>
        <v/>
      </c>
      <c r="B331">
        <f>IF(Transactions!C331="","",UPPER(TRIM(Transactions!C331)))</f>
        <v/>
      </c>
      <c r="C331">
        <f>IF(Transactions!B331="",0,YEAR(Transactions!B331)*100+MONTH(Transactions!B331))</f>
        <v/>
      </c>
      <c r="D331">
        <f>IF(Transactions!A331="",1,IF(COUNTIF(Transactions!$A$1:A330,Transactions!A331)&gt;0,1,0))</f>
        <v/>
      </c>
      <c r="E331">
        <f>IF(D331=1,0,IF(B331="RETURN",IF(COUNTIFS($A$1:A330,A331,$B$1:B330,"SALE",$E$1:E330,1)&gt;0,1,0),1))</f>
        <v/>
      </c>
      <c r="F331">
        <f>IF(E331=1,IF(B331="RECEIPT",Transactions!E331,IF(AND(B331="RETURN",LOWER(TRIM(Transactions!H331))="resellable"),Transactions!E331,0)),0)</f>
        <v/>
      </c>
      <c r="G331">
        <f>IF(F331&gt;0,IF(B331="RECEIPT",Transactions!F331,IF(_xlfn.MAXIFS($H$2:H331,$A$2:A331,A331)&gt;0,INDEX(Transactions!$F:$F,_xlfn.MAXIFS($H$2:H331,$A$2:A331,A331)),W331)),0)</f>
        <v/>
      </c>
      <c r="H331">
        <f>IF(AND(E331=1,B331="RECEIPT"),ROW(),0)</f>
        <v/>
      </c>
      <c r="I331">
        <f>IF(E331=1,IF(OR(B331="SALE",B331="WRITEOFF"),Transactions!E331,0),0)</f>
        <v/>
      </c>
      <c r="J331">
        <f>SUMIFS($F$1:F330,$A$1:A330,A331)</f>
        <v/>
      </c>
      <c r="K331">
        <f>SUMIFS($I$1:I330,$A$1:A330,A331)</f>
        <v/>
      </c>
      <c r="L331">
        <f>IFERROR(VLOOKUP(A331,Opening!$A:$C,3,0),0)</f>
        <v/>
      </c>
      <c r="M331">
        <f>IF(I331=0,0,MAX(0,MIN(INDEX(Month!H$2:H$13,MATCH($A331,Month!$A$2:$A$13,0))-K331,I331)))</f>
        <v/>
      </c>
      <c r="N331">
        <f>IF(I331=0,0,MAX(0,MIN(INDEX(Month!I$2:I$13,MATCH($A331,Month!$A$2:$A$13,0))-K331,I331)))</f>
        <v/>
      </c>
      <c r="O331">
        <f>IF(I331=0,0,MAX(0,MIN(INDEX(Month!J$2:J$13,MATCH($A331,Month!$A$2:$A$13,0))-K331,I331)))</f>
        <v/>
      </c>
      <c r="P331">
        <f>IF(I331=0,0,(MIN(MAX(K331,0),L331)*W331+SUMPRODUCT((Calc!$A$2:$A$1001=A331)*Calc!$G$2:$G$1001*(((K331-(L331+Calc!$J$2:$J$1001))&gt;0)*((K331-(L331+Calc!$J$2:$J$1001))&lt;Calc!$F$2:$F$1001)*(K331-(L331+Calc!$J$2:$J$1001))+((K331-(L331+Calc!$J$2:$J$1001))&gt;=Calc!$F$2:$F$1001)*Calc!$F$2:$F$1001))))</f>
        <v/>
      </c>
      <c r="Q331">
        <f>IF(I331=0,0,(MIN(MAX((K331+M331),0),L331)*W331+SUMPRODUCT((Calc!$A$2:$A$1001=A331)*Calc!$G$2:$G$1001*((((K331+M331)-(L331+Calc!$J$2:$J$1001))&gt;0)*(((K331+M331)-(L331+Calc!$J$2:$J$1001))&lt;Calc!$F$2:$F$1001)*((K331+M331)-(L331+Calc!$J$2:$J$1001))+(((K331+M331)-(L331+Calc!$J$2:$J$1001))&gt;=Calc!$F$2:$F$1001)*Calc!$F$2:$F$1001))))</f>
        <v/>
      </c>
      <c r="R331">
        <f>IF(I331=0,0,(MIN(MAX((K331+N331),0),L331)*W331+SUMPRODUCT((Calc!$A$2:$A$1001=A331)*Calc!$G$2:$G$1001*((((K331+N331)-(L331+Calc!$J$2:$J$1001))&gt;0)*(((K331+N331)-(L331+Calc!$J$2:$J$1001))&lt;Calc!$F$2:$F$1001)*((K331+N331)-(L331+Calc!$J$2:$J$1001))+(((K331+N331)-(L331+Calc!$J$2:$J$1001))&gt;=Calc!$F$2:$F$1001)*Calc!$F$2:$F$1001))))</f>
        <v/>
      </c>
      <c r="S331">
        <f>IF(I331=0,0,(MIN(MAX((K331+O331),0),L331)*W331+SUMPRODUCT((Calc!$A$2:$A$1001=A331)*Calc!$G$2:$G$1001*((((K331+O331)-(L331+Calc!$J$2:$J$1001))&gt;0)*(((K331+O331)-(L331+Calc!$J$2:$J$1001))&lt;Calc!$F$2:$F$1001)*((K331+O331)-(L331+Calc!$J$2:$J$1001))+(((K331+O331)-(L331+Calc!$J$2:$J$1001))&gt;=Calc!$F$2:$F$1001)*Calc!$F$2:$F$1001))))</f>
        <v/>
      </c>
      <c r="T331">
        <f>IF(AND(E331=1,B331="RETURN"),Transactions!E331*Transactions!G331,0)</f>
        <v/>
      </c>
      <c r="U331">
        <f>IF(AND(E331=1,B331="EXPENSE"),Transactions!J331,0)</f>
        <v/>
      </c>
      <c r="V331">
        <f>IF(AND(Transactions!A331&lt;&gt;"",E331=0),ROW(),"")</f>
        <v/>
      </c>
      <c r="W331">
        <f>IFERROR(VLOOKUP(A331,Opening!$A:$D,4,0),0)</f>
        <v/>
      </c>
    </row>
    <row r="332">
      <c r="A332">
        <f>IF(Transactions!D332="","",UPPER(TRIM(Transactions!D332)))</f>
        <v/>
      </c>
      <c r="B332">
        <f>IF(Transactions!C332="","",UPPER(TRIM(Transactions!C332)))</f>
        <v/>
      </c>
      <c r="C332">
        <f>IF(Transactions!B332="",0,YEAR(Transactions!B332)*100+MONTH(Transactions!B332))</f>
        <v/>
      </c>
      <c r="D332">
        <f>IF(Transactions!A332="",1,IF(COUNTIF(Transactions!$A$1:A331,Transactions!A332)&gt;0,1,0))</f>
        <v/>
      </c>
      <c r="E332">
        <f>IF(D332=1,0,IF(B332="RETURN",IF(COUNTIFS($A$1:A331,A332,$B$1:B331,"SALE",$E$1:E331,1)&gt;0,1,0),1))</f>
        <v/>
      </c>
      <c r="F332">
        <f>IF(E332=1,IF(B332="RECEIPT",Transactions!E332,IF(AND(B332="RETURN",LOWER(TRIM(Transactions!H332))="resellable"),Transactions!E332,0)),0)</f>
        <v/>
      </c>
      <c r="G332">
        <f>IF(F332&gt;0,IF(B332="RECEIPT",Transactions!F332,IF(_xlfn.MAXIFS($H$2:H332,$A$2:A332,A332)&gt;0,INDEX(Transactions!$F:$F,_xlfn.MAXIFS($H$2:H332,$A$2:A332,A332)),W332)),0)</f>
        <v/>
      </c>
      <c r="H332">
        <f>IF(AND(E332=1,B332="RECEIPT"),ROW(),0)</f>
        <v/>
      </c>
      <c r="I332">
        <f>IF(E332=1,IF(OR(B332="SALE",B332="WRITEOFF"),Transactions!E332,0),0)</f>
        <v/>
      </c>
      <c r="J332">
        <f>SUMIFS($F$1:F331,$A$1:A331,A332)</f>
        <v/>
      </c>
      <c r="K332">
        <f>SUMIFS($I$1:I331,$A$1:A331,A332)</f>
        <v/>
      </c>
      <c r="L332">
        <f>IFERROR(VLOOKUP(A332,Opening!$A:$C,3,0),0)</f>
        <v/>
      </c>
      <c r="M332">
        <f>IF(I332=0,0,MAX(0,MIN(INDEX(Month!H$2:H$13,MATCH($A332,Month!$A$2:$A$13,0))-K332,I332)))</f>
        <v/>
      </c>
      <c r="N332">
        <f>IF(I332=0,0,MAX(0,MIN(INDEX(Month!I$2:I$13,MATCH($A332,Month!$A$2:$A$13,0))-K332,I332)))</f>
        <v/>
      </c>
      <c r="O332">
        <f>IF(I332=0,0,MAX(0,MIN(INDEX(Month!J$2:J$13,MATCH($A332,Month!$A$2:$A$13,0))-K332,I332)))</f>
        <v/>
      </c>
      <c r="P332">
        <f>IF(I332=0,0,(MIN(MAX(K332,0),L332)*W332+SUMPRODUCT((Calc!$A$2:$A$1001=A332)*Calc!$G$2:$G$1001*(((K332-(L332+Calc!$J$2:$J$1001))&gt;0)*((K332-(L332+Calc!$J$2:$J$1001))&lt;Calc!$F$2:$F$1001)*(K332-(L332+Calc!$J$2:$J$1001))+((K332-(L332+Calc!$J$2:$J$1001))&gt;=Calc!$F$2:$F$1001)*Calc!$F$2:$F$1001))))</f>
        <v/>
      </c>
      <c r="Q332">
        <f>IF(I332=0,0,(MIN(MAX((K332+M332),0),L332)*W332+SUMPRODUCT((Calc!$A$2:$A$1001=A332)*Calc!$G$2:$G$1001*((((K332+M332)-(L332+Calc!$J$2:$J$1001))&gt;0)*(((K332+M332)-(L332+Calc!$J$2:$J$1001))&lt;Calc!$F$2:$F$1001)*((K332+M332)-(L332+Calc!$J$2:$J$1001))+(((K332+M332)-(L332+Calc!$J$2:$J$1001))&gt;=Calc!$F$2:$F$1001)*Calc!$F$2:$F$1001))))</f>
        <v/>
      </c>
      <c r="R332">
        <f>IF(I332=0,0,(MIN(MAX((K332+N332),0),L332)*W332+SUMPRODUCT((Calc!$A$2:$A$1001=A332)*Calc!$G$2:$G$1001*((((K332+N332)-(L332+Calc!$J$2:$J$1001))&gt;0)*(((K332+N332)-(L332+Calc!$J$2:$J$1001))&lt;Calc!$F$2:$F$1001)*((K332+N332)-(L332+Calc!$J$2:$J$1001))+(((K332+N332)-(L332+Calc!$J$2:$J$1001))&gt;=Calc!$F$2:$F$1001)*Calc!$F$2:$F$1001))))</f>
        <v/>
      </c>
      <c r="S332">
        <f>IF(I332=0,0,(MIN(MAX((K332+O332),0),L332)*W332+SUMPRODUCT((Calc!$A$2:$A$1001=A332)*Calc!$G$2:$G$1001*((((K332+O332)-(L332+Calc!$J$2:$J$1001))&gt;0)*(((K332+O332)-(L332+Calc!$J$2:$J$1001))&lt;Calc!$F$2:$F$1001)*((K332+O332)-(L332+Calc!$J$2:$J$1001))+(((K332+O332)-(L332+Calc!$J$2:$J$1001))&gt;=Calc!$F$2:$F$1001)*Calc!$F$2:$F$1001))))</f>
        <v/>
      </c>
      <c r="T332">
        <f>IF(AND(E332=1,B332="RETURN"),Transactions!E332*Transactions!G332,0)</f>
        <v/>
      </c>
      <c r="U332">
        <f>IF(AND(E332=1,B332="EXPENSE"),Transactions!J332,0)</f>
        <v/>
      </c>
      <c r="V332">
        <f>IF(AND(Transactions!A332&lt;&gt;"",E332=0),ROW(),"")</f>
        <v/>
      </c>
      <c r="W332">
        <f>IFERROR(VLOOKUP(A332,Opening!$A:$D,4,0),0)</f>
        <v/>
      </c>
    </row>
    <row r="333">
      <c r="A333">
        <f>IF(Transactions!D333="","",UPPER(TRIM(Transactions!D333)))</f>
        <v/>
      </c>
      <c r="B333">
        <f>IF(Transactions!C333="","",UPPER(TRIM(Transactions!C333)))</f>
        <v/>
      </c>
      <c r="C333">
        <f>IF(Transactions!B333="",0,YEAR(Transactions!B333)*100+MONTH(Transactions!B333))</f>
        <v/>
      </c>
      <c r="D333">
        <f>IF(Transactions!A333="",1,IF(COUNTIF(Transactions!$A$1:A332,Transactions!A333)&gt;0,1,0))</f>
        <v/>
      </c>
      <c r="E333">
        <f>IF(D333=1,0,IF(B333="RETURN",IF(COUNTIFS($A$1:A332,A333,$B$1:B332,"SALE",$E$1:E332,1)&gt;0,1,0),1))</f>
        <v/>
      </c>
      <c r="F333">
        <f>IF(E333=1,IF(B333="RECEIPT",Transactions!E333,IF(AND(B333="RETURN",LOWER(TRIM(Transactions!H333))="resellable"),Transactions!E333,0)),0)</f>
        <v/>
      </c>
      <c r="G333">
        <f>IF(F333&gt;0,IF(B333="RECEIPT",Transactions!F333,IF(_xlfn.MAXIFS($H$2:H333,$A$2:A333,A333)&gt;0,INDEX(Transactions!$F:$F,_xlfn.MAXIFS($H$2:H333,$A$2:A333,A333)),W333)),0)</f>
        <v/>
      </c>
      <c r="H333">
        <f>IF(AND(E333=1,B333="RECEIPT"),ROW(),0)</f>
        <v/>
      </c>
      <c r="I333">
        <f>IF(E333=1,IF(OR(B333="SALE",B333="WRITEOFF"),Transactions!E333,0),0)</f>
        <v/>
      </c>
      <c r="J333">
        <f>SUMIFS($F$1:F332,$A$1:A332,A333)</f>
        <v/>
      </c>
      <c r="K333">
        <f>SUMIFS($I$1:I332,$A$1:A332,A333)</f>
        <v/>
      </c>
      <c r="L333">
        <f>IFERROR(VLOOKUP(A333,Opening!$A:$C,3,0),0)</f>
        <v/>
      </c>
      <c r="M333">
        <f>IF(I333=0,0,MAX(0,MIN(INDEX(Month!H$2:H$13,MATCH($A333,Month!$A$2:$A$13,0))-K333,I333)))</f>
        <v/>
      </c>
      <c r="N333">
        <f>IF(I333=0,0,MAX(0,MIN(INDEX(Month!I$2:I$13,MATCH($A333,Month!$A$2:$A$13,0))-K333,I333)))</f>
        <v/>
      </c>
      <c r="O333">
        <f>IF(I333=0,0,MAX(0,MIN(INDEX(Month!J$2:J$13,MATCH($A333,Month!$A$2:$A$13,0))-K333,I333)))</f>
        <v/>
      </c>
      <c r="P333">
        <f>IF(I333=0,0,(MIN(MAX(K333,0),L333)*W333+SUMPRODUCT((Calc!$A$2:$A$1001=A333)*Calc!$G$2:$G$1001*(((K333-(L333+Calc!$J$2:$J$1001))&gt;0)*((K333-(L333+Calc!$J$2:$J$1001))&lt;Calc!$F$2:$F$1001)*(K333-(L333+Calc!$J$2:$J$1001))+((K333-(L333+Calc!$J$2:$J$1001))&gt;=Calc!$F$2:$F$1001)*Calc!$F$2:$F$1001))))</f>
        <v/>
      </c>
      <c r="Q333">
        <f>IF(I333=0,0,(MIN(MAX((K333+M333),0),L333)*W333+SUMPRODUCT((Calc!$A$2:$A$1001=A333)*Calc!$G$2:$G$1001*((((K333+M333)-(L333+Calc!$J$2:$J$1001))&gt;0)*(((K333+M333)-(L333+Calc!$J$2:$J$1001))&lt;Calc!$F$2:$F$1001)*((K333+M333)-(L333+Calc!$J$2:$J$1001))+(((K333+M333)-(L333+Calc!$J$2:$J$1001))&gt;=Calc!$F$2:$F$1001)*Calc!$F$2:$F$1001))))</f>
        <v/>
      </c>
      <c r="R333">
        <f>IF(I333=0,0,(MIN(MAX((K333+N333),0),L333)*W333+SUMPRODUCT((Calc!$A$2:$A$1001=A333)*Calc!$G$2:$G$1001*((((K333+N333)-(L333+Calc!$J$2:$J$1001))&gt;0)*(((K333+N333)-(L333+Calc!$J$2:$J$1001))&lt;Calc!$F$2:$F$1001)*((K333+N333)-(L333+Calc!$J$2:$J$1001))+(((K333+N333)-(L333+Calc!$J$2:$J$1001))&gt;=Calc!$F$2:$F$1001)*Calc!$F$2:$F$1001))))</f>
        <v/>
      </c>
      <c r="S333">
        <f>IF(I333=0,0,(MIN(MAX((K333+O333),0),L333)*W333+SUMPRODUCT((Calc!$A$2:$A$1001=A333)*Calc!$G$2:$G$1001*((((K333+O333)-(L333+Calc!$J$2:$J$1001))&gt;0)*(((K333+O333)-(L333+Calc!$J$2:$J$1001))&lt;Calc!$F$2:$F$1001)*((K333+O333)-(L333+Calc!$J$2:$J$1001))+(((K333+O333)-(L333+Calc!$J$2:$J$1001))&gt;=Calc!$F$2:$F$1001)*Calc!$F$2:$F$1001))))</f>
        <v/>
      </c>
      <c r="T333">
        <f>IF(AND(E333=1,B333="RETURN"),Transactions!E333*Transactions!G333,0)</f>
        <v/>
      </c>
      <c r="U333">
        <f>IF(AND(E333=1,B333="EXPENSE"),Transactions!J333,0)</f>
        <v/>
      </c>
      <c r="V333">
        <f>IF(AND(Transactions!A333&lt;&gt;"",E333=0),ROW(),"")</f>
        <v/>
      </c>
      <c r="W333">
        <f>IFERROR(VLOOKUP(A333,Opening!$A:$D,4,0),0)</f>
        <v/>
      </c>
    </row>
    <row r="334">
      <c r="A334">
        <f>IF(Transactions!D334="","",UPPER(TRIM(Transactions!D334)))</f>
        <v/>
      </c>
      <c r="B334">
        <f>IF(Transactions!C334="","",UPPER(TRIM(Transactions!C334)))</f>
        <v/>
      </c>
      <c r="C334">
        <f>IF(Transactions!B334="",0,YEAR(Transactions!B334)*100+MONTH(Transactions!B334))</f>
        <v/>
      </c>
      <c r="D334">
        <f>IF(Transactions!A334="",1,IF(COUNTIF(Transactions!$A$1:A333,Transactions!A334)&gt;0,1,0))</f>
        <v/>
      </c>
      <c r="E334">
        <f>IF(D334=1,0,IF(B334="RETURN",IF(COUNTIFS($A$1:A333,A334,$B$1:B333,"SALE",$E$1:E333,1)&gt;0,1,0),1))</f>
        <v/>
      </c>
      <c r="F334">
        <f>IF(E334=1,IF(B334="RECEIPT",Transactions!E334,IF(AND(B334="RETURN",LOWER(TRIM(Transactions!H334))="resellable"),Transactions!E334,0)),0)</f>
        <v/>
      </c>
      <c r="G334">
        <f>IF(F334&gt;0,IF(B334="RECEIPT",Transactions!F334,IF(_xlfn.MAXIFS($H$2:H334,$A$2:A334,A334)&gt;0,INDEX(Transactions!$F:$F,_xlfn.MAXIFS($H$2:H334,$A$2:A334,A334)),W334)),0)</f>
        <v/>
      </c>
      <c r="H334">
        <f>IF(AND(E334=1,B334="RECEIPT"),ROW(),0)</f>
        <v/>
      </c>
      <c r="I334">
        <f>IF(E334=1,IF(OR(B334="SALE",B334="WRITEOFF"),Transactions!E334,0),0)</f>
        <v/>
      </c>
      <c r="J334">
        <f>SUMIFS($F$1:F333,$A$1:A333,A334)</f>
        <v/>
      </c>
      <c r="K334">
        <f>SUMIFS($I$1:I333,$A$1:A333,A334)</f>
        <v/>
      </c>
      <c r="L334">
        <f>IFERROR(VLOOKUP(A334,Opening!$A:$C,3,0),0)</f>
        <v/>
      </c>
      <c r="M334">
        <f>IF(I334=0,0,MAX(0,MIN(INDEX(Month!H$2:H$13,MATCH($A334,Month!$A$2:$A$13,0))-K334,I334)))</f>
        <v/>
      </c>
      <c r="N334">
        <f>IF(I334=0,0,MAX(0,MIN(INDEX(Month!I$2:I$13,MATCH($A334,Month!$A$2:$A$13,0))-K334,I334)))</f>
        <v/>
      </c>
      <c r="O334">
        <f>IF(I334=0,0,MAX(0,MIN(INDEX(Month!J$2:J$13,MATCH($A334,Month!$A$2:$A$13,0))-K334,I334)))</f>
        <v/>
      </c>
      <c r="P334">
        <f>IF(I334=0,0,(MIN(MAX(K334,0),L334)*W334+SUMPRODUCT((Calc!$A$2:$A$1001=A334)*Calc!$G$2:$G$1001*(((K334-(L334+Calc!$J$2:$J$1001))&gt;0)*((K334-(L334+Calc!$J$2:$J$1001))&lt;Calc!$F$2:$F$1001)*(K334-(L334+Calc!$J$2:$J$1001))+((K334-(L334+Calc!$J$2:$J$1001))&gt;=Calc!$F$2:$F$1001)*Calc!$F$2:$F$1001))))</f>
        <v/>
      </c>
      <c r="Q334">
        <f>IF(I334=0,0,(MIN(MAX((K334+M334),0),L334)*W334+SUMPRODUCT((Calc!$A$2:$A$1001=A334)*Calc!$G$2:$G$1001*((((K334+M334)-(L334+Calc!$J$2:$J$1001))&gt;0)*(((K334+M334)-(L334+Calc!$J$2:$J$1001))&lt;Calc!$F$2:$F$1001)*((K334+M334)-(L334+Calc!$J$2:$J$1001))+(((K334+M334)-(L334+Calc!$J$2:$J$1001))&gt;=Calc!$F$2:$F$1001)*Calc!$F$2:$F$1001))))</f>
        <v/>
      </c>
      <c r="R334">
        <f>IF(I334=0,0,(MIN(MAX((K334+N334),0),L334)*W334+SUMPRODUCT((Calc!$A$2:$A$1001=A334)*Calc!$G$2:$G$1001*((((K334+N334)-(L334+Calc!$J$2:$J$1001))&gt;0)*(((K334+N334)-(L334+Calc!$J$2:$J$1001))&lt;Calc!$F$2:$F$1001)*((K334+N334)-(L334+Calc!$J$2:$J$1001))+(((K334+N334)-(L334+Calc!$J$2:$J$1001))&gt;=Calc!$F$2:$F$1001)*Calc!$F$2:$F$1001))))</f>
        <v/>
      </c>
      <c r="S334">
        <f>IF(I334=0,0,(MIN(MAX((K334+O334),0),L334)*W334+SUMPRODUCT((Calc!$A$2:$A$1001=A334)*Calc!$G$2:$G$1001*((((K334+O334)-(L334+Calc!$J$2:$J$1001))&gt;0)*(((K334+O334)-(L334+Calc!$J$2:$J$1001))&lt;Calc!$F$2:$F$1001)*((K334+O334)-(L334+Calc!$J$2:$J$1001))+(((K334+O334)-(L334+Calc!$J$2:$J$1001))&gt;=Calc!$F$2:$F$1001)*Calc!$F$2:$F$1001))))</f>
        <v/>
      </c>
      <c r="T334">
        <f>IF(AND(E334=1,B334="RETURN"),Transactions!E334*Transactions!G334,0)</f>
        <v/>
      </c>
      <c r="U334">
        <f>IF(AND(E334=1,B334="EXPENSE"),Transactions!J334,0)</f>
        <v/>
      </c>
      <c r="V334">
        <f>IF(AND(Transactions!A334&lt;&gt;"",E334=0),ROW(),"")</f>
        <v/>
      </c>
      <c r="W334">
        <f>IFERROR(VLOOKUP(A334,Opening!$A:$D,4,0),0)</f>
        <v/>
      </c>
    </row>
    <row r="335">
      <c r="A335">
        <f>IF(Transactions!D335="","",UPPER(TRIM(Transactions!D335)))</f>
        <v/>
      </c>
      <c r="B335">
        <f>IF(Transactions!C335="","",UPPER(TRIM(Transactions!C335)))</f>
        <v/>
      </c>
      <c r="C335">
        <f>IF(Transactions!B335="",0,YEAR(Transactions!B335)*100+MONTH(Transactions!B335))</f>
        <v/>
      </c>
      <c r="D335">
        <f>IF(Transactions!A335="",1,IF(COUNTIF(Transactions!$A$1:A334,Transactions!A335)&gt;0,1,0))</f>
        <v/>
      </c>
      <c r="E335">
        <f>IF(D335=1,0,IF(B335="RETURN",IF(COUNTIFS($A$1:A334,A335,$B$1:B334,"SALE",$E$1:E334,1)&gt;0,1,0),1))</f>
        <v/>
      </c>
      <c r="F335">
        <f>IF(E335=1,IF(B335="RECEIPT",Transactions!E335,IF(AND(B335="RETURN",LOWER(TRIM(Transactions!H335))="resellable"),Transactions!E335,0)),0)</f>
        <v/>
      </c>
      <c r="G335">
        <f>IF(F335&gt;0,IF(B335="RECEIPT",Transactions!F335,IF(_xlfn.MAXIFS($H$2:H335,$A$2:A335,A335)&gt;0,INDEX(Transactions!$F:$F,_xlfn.MAXIFS($H$2:H335,$A$2:A335,A335)),W335)),0)</f>
        <v/>
      </c>
      <c r="H335">
        <f>IF(AND(E335=1,B335="RECEIPT"),ROW(),0)</f>
        <v/>
      </c>
      <c r="I335">
        <f>IF(E335=1,IF(OR(B335="SALE",B335="WRITEOFF"),Transactions!E335,0),0)</f>
        <v/>
      </c>
      <c r="J335">
        <f>SUMIFS($F$1:F334,$A$1:A334,A335)</f>
        <v/>
      </c>
      <c r="K335">
        <f>SUMIFS($I$1:I334,$A$1:A334,A335)</f>
        <v/>
      </c>
      <c r="L335">
        <f>IFERROR(VLOOKUP(A335,Opening!$A:$C,3,0),0)</f>
        <v/>
      </c>
      <c r="M335">
        <f>IF(I335=0,0,MAX(0,MIN(INDEX(Month!H$2:H$13,MATCH($A335,Month!$A$2:$A$13,0))-K335,I335)))</f>
        <v/>
      </c>
      <c r="N335">
        <f>IF(I335=0,0,MAX(0,MIN(INDEX(Month!I$2:I$13,MATCH($A335,Month!$A$2:$A$13,0))-K335,I335)))</f>
        <v/>
      </c>
      <c r="O335">
        <f>IF(I335=0,0,MAX(0,MIN(INDEX(Month!J$2:J$13,MATCH($A335,Month!$A$2:$A$13,0))-K335,I335)))</f>
        <v/>
      </c>
      <c r="P335">
        <f>IF(I335=0,0,(MIN(MAX(K335,0),L335)*W335+SUMPRODUCT((Calc!$A$2:$A$1001=A335)*Calc!$G$2:$G$1001*(((K335-(L335+Calc!$J$2:$J$1001))&gt;0)*((K335-(L335+Calc!$J$2:$J$1001))&lt;Calc!$F$2:$F$1001)*(K335-(L335+Calc!$J$2:$J$1001))+((K335-(L335+Calc!$J$2:$J$1001))&gt;=Calc!$F$2:$F$1001)*Calc!$F$2:$F$1001))))</f>
        <v/>
      </c>
      <c r="Q335">
        <f>IF(I335=0,0,(MIN(MAX((K335+M335),0),L335)*W335+SUMPRODUCT((Calc!$A$2:$A$1001=A335)*Calc!$G$2:$G$1001*((((K335+M335)-(L335+Calc!$J$2:$J$1001))&gt;0)*(((K335+M335)-(L335+Calc!$J$2:$J$1001))&lt;Calc!$F$2:$F$1001)*((K335+M335)-(L335+Calc!$J$2:$J$1001))+(((K335+M335)-(L335+Calc!$J$2:$J$1001))&gt;=Calc!$F$2:$F$1001)*Calc!$F$2:$F$1001))))</f>
        <v/>
      </c>
      <c r="R335">
        <f>IF(I335=0,0,(MIN(MAX((K335+N335),0),L335)*W335+SUMPRODUCT((Calc!$A$2:$A$1001=A335)*Calc!$G$2:$G$1001*((((K335+N335)-(L335+Calc!$J$2:$J$1001))&gt;0)*(((K335+N335)-(L335+Calc!$J$2:$J$1001))&lt;Calc!$F$2:$F$1001)*((K335+N335)-(L335+Calc!$J$2:$J$1001))+(((K335+N335)-(L335+Calc!$J$2:$J$1001))&gt;=Calc!$F$2:$F$1001)*Calc!$F$2:$F$1001))))</f>
        <v/>
      </c>
      <c r="S335">
        <f>IF(I335=0,0,(MIN(MAX((K335+O335),0),L335)*W335+SUMPRODUCT((Calc!$A$2:$A$1001=A335)*Calc!$G$2:$G$1001*((((K335+O335)-(L335+Calc!$J$2:$J$1001))&gt;0)*(((K335+O335)-(L335+Calc!$J$2:$J$1001))&lt;Calc!$F$2:$F$1001)*((K335+O335)-(L335+Calc!$J$2:$J$1001))+(((K335+O335)-(L335+Calc!$J$2:$J$1001))&gt;=Calc!$F$2:$F$1001)*Calc!$F$2:$F$1001))))</f>
        <v/>
      </c>
      <c r="T335">
        <f>IF(AND(E335=1,B335="RETURN"),Transactions!E335*Transactions!G335,0)</f>
        <v/>
      </c>
      <c r="U335">
        <f>IF(AND(E335=1,B335="EXPENSE"),Transactions!J335,0)</f>
        <v/>
      </c>
      <c r="V335">
        <f>IF(AND(Transactions!A335&lt;&gt;"",E335=0),ROW(),"")</f>
        <v/>
      </c>
      <c r="W335">
        <f>IFERROR(VLOOKUP(A335,Opening!$A:$D,4,0),0)</f>
        <v/>
      </c>
    </row>
    <row r="336">
      <c r="A336">
        <f>IF(Transactions!D336="","",UPPER(TRIM(Transactions!D336)))</f>
        <v/>
      </c>
      <c r="B336">
        <f>IF(Transactions!C336="","",UPPER(TRIM(Transactions!C336)))</f>
        <v/>
      </c>
      <c r="C336">
        <f>IF(Transactions!B336="",0,YEAR(Transactions!B336)*100+MONTH(Transactions!B336))</f>
        <v/>
      </c>
      <c r="D336">
        <f>IF(Transactions!A336="",1,IF(COUNTIF(Transactions!$A$1:A335,Transactions!A336)&gt;0,1,0))</f>
        <v/>
      </c>
      <c r="E336">
        <f>IF(D336=1,0,IF(B336="RETURN",IF(COUNTIFS($A$1:A335,A336,$B$1:B335,"SALE",$E$1:E335,1)&gt;0,1,0),1))</f>
        <v/>
      </c>
      <c r="F336">
        <f>IF(E336=1,IF(B336="RECEIPT",Transactions!E336,IF(AND(B336="RETURN",LOWER(TRIM(Transactions!H336))="resellable"),Transactions!E336,0)),0)</f>
        <v/>
      </c>
      <c r="G336">
        <f>IF(F336&gt;0,IF(B336="RECEIPT",Transactions!F336,IF(_xlfn.MAXIFS($H$2:H336,$A$2:A336,A336)&gt;0,INDEX(Transactions!$F:$F,_xlfn.MAXIFS($H$2:H336,$A$2:A336,A336)),W336)),0)</f>
        <v/>
      </c>
      <c r="H336">
        <f>IF(AND(E336=1,B336="RECEIPT"),ROW(),0)</f>
        <v/>
      </c>
      <c r="I336">
        <f>IF(E336=1,IF(OR(B336="SALE",B336="WRITEOFF"),Transactions!E336,0),0)</f>
        <v/>
      </c>
      <c r="J336">
        <f>SUMIFS($F$1:F335,$A$1:A335,A336)</f>
        <v/>
      </c>
      <c r="K336">
        <f>SUMIFS($I$1:I335,$A$1:A335,A336)</f>
        <v/>
      </c>
      <c r="L336">
        <f>IFERROR(VLOOKUP(A336,Opening!$A:$C,3,0),0)</f>
        <v/>
      </c>
      <c r="M336">
        <f>IF(I336=0,0,MAX(0,MIN(INDEX(Month!H$2:H$13,MATCH($A336,Month!$A$2:$A$13,0))-K336,I336)))</f>
        <v/>
      </c>
      <c r="N336">
        <f>IF(I336=0,0,MAX(0,MIN(INDEX(Month!I$2:I$13,MATCH($A336,Month!$A$2:$A$13,0))-K336,I336)))</f>
        <v/>
      </c>
      <c r="O336">
        <f>IF(I336=0,0,MAX(0,MIN(INDEX(Month!J$2:J$13,MATCH($A336,Month!$A$2:$A$13,0))-K336,I336)))</f>
        <v/>
      </c>
      <c r="P336">
        <f>IF(I336=0,0,(MIN(MAX(K336,0),L336)*W336+SUMPRODUCT((Calc!$A$2:$A$1001=A336)*Calc!$G$2:$G$1001*(((K336-(L336+Calc!$J$2:$J$1001))&gt;0)*((K336-(L336+Calc!$J$2:$J$1001))&lt;Calc!$F$2:$F$1001)*(K336-(L336+Calc!$J$2:$J$1001))+((K336-(L336+Calc!$J$2:$J$1001))&gt;=Calc!$F$2:$F$1001)*Calc!$F$2:$F$1001))))</f>
        <v/>
      </c>
      <c r="Q336">
        <f>IF(I336=0,0,(MIN(MAX((K336+M336),0),L336)*W336+SUMPRODUCT((Calc!$A$2:$A$1001=A336)*Calc!$G$2:$G$1001*((((K336+M336)-(L336+Calc!$J$2:$J$1001))&gt;0)*(((K336+M336)-(L336+Calc!$J$2:$J$1001))&lt;Calc!$F$2:$F$1001)*((K336+M336)-(L336+Calc!$J$2:$J$1001))+(((K336+M336)-(L336+Calc!$J$2:$J$1001))&gt;=Calc!$F$2:$F$1001)*Calc!$F$2:$F$1001))))</f>
        <v/>
      </c>
      <c r="R336">
        <f>IF(I336=0,0,(MIN(MAX((K336+N336),0),L336)*W336+SUMPRODUCT((Calc!$A$2:$A$1001=A336)*Calc!$G$2:$G$1001*((((K336+N336)-(L336+Calc!$J$2:$J$1001))&gt;0)*(((K336+N336)-(L336+Calc!$J$2:$J$1001))&lt;Calc!$F$2:$F$1001)*((K336+N336)-(L336+Calc!$J$2:$J$1001))+(((K336+N336)-(L336+Calc!$J$2:$J$1001))&gt;=Calc!$F$2:$F$1001)*Calc!$F$2:$F$1001))))</f>
        <v/>
      </c>
      <c r="S336">
        <f>IF(I336=0,0,(MIN(MAX((K336+O336),0),L336)*W336+SUMPRODUCT((Calc!$A$2:$A$1001=A336)*Calc!$G$2:$G$1001*((((K336+O336)-(L336+Calc!$J$2:$J$1001))&gt;0)*(((K336+O336)-(L336+Calc!$J$2:$J$1001))&lt;Calc!$F$2:$F$1001)*((K336+O336)-(L336+Calc!$J$2:$J$1001))+(((K336+O336)-(L336+Calc!$J$2:$J$1001))&gt;=Calc!$F$2:$F$1001)*Calc!$F$2:$F$1001))))</f>
        <v/>
      </c>
      <c r="T336">
        <f>IF(AND(E336=1,B336="RETURN"),Transactions!E336*Transactions!G336,0)</f>
        <v/>
      </c>
      <c r="U336">
        <f>IF(AND(E336=1,B336="EXPENSE"),Transactions!J336,0)</f>
        <v/>
      </c>
      <c r="V336">
        <f>IF(AND(Transactions!A336&lt;&gt;"",E336=0),ROW(),"")</f>
        <v/>
      </c>
      <c r="W336">
        <f>IFERROR(VLOOKUP(A336,Opening!$A:$D,4,0),0)</f>
        <v/>
      </c>
    </row>
    <row r="337">
      <c r="A337">
        <f>IF(Transactions!D337="","",UPPER(TRIM(Transactions!D337)))</f>
        <v/>
      </c>
      <c r="B337">
        <f>IF(Transactions!C337="","",UPPER(TRIM(Transactions!C337)))</f>
        <v/>
      </c>
      <c r="C337">
        <f>IF(Transactions!B337="",0,YEAR(Transactions!B337)*100+MONTH(Transactions!B337))</f>
        <v/>
      </c>
      <c r="D337">
        <f>IF(Transactions!A337="",1,IF(COUNTIF(Transactions!$A$1:A336,Transactions!A337)&gt;0,1,0))</f>
        <v/>
      </c>
      <c r="E337">
        <f>IF(D337=1,0,IF(B337="RETURN",IF(COUNTIFS($A$1:A336,A337,$B$1:B336,"SALE",$E$1:E336,1)&gt;0,1,0),1))</f>
        <v/>
      </c>
      <c r="F337">
        <f>IF(E337=1,IF(B337="RECEIPT",Transactions!E337,IF(AND(B337="RETURN",LOWER(TRIM(Transactions!H337))="resellable"),Transactions!E337,0)),0)</f>
        <v/>
      </c>
      <c r="G337">
        <f>IF(F337&gt;0,IF(B337="RECEIPT",Transactions!F337,IF(_xlfn.MAXIFS($H$2:H337,$A$2:A337,A337)&gt;0,INDEX(Transactions!$F:$F,_xlfn.MAXIFS($H$2:H337,$A$2:A337,A337)),W337)),0)</f>
        <v/>
      </c>
      <c r="H337">
        <f>IF(AND(E337=1,B337="RECEIPT"),ROW(),0)</f>
        <v/>
      </c>
      <c r="I337">
        <f>IF(E337=1,IF(OR(B337="SALE",B337="WRITEOFF"),Transactions!E337,0),0)</f>
        <v/>
      </c>
      <c r="J337">
        <f>SUMIFS($F$1:F336,$A$1:A336,A337)</f>
        <v/>
      </c>
      <c r="K337">
        <f>SUMIFS($I$1:I336,$A$1:A336,A337)</f>
        <v/>
      </c>
      <c r="L337">
        <f>IFERROR(VLOOKUP(A337,Opening!$A:$C,3,0),0)</f>
        <v/>
      </c>
      <c r="M337">
        <f>IF(I337=0,0,MAX(0,MIN(INDEX(Month!H$2:H$13,MATCH($A337,Month!$A$2:$A$13,0))-K337,I337)))</f>
        <v/>
      </c>
      <c r="N337">
        <f>IF(I337=0,0,MAX(0,MIN(INDEX(Month!I$2:I$13,MATCH($A337,Month!$A$2:$A$13,0))-K337,I337)))</f>
        <v/>
      </c>
      <c r="O337">
        <f>IF(I337=0,0,MAX(0,MIN(INDEX(Month!J$2:J$13,MATCH($A337,Month!$A$2:$A$13,0))-K337,I337)))</f>
        <v/>
      </c>
      <c r="P337">
        <f>IF(I337=0,0,(MIN(MAX(K337,0),L337)*W337+SUMPRODUCT((Calc!$A$2:$A$1001=A337)*Calc!$G$2:$G$1001*(((K337-(L337+Calc!$J$2:$J$1001))&gt;0)*((K337-(L337+Calc!$J$2:$J$1001))&lt;Calc!$F$2:$F$1001)*(K337-(L337+Calc!$J$2:$J$1001))+((K337-(L337+Calc!$J$2:$J$1001))&gt;=Calc!$F$2:$F$1001)*Calc!$F$2:$F$1001))))</f>
        <v/>
      </c>
      <c r="Q337">
        <f>IF(I337=0,0,(MIN(MAX((K337+M337),0),L337)*W337+SUMPRODUCT((Calc!$A$2:$A$1001=A337)*Calc!$G$2:$G$1001*((((K337+M337)-(L337+Calc!$J$2:$J$1001))&gt;0)*(((K337+M337)-(L337+Calc!$J$2:$J$1001))&lt;Calc!$F$2:$F$1001)*((K337+M337)-(L337+Calc!$J$2:$J$1001))+(((K337+M337)-(L337+Calc!$J$2:$J$1001))&gt;=Calc!$F$2:$F$1001)*Calc!$F$2:$F$1001))))</f>
        <v/>
      </c>
      <c r="R337">
        <f>IF(I337=0,0,(MIN(MAX((K337+N337),0),L337)*W337+SUMPRODUCT((Calc!$A$2:$A$1001=A337)*Calc!$G$2:$G$1001*((((K337+N337)-(L337+Calc!$J$2:$J$1001))&gt;0)*(((K337+N337)-(L337+Calc!$J$2:$J$1001))&lt;Calc!$F$2:$F$1001)*((K337+N337)-(L337+Calc!$J$2:$J$1001))+(((K337+N337)-(L337+Calc!$J$2:$J$1001))&gt;=Calc!$F$2:$F$1001)*Calc!$F$2:$F$1001))))</f>
        <v/>
      </c>
      <c r="S337">
        <f>IF(I337=0,0,(MIN(MAX((K337+O337),0),L337)*W337+SUMPRODUCT((Calc!$A$2:$A$1001=A337)*Calc!$G$2:$G$1001*((((K337+O337)-(L337+Calc!$J$2:$J$1001))&gt;0)*(((K337+O337)-(L337+Calc!$J$2:$J$1001))&lt;Calc!$F$2:$F$1001)*((K337+O337)-(L337+Calc!$J$2:$J$1001))+(((K337+O337)-(L337+Calc!$J$2:$J$1001))&gt;=Calc!$F$2:$F$1001)*Calc!$F$2:$F$1001))))</f>
        <v/>
      </c>
      <c r="T337">
        <f>IF(AND(E337=1,B337="RETURN"),Transactions!E337*Transactions!G337,0)</f>
        <v/>
      </c>
      <c r="U337">
        <f>IF(AND(E337=1,B337="EXPENSE"),Transactions!J337,0)</f>
        <v/>
      </c>
      <c r="V337">
        <f>IF(AND(Transactions!A337&lt;&gt;"",E337=0),ROW(),"")</f>
        <v/>
      </c>
      <c r="W337">
        <f>IFERROR(VLOOKUP(A337,Opening!$A:$D,4,0),0)</f>
        <v/>
      </c>
    </row>
    <row r="338">
      <c r="A338">
        <f>IF(Transactions!D338="","",UPPER(TRIM(Transactions!D338)))</f>
        <v/>
      </c>
      <c r="B338">
        <f>IF(Transactions!C338="","",UPPER(TRIM(Transactions!C338)))</f>
        <v/>
      </c>
      <c r="C338">
        <f>IF(Transactions!B338="",0,YEAR(Transactions!B338)*100+MONTH(Transactions!B338))</f>
        <v/>
      </c>
      <c r="D338">
        <f>IF(Transactions!A338="",1,IF(COUNTIF(Transactions!$A$1:A337,Transactions!A338)&gt;0,1,0))</f>
        <v/>
      </c>
      <c r="E338">
        <f>IF(D338=1,0,IF(B338="RETURN",IF(COUNTIFS($A$1:A337,A338,$B$1:B337,"SALE",$E$1:E337,1)&gt;0,1,0),1))</f>
        <v/>
      </c>
      <c r="F338">
        <f>IF(E338=1,IF(B338="RECEIPT",Transactions!E338,IF(AND(B338="RETURN",LOWER(TRIM(Transactions!H338))="resellable"),Transactions!E338,0)),0)</f>
        <v/>
      </c>
      <c r="G338">
        <f>IF(F338&gt;0,IF(B338="RECEIPT",Transactions!F338,IF(_xlfn.MAXIFS($H$2:H338,$A$2:A338,A338)&gt;0,INDEX(Transactions!$F:$F,_xlfn.MAXIFS($H$2:H338,$A$2:A338,A338)),W338)),0)</f>
        <v/>
      </c>
      <c r="H338">
        <f>IF(AND(E338=1,B338="RECEIPT"),ROW(),0)</f>
        <v/>
      </c>
      <c r="I338">
        <f>IF(E338=1,IF(OR(B338="SALE",B338="WRITEOFF"),Transactions!E338,0),0)</f>
        <v/>
      </c>
      <c r="J338">
        <f>SUMIFS($F$1:F337,$A$1:A337,A338)</f>
        <v/>
      </c>
      <c r="K338">
        <f>SUMIFS($I$1:I337,$A$1:A337,A338)</f>
        <v/>
      </c>
      <c r="L338">
        <f>IFERROR(VLOOKUP(A338,Opening!$A:$C,3,0),0)</f>
        <v/>
      </c>
      <c r="M338">
        <f>IF(I338=0,0,MAX(0,MIN(INDEX(Month!H$2:H$13,MATCH($A338,Month!$A$2:$A$13,0))-K338,I338)))</f>
        <v/>
      </c>
      <c r="N338">
        <f>IF(I338=0,0,MAX(0,MIN(INDEX(Month!I$2:I$13,MATCH($A338,Month!$A$2:$A$13,0))-K338,I338)))</f>
        <v/>
      </c>
      <c r="O338">
        <f>IF(I338=0,0,MAX(0,MIN(INDEX(Month!J$2:J$13,MATCH($A338,Month!$A$2:$A$13,0))-K338,I338)))</f>
        <v/>
      </c>
      <c r="P338">
        <f>IF(I338=0,0,(MIN(MAX(K338,0),L338)*W338+SUMPRODUCT((Calc!$A$2:$A$1001=A338)*Calc!$G$2:$G$1001*(((K338-(L338+Calc!$J$2:$J$1001))&gt;0)*((K338-(L338+Calc!$J$2:$J$1001))&lt;Calc!$F$2:$F$1001)*(K338-(L338+Calc!$J$2:$J$1001))+((K338-(L338+Calc!$J$2:$J$1001))&gt;=Calc!$F$2:$F$1001)*Calc!$F$2:$F$1001))))</f>
        <v/>
      </c>
      <c r="Q338">
        <f>IF(I338=0,0,(MIN(MAX((K338+M338),0),L338)*W338+SUMPRODUCT((Calc!$A$2:$A$1001=A338)*Calc!$G$2:$G$1001*((((K338+M338)-(L338+Calc!$J$2:$J$1001))&gt;0)*(((K338+M338)-(L338+Calc!$J$2:$J$1001))&lt;Calc!$F$2:$F$1001)*((K338+M338)-(L338+Calc!$J$2:$J$1001))+(((K338+M338)-(L338+Calc!$J$2:$J$1001))&gt;=Calc!$F$2:$F$1001)*Calc!$F$2:$F$1001))))</f>
        <v/>
      </c>
      <c r="R338">
        <f>IF(I338=0,0,(MIN(MAX((K338+N338),0),L338)*W338+SUMPRODUCT((Calc!$A$2:$A$1001=A338)*Calc!$G$2:$G$1001*((((K338+N338)-(L338+Calc!$J$2:$J$1001))&gt;0)*(((K338+N338)-(L338+Calc!$J$2:$J$1001))&lt;Calc!$F$2:$F$1001)*((K338+N338)-(L338+Calc!$J$2:$J$1001))+(((K338+N338)-(L338+Calc!$J$2:$J$1001))&gt;=Calc!$F$2:$F$1001)*Calc!$F$2:$F$1001))))</f>
        <v/>
      </c>
      <c r="S338">
        <f>IF(I338=0,0,(MIN(MAX((K338+O338),0),L338)*W338+SUMPRODUCT((Calc!$A$2:$A$1001=A338)*Calc!$G$2:$G$1001*((((K338+O338)-(L338+Calc!$J$2:$J$1001))&gt;0)*(((K338+O338)-(L338+Calc!$J$2:$J$1001))&lt;Calc!$F$2:$F$1001)*((K338+O338)-(L338+Calc!$J$2:$J$1001))+(((K338+O338)-(L338+Calc!$J$2:$J$1001))&gt;=Calc!$F$2:$F$1001)*Calc!$F$2:$F$1001))))</f>
        <v/>
      </c>
      <c r="T338">
        <f>IF(AND(E338=1,B338="RETURN"),Transactions!E338*Transactions!G338,0)</f>
        <v/>
      </c>
      <c r="U338">
        <f>IF(AND(E338=1,B338="EXPENSE"),Transactions!J338,0)</f>
        <v/>
      </c>
      <c r="V338">
        <f>IF(AND(Transactions!A338&lt;&gt;"",E338=0),ROW(),"")</f>
        <v/>
      </c>
      <c r="W338">
        <f>IFERROR(VLOOKUP(A338,Opening!$A:$D,4,0),0)</f>
        <v/>
      </c>
    </row>
    <row r="339">
      <c r="A339">
        <f>IF(Transactions!D339="","",UPPER(TRIM(Transactions!D339)))</f>
        <v/>
      </c>
      <c r="B339">
        <f>IF(Transactions!C339="","",UPPER(TRIM(Transactions!C339)))</f>
        <v/>
      </c>
      <c r="C339">
        <f>IF(Transactions!B339="",0,YEAR(Transactions!B339)*100+MONTH(Transactions!B339))</f>
        <v/>
      </c>
      <c r="D339">
        <f>IF(Transactions!A339="",1,IF(COUNTIF(Transactions!$A$1:A338,Transactions!A339)&gt;0,1,0))</f>
        <v/>
      </c>
      <c r="E339">
        <f>IF(D339=1,0,IF(B339="RETURN",IF(COUNTIFS($A$1:A338,A339,$B$1:B338,"SALE",$E$1:E338,1)&gt;0,1,0),1))</f>
        <v/>
      </c>
      <c r="F339">
        <f>IF(E339=1,IF(B339="RECEIPT",Transactions!E339,IF(AND(B339="RETURN",LOWER(TRIM(Transactions!H339))="resellable"),Transactions!E339,0)),0)</f>
        <v/>
      </c>
      <c r="G339">
        <f>IF(F339&gt;0,IF(B339="RECEIPT",Transactions!F339,IF(_xlfn.MAXIFS($H$2:H339,$A$2:A339,A339)&gt;0,INDEX(Transactions!$F:$F,_xlfn.MAXIFS($H$2:H339,$A$2:A339,A339)),W339)),0)</f>
        <v/>
      </c>
      <c r="H339">
        <f>IF(AND(E339=1,B339="RECEIPT"),ROW(),0)</f>
        <v/>
      </c>
      <c r="I339">
        <f>IF(E339=1,IF(OR(B339="SALE",B339="WRITEOFF"),Transactions!E339,0),0)</f>
        <v/>
      </c>
      <c r="J339">
        <f>SUMIFS($F$1:F338,$A$1:A338,A339)</f>
        <v/>
      </c>
      <c r="K339">
        <f>SUMIFS($I$1:I338,$A$1:A338,A339)</f>
        <v/>
      </c>
      <c r="L339">
        <f>IFERROR(VLOOKUP(A339,Opening!$A:$C,3,0),0)</f>
        <v/>
      </c>
      <c r="M339">
        <f>IF(I339=0,0,MAX(0,MIN(INDEX(Month!H$2:H$13,MATCH($A339,Month!$A$2:$A$13,0))-K339,I339)))</f>
        <v/>
      </c>
      <c r="N339">
        <f>IF(I339=0,0,MAX(0,MIN(INDEX(Month!I$2:I$13,MATCH($A339,Month!$A$2:$A$13,0))-K339,I339)))</f>
        <v/>
      </c>
      <c r="O339">
        <f>IF(I339=0,0,MAX(0,MIN(INDEX(Month!J$2:J$13,MATCH($A339,Month!$A$2:$A$13,0))-K339,I339)))</f>
        <v/>
      </c>
      <c r="P339">
        <f>IF(I339=0,0,(MIN(MAX(K339,0),L339)*W339+SUMPRODUCT((Calc!$A$2:$A$1001=A339)*Calc!$G$2:$G$1001*(((K339-(L339+Calc!$J$2:$J$1001))&gt;0)*((K339-(L339+Calc!$J$2:$J$1001))&lt;Calc!$F$2:$F$1001)*(K339-(L339+Calc!$J$2:$J$1001))+((K339-(L339+Calc!$J$2:$J$1001))&gt;=Calc!$F$2:$F$1001)*Calc!$F$2:$F$1001))))</f>
        <v/>
      </c>
      <c r="Q339">
        <f>IF(I339=0,0,(MIN(MAX((K339+M339),0),L339)*W339+SUMPRODUCT((Calc!$A$2:$A$1001=A339)*Calc!$G$2:$G$1001*((((K339+M339)-(L339+Calc!$J$2:$J$1001))&gt;0)*(((K339+M339)-(L339+Calc!$J$2:$J$1001))&lt;Calc!$F$2:$F$1001)*((K339+M339)-(L339+Calc!$J$2:$J$1001))+(((K339+M339)-(L339+Calc!$J$2:$J$1001))&gt;=Calc!$F$2:$F$1001)*Calc!$F$2:$F$1001))))</f>
        <v/>
      </c>
      <c r="R339">
        <f>IF(I339=0,0,(MIN(MAX((K339+N339),0),L339)*W339+SUMPRODUCT((Calc!$A$2:$A$1001=A339)*Calc!$G$2:$G$1001*((((K339+N339)-(L339+Calc!$J$2:$J$1001))&gt;0)*(((K339+N339)-(L339+Calc!$J$2:$J$1001))&lt;Calc!$F$2:$F$1001)*((K339+N339)-(L339+Calc!$J$2:$J$1001))+(((K339+N339)-(L339+Calc!$J$2:$J$1001))&gt;=Calc!$F$2:$F$1001)*Calc!$F$2:$F$1001))))</f>
        <v/>
      </c>
      <c r="S339">
        <f>IF(I339=0,0,(MIN(MAX((K339+O339),0),L339)*W339+SUMPRODUCT((Calc!$A$2:$A$1001=A339)*Calc!$G$2:$G$1001*((((K339+O339)-(L339+Calc!$J$2:$J$1001))&gt;0)*(((K339+O339)-(L339+Calc!$J$2:$J$1001))&lt;Calc!$F$2:$F$1001)*((K339+O339)-(L339+Calc!$J$2:$J$1001))+(((K339+O339)-(L339+Calc!$J$2:$J$1001))&gt;=Calc!$F$2:$F$1001)*Calc!$F$2:$F$1001))))</f>
        <v/>
      </c>
      <c r="T339">
        <f>IF(AND(E339=1,B339="RETURN"),Transactions!E339*Transactions!G339,0)</f>
        <v/>
      </c>
      <c r="U339">
        <f>IF(AND(E339=1,B339="EXPENSE"),Transactions!J339,0)</f>
        <v/>
      </c>
      <c r="V339">
        <f>IF(AND(Transactions!A339&lt;&gt;"",E339=0),ROW(),"")</f>
        <v/>
      </c>
      <c r="W339">
        <f>IFERROR(VLOOKUP(A339,Opening!$A:$D,4,0),0)</f>
        <v/>
      </c>
    </row>
    <row r="340">
      <c r="A340">
        <f>IF(Transactions!D340="","",UPPER(TRIM(Transactions!D340)))</f>
        <v/>
      </c>
      <c r="B340">
        <f>IF(Transactions!C340="","",UPPER(TRIM(Transactions!C340)))</f>
        <v/>
      </c>
      <c r="C340">
        <f>IF(Transactions!B340="",0,YEAR(Transactions!B340)*100+MONTH(Transactions!B340))</f>
        <v/>
      </c>
      <c r="D340">
        <f>IF(Transactions!A340="",1,IF(COUNTIF(Transactions!$A$1:A339,Transactions!A340)&gt;0,1,0))</f>
        <v/>
      </c>
      <c r="E340">
        <f>IF(D340=1,0,IF(B340="RETURN",IF(COUNTIFS($A$1:A339,A340,$B$1:B339,"SALE",$E$1:E339,1)&gt;0,1,0),1))</f>
        <v/>
      </c>
      <c r="F340">
        <f>IF(E340=1,IF(B340="RECEIPT",Transactions!E340,IF(AND(B340="RETURN",LOWER(TRIM(Transactions!H340))="resellable"),Transactions!E340,0)),0)</f>
        <v/>
      </c>
      <c r="G340">
        <f>IF(F340&gt;0,IF(B340="RECEIPT",Transactions!F340,IF(_xlfn.MAXIFS($H$2:H340,$A$2:A340,A340)&gt;0,INDEX(Transactions!$F:$F,_xlfn.MAXIFS($H$2:H340,$A$2:A340,A340)),W340)),0)</f>
        <v/>
      </c>
      <c r="H340">
        <f>IF(AND(E340=1,B340="RECEIPT"),ROW(),0)</f>
        <v/>
      </c>
      <c r="I340">
        <f>IF(E340=1,IF(OR(B340="SALE",B340="WRITEOFF"),Transactions!E340,0),0)</f>
        <v/>
      </c>
      <c r="J340">
        <f>SUMIFS($F$1:F339,$A$1:A339,A340)</f>
        <v/>
      </c>
      <c r="K340">
        <f>SUMIFS($I$1:I339,$A$1:A339,A340)</f>
        <v/>
      </c>
      <c r="L340">
        <f>IFERROR(VLOOKUP(A340,Opening!$A:$C,3,0),0)</f>
        <v/>
      </c>
      <c r="M340">
        <f>IF(I340=0,0,MAX(0,MIN(INDEX(Month!H$2:H$13,MATCH($A340,Month!$A$2:$A$13,0))-K340,I340)))</f>
        <v/>
      </c>
      <c r="N340">
        <f>IF(I340=0,0,MAX(0,MIN(INDEX(Month!I$2:I$13,MATCH($A340,Month!$A$2:$A$13,0))-K340,I340)))</f>
        <v/>
      </c>
      <c r="O340">
        <f>IF(I340=0,0,MAX(0,MIN(INDEX(Month!J$2:J$13,MATCH($A340,Month!$A$2:$A$13,0))-K340,I340)))</f>
        <v/>
      </c>
      <c r="P340">
        <f>IF(I340=0,0,(MIN(MAX(K340,0),L340)*W340+SUMPRODUCT((Calc!$A$2:$A$1001=A340)*Calc!$G$2:$G$1001*(((K340-(L340+Calc!$J$2:$J$1001))&gt;0)*((K340-(L340+Calc!$J$2:$J$1001))&lt;Calc!$F$2:$F$1001)*(K340-(L340+Calc!$J$2:$J$1001))+((K340-(L340+Calc!$J$2:$J$1001))&gt;=Calc!$F$2:$F$1001)*Calc!$F$2:$F$1001))))</f>
        <v/>
      </c>
      <c r="Q340">
        <f>IF(I340=0,0,(MIN(MAX((K340+M340),0),L340)*W340+SUMPRODUCT((Calc!$A$2:$A$1001=A340)*Calc!$G$2:$G$1001*((((K340+M340)-(L340+Calc!$J$2:$J$1001))&gt;0)*(((K340+M340)-(L340+Calc!$J$2:$J$1001))&lt;Calc!$F$2:$F$1001)*((K340+M340)-(L340+Calc!$J$2:$J$1001))+(((K340+M340)-(L340+Calc!$J$2:$J$1001))&gt;=Calc!$F$2:$F$1001)*Calc!$F$2:$F$1001))))</f>
        <v/>
      </c>
      <c r="R340">
        <f>IF(I340=0,0,(MIN(MAX((K340+N340),0),L340)*W340+SUMPRODUCT((Calc!$A$2:$A$1001=A340)*Calc!$G$2:$G$1001*((((K340+N340)-(L340+Calc!$J$2:$J$1001))&gt;0)*(((K340+N340)-(L340+Calc!$J$2:$J$1001))&lt;Calc!$F$2:$F$1001)*((K340+N340)-(L340+Calc!$J$2:$J$1001))+(((K340+N340)-(L340+Calc!$J$2:$J$1001))&gt;=Calc!$F$2:$F$1001)*Calc!$F$2:$F$1001))))</f>
        <v/>
      </c>
      <c r="S340">
        <f>IF(I340=0,0,(MIN(MAX((K340+O340),0),L340)*W340+SUMPRODUCT((Calc!$A$2:$A$1001=A340)*Calc!$G$2:$G$1001*((((K340+O340)-(L340+Calc!$J$2:$J$1001))&gt;0)*(((K340+O340)-(L340+Calc!$J$2:$J$1001))&lt;Calc!$F$2:$F$1001)*((K340+O340)-(L340+Calc!$J$2:$J$1001))+(((K340+O340)-(L340+Calc!$J$2:$J$1001))&gt;=Calc!$F$2:$F$1001)*Calc!$F$2:$F$1001))))</f>
        <v/>
      </c>
      <c r="T340">
        <f>IF(AND(E340=1,B340="RETURN"),Transactions!E340*Transactions!G340,0)</f>
        <v/>
      </c>
      <c r="U340">
        <f>IF(AND(E340=1,B340="EXPENSE"),Transactions!J340,0)</f>
        <v/>
      </c>
      <c r="V340">
        <f>IF(AND(Transactions!A340&lt;&gt;"",E340=0),ROW(),"")</f>
        <v/>
      </c>
      <c r="W340">
        <f>IFERROR(VLOOKUP(A340,Opening!$A:$D,4,0),0)</f>
        <v/>
      </c>
    </row>
    <row r="341">
      <c r="A341">
        <f>IF(Transactions!D341="","",UPPER(TRIM(Transactions!D341)))</f>
        <v/>
      </c>
      <c r="B341">
        <f>IF(Transactions!C341="","",UPPER(TRIM(Transactions!C341)))</f>
        <v/>
      </c>
      <c r="C341">
        <f>IF(Transactions!B341="",0,YEAR(Transactions!B341)*100+MONTH(Transactions!B341))</f>
        <v/>
      </c>
      <c r="D341">
        <f>IF(Transactions!A341="",1,IF(COUNTIF(Transactions!$A$1:A340,Transactions!A341)&gt;0,1,0))</f>
        <v/>
      </c>
      <c r="E341">
        <f>IF(D341=1,0,IF(B341="RETURN",IF(COUNTIFS($A$1:A340,A341,$B$1:B340,"SALE",$E$1:E340,1)&gt;0,1,0),1))</f>
        <v/>
      </c>
      <c r="F341">
        <f>IF(E341=1,IF(B341="RECEIPT",Transactions!E341,IF(AND(B341="RETURN",LOWER(TRIM(Transactions!H341))="resellable"),Transactions!E341,0)),0)</f>
        <v/>
      </c>
      <c r="G341">
        <f>IF(F341&gt;0,IF(B341="RECEIPT",Transactions!F341,IF(_xlfn.MAXIFS($H$2:H341,$A$2:A341,A341)&gt;0,INDEX(Transactions!$F:$F,_xlfn.MAXIFS($H$2:H341,$A$2:A341,A341)),W341)),0)</f>
        <v/>
      </c>
      <c r="H341">
        <f>IF(AND(E341=1,B341="RECEIPT"),ROW(),0)</f>
        <v/>
      </c>
      <c r="I341">
        <f>IF(E341=1,IF(OR(B341="SALE",B341="WRITEOFF"),Transactions!E341,0),0)</f>
        <v/>
      </c>
      <c r="J341">
        <f>SUMIFS($F$1:F340,$A$1:A340,A341)</f>
        <v/>
      </c>
      <c r="K341">
        <f>SUMIFS($I$1:I340,$A$1:A340,A341)</f>
        <v/>
      </c>
      <c r="L341">
        <f>IFERROR(VLOOKUP(A341,Opening!$A:$C,3,0),0)</f>
        <v/>
      </c>
      <c r="M341">
        <f>IF(I341=0,0,MAX(0,MIN(INDEX(Month!H$2:H$13,MATCH($A341,Month!$A$2:$A$13,0))-K341,I341)))</f>
        <v/>
      </c>
      <c r="N341">
        <f>IF(I341=0,0,MAX(0,MIN(INDEX(Month!I$2:I$13,MATCH($A341,Month!$A$2:$A$13,0))-K341,I341)))</f>
        <v/>
      </c>
      <c r="O341">
        <f>IF(I341=0,0,MAX(0,MIN(INDEX(Month!J$2:J$13,MATCH($A341,Month!$A$2:$A$13,0))-K341,I341)))</f>
        <v/>
      </c>
      <c r="P341">
        <f>IF(I341=0,0,(MIN(MAX(K341,0),L341)*W341+SUMPRODUCT((Calc!$A$2:$A$1001=A341)*Calc!$G$2:$G$1001*(((K341-(L341+Calc!$J$2:$J$1001))&gt;0)*((K341-(L341+Calc!$J$2:$J$1001))&lt;Calc!$F$2:$F$1001)*(K341-(L341+Calc!$J$2:$J$1001))+((K341-(L341+Calc!$J$2:$J$1001))&gt;=Calc!$F$2:$F$1001)*Calc!$F$2:$F$1001))))</f>
        <v/>
      </c>
      <c r="Q341">
        <f>IF(I341=0,0,(MIN(MAX((K341+M341),0),L341)*W341+SUMPRODUCT((Calc!$A$2:$A$1001=A341)*Calc!$G$2:$G$1001*((((K341+M341)-(L341+Calc!$J$2:$J$1001))&gt;0)*(((K341+M341)-(L341+Calc!$J$2:$J$1001))&lt;Calc!$F$2:$F$1001)*((K341+M341)-(L341+Calc!$J$2:$J$1001))+(((K341+M341)-(L341+Calc!$J$2:$J$1001))&gt;=Calc!$F$2:$F$1001)*Calc!$F$2:$F$1001))))</f>
        <v/>
      </c>
      <c r="R341">
        <f>IF(I341=0,0,(MIN(MAX((K341+N341),0),L341)*W341+SUMPRODUCT((Calc!$A$2:$A$1001=A341)*Calc!$G$2:$G$1001*((((K341+N341)-(L341+Calc!$J$2:$J$1001))&gt;0)*(((K341+N341)-(L341+Calc!$J$2:$J$1001))&lt;Calc!$F$2:$F$1001)*((K341+N341)-(L341+Calc!$J$2:$J$1001))+(((K341+N341)-(L341+Calc!$J$2:$J$1001))&gt;=Calc!$F$2:$F$1001)*Calc!$F$2:$F$1001))))</f>
        <v/>
      </c>
      <c r="S341">
        <f>IF(I341=0,0,(MIN(MAX((K341+O341),0),L341)*W341+SUMPRODUCT((Calc!$A$2:$A$1001=A341)*Calc!$G$2:$G$1001*((((K341+O341)-(L341+Calc!$J$2:$J$1001))&gt;0)*(((K341+O341)-(L341+Calc!$J$2:$J$1001))&lt;Calc!$F$2:$F$1001)*((K341+O341)-(L341+Calc!$J$2:$J$1001))+(((K341+O341)-(L341+Calc!$J$2:$J$1001))&gt;=Calc!$F$2:$F$1001)*Calc!$F$2:$F$1001))))</f>
        <v/>
      </c>
      <c r="T341">
        <f>IF(AND(E341=1,B341="RETURN"),Transactions!E341*Transactions!G341,0)</f>
        <v/>
      </c>
      <c r="U341">
        <f>IF(AND(E341=1,B341="EXPENSE"),Transactions!J341,0)</f>
        <v/>
      </c>
      <c r="V341">
        <f>IF(AND(Transactions!A341&lt;&gt;"",E341=0),ROW(),"")</f>
        <v/>
      </c>
      <c r="W341">
        <f>IFERROR(VLOOKUP(A341,Opening!$A:$D,4,0),0)</f>
        <v/>
      </c>
    </row>
    <row r="342">
      <c r="A342">
        <f>IF(Transactions!D342="","",UPPER(TRIM(Transactions!D342)))</f>
        <v/>
      </c>
      <c r="B342">
        <f>IF(Transactions!C342="","",UPPER(TRIM(Transactions!C342)))</f>
        <v/>
      </c>
      <c r="C342">
        <f>IF(Transactions!B342="",0,YEAR(Transactions!B342)*100+MONTH(Transactions!B342))</f>
        <v/>
      </c>
      <c r="D342">
        <f>IF(Transactions!A342="",1,IF(COUNTIF(Transactions!$A$1:A341,Transactions!A342)&gt;0,1,0))</f>
        <v/>
      </c>
      <c r="E342">
        <f>IF(D342=1,0,IF(B342="RETURN",IF(COUNTIFS($A$1:A341,A342,$B$1:B341,"SALE",$E$1:E341,1)&gt;0,1,0),1))</f>
        <v/>
      </c>
      <c r="F342">
        <f>IF(E342=1,IF(B342="RECEIPT",Transactions!E342,IF(AND(B342="RETURN",LOWER(TRIM(Transactions!H342))="resellable"),Transactions!E342,0)),0)</f>
        <v/>
      </c>
      <c r="G342">
        <f>IF(F342&gt;0,IF(B342="RECEIPT",Transactions!F342,IF(_xlfn.MAXIFS($H$2:H342,$A$2:A342,A342)&gt;0,INDEX(Transactions!$F:$F,_xlfn.MAXIFS($H$2:H342,$A$2:A342,A342)),W342)),0)</f>
        <v/>
      </c>
      <c r="H342">
        <f>IF(AND(E342=1,B342="RECEIPT"),ROW(),0)</f>
        <v/>
      </c>
      <c r="I342">
        <f>IF(E342=1,IF(OR(B342="SALE",B342="WRITEOFF"),Transactions!E342,0),0)</f>
        <v/>
      </c>
      <c r="J342">
        <f>SUMIFS($F$1:F341,$A$1:A341,A342)</f>
        <v/>
      </c>
      <c r="K342">
        <f>SUMIFS($I$1:I341,$A$1:A341,A342)</f>
        <v/>
      </c>
      <c r="L342">
        <f>IFERROR(VLOOKUP(A342,Opening!$A:$C,3,0),0)</f>
        <v/>
      </c>
      <c r="M342">
        <f>IF(I342=0,0,MAX(0,MIN(INDEX(Month!H$2:H$13,MATCH($A342,Month!$A$2:$A$13,0))-K342,I342)))</f>
        <v/>
      </c>
      <c r="N342">
        <f>IF(I342=0,0,MAX(0,MIN(INDEX(Month!I$2:I$13,MATCH($A342,Month!$A$2:$A$13,0))-K342,I342)))</f>
        <v/>
      </c>
      <c r="O342">
        <f>IF(I342=0,0,MAX(0,MIN(INDEX(Month!J$2:J$13,MATCH($A342,Month!$A$2:$A$13,0))-K342,I342)))</f>
        <v/>
      </c>
      <c r="P342">
        <f>IF(I342=0,0,(MIN(MAX(K342,0),L342)*W342+SUMPRODUCT((Calc!$A$2:$A$1001=A342)*Calc!$G$2:$G$1001*(((K342-(L342+Calc!$J$2:$J$1001))&gt;0)*((K342-(L342+Calc!$J$2:$J$1001))&lt;Calc!$F$2:$F$1001)*(K342-(L342+Calc!$J$2:$J$1001))+((K342-(L342+Calc!$J$2:$J$1001))&gt;=Calc!$F$2:$F$1001)*Calc!$F$2:$F$1001))))</f>
        <v/>
      </c>
      <c r="Q342">
        <f>IF(I342=0,0,(MIN(MAX((K342+M342),0),L342)*W342+SUMPRODUCT((Calc!$A$2:$A$1001=A342)*Calc!$G$2:$G$1001*((((K342+M342)-(L342+Calc!$J$2:$J$1001))&gt;0)*(((K342+M342)-(L342+Calc!$J$2:$J$1001))&lt;Calc!$F$2:$F$1001)*((K342+M342)-(L342+Calc!$J$2:$J$1001))+(((K342+M342)-(L342+Calc!$J$2:$J$1001))&gt;=Calc!$F$2:$F$1001)*Calc!$F$2:$F$1001))))</f>
        <v/>
      </c>
      <c r="R342">
        <f>IF(I342=0,0,(MIN(MAX((K342+N342),0),L342)*W342+SUMPRODUCT((Calc!$A$2:$A$1001=A342)*Calc!$G$2:$G$1001*((((K342+N342)-(L342+Calc!$J$2:$J$1001))&gt;0)*(((K342+N342)-(L342+Calc!$J$2:$J$1001))&lt;Calc!$F$2:$F$1001)*((K342+N342)-(L342+Calc!$J$2:$J$1001))+(((K342+N342)-(L342+Calc!$J$2:$J$1001))&gt;=Calc!$F$2:$F$1001)*Calc!$F$2:$F$1001))))</f>
        <v/>
      </c>
      <c r="S342">
        <f>IF(I342=0,0,(MIN(MAX((K342+O342),0),L342)*W342+SUMPRODUCT((Calc!$A$2:$A$1001=A342)*Calc!$G$2:$G$1001*((((K342+O342)-(L342+Calc!$J$2:$J$1001))&gt;0)*(((K342+O342)-(L342+Calc!$J$2:$J$1001))&lt;Calc!$F$2:$F$1001)*((K342+O342)-(L342+Calc!$J$2:$J$1001))+(((K342+O342)-(L342+Calc!$J$2:$J$1001))&gt;=Calc!$F$2:$F$1001)*Calc!$F$2:$F$1001))))</f>
        <v/>
      </c>
      <c r="T342">
        <f>IF(AND(E342=1,B342="RETURN"),Transactions!E342*Transactions!G342,0)</f>
        <v/>
      </c>
      <c r="U342">
        <f>IF(AND(E342=1,B342="EXPENSE"),Transactions!J342,0)</f>
        <v/>
      </c>
      <c r="V342">
        <f>IF(AND(Transactions!A342&lt;&gt;"",E342=0),ROW(),"")</f>
        <v/>
      </c>
      <c r="W342">
        <f>IFERROR(VLOOKUP(A342,Opening!$A:$D,4,0),0)</f>
        <v/>
      </c>
    </row>
    <row r="343">
      <c r="A343">
        <f>IF(Transactions!D343="","",UPPER(TRIM(Transactions!D343)))</f>
        <v/>
      </c>
      <c r="B343">
        <f>IF(Transactions!C343="","",UPPER(TRIM(Transactions!C343)))</f>
        <v/>
      </c>
      <c r="C343">
        <f>IF(Transactions!B343="",0,YEAR(Transactions!B343)*100+MONTH(Transactions!B343))</f>
        <v/>
      </c>
      <c r="D343">
        <f>IF(Transactions!A343="",1,IF(COUNTIF(Transactions!$A$1:A342,Transactions!A343)&gt;0,1,0))</f>
        <v/>
      </c>
      <c r="E343">
        <f>IF(D343=1,0,IF(B343="RETURN",IF(COUNTIFS($A$1:A342,A343,$B$1:B342,"SALE",$E$1:E342,1)&gt;0,1,0),1))</f>
        <v/>
      </c>
      <c r="F343">
        <f>IF(E343=1,IF(B343="RECEIPT",Transactions!E343,IF(AND(B343="RETURN",LOWER(TRIM(Transactions!H343))="resellable"),Transactions!E343,0)),0)</f>
        <v/>
      </c>
      <c r="G343">
        <f>IF(F343&gt;0,IF(B343="RECEIPT",Transactions!F343,IF(_xlfn.MAXIFS($H$2:H343,$A$2:A343,A343)&gt;0,INDEX(Transactions!$F:$F,_xlfn.MAXIFS($H$2:H343,$A$2:A343,A343)),W343)),0)</f>
        <v/>
      </c>
      <c r="H343">
        <f>IF(AND(E343=1,B343="RECEIPT"),ROW(),0)</f>
        <v/>
      </c>
      <c r="I343">
        <f>IF(E343=1,IF(OR(B343="SALE",B343="WRITEOFF"),Transactions!E343,0),0)</f>
        <v/>
      </c>
      <c r="J343">
        <f>SUMIFS($F$1:F342,$A$1:A342,A343)</f>
        <v/>
      </c>
      <c r="K343">
        <f>SUMIFS($I$1:I342,$A$1:A342,A343)</f>
        <v/>
      </c>
      <c r="L343">
        <f>IFERROR(VLOOKUP(A343,Opening!$A:$C,3,0),0)</f>
        <v/>
      </c>
      <c r="M343">
        <f>IF(I343=0,0,MAX(0,MIN(INDEX(Month!H$2:H$13,MATCH($A343,Month!$A$2:$A$13,0))-K343,I343)))</f>
        <v/>
      </c>
      <c r="N343">
        <f>IF(I343=0,0,MAX(0,MIN(INDEX(Month!I$2:I$13,MATCH($A343,Month!$A$2:$A$13,0))-K343,I343)))</f>
        <v/>
      </c>
      <c r="O343">
        <f>IF(I343=0,0,MAX(0,MIN(INDEX(Month!J$2:J$13,MATCH($A343,Month!$A$2:$A$13,0))-K343,I343)))</f>
        <v/>
      </c>
      <c r="P343">
        <f>IF(I343=0,0,(MIN(MAX(K343,0),L343)*W343+SUMPRODUCT((Calc!$A$2:$A$1001=A343)*Calc!$G$2:$G$1001*(((K343-(L343+Calc!$J$2:$J$1001))&gt;0)*((K343-(L343+Calc!$J$2:$J$1001))&lt;Calc!$F$2:$F$1001)*(K343-(L343+Calc!$J$2:$J$1001))+((K343-(L343+Calc!$J$2:$J$1001))&gt;=Calc!$F$2:$F$1001)*Calc!$F$2:$F$1001))))</f>
        <v/>
      </c>
      <c r="Q343">
        <f>IF(I343=0,0,(MIN(MAX((K343+M343),0),L343)*W343+SUMPRODUCT((Calc!$A$2:$A$1001=A343)*Calc!$G$2:$G$1001*((((K343+M343)-(L343+Calc!$J$2:$J$1001))&gt;0)*(((K343+M343)-(L343+Calc!$J$2:$J$1001))&lt;Calc!$F$2:$F$1001)*((K343+M343)-(L343+Calc!$J$2:$J$1001))+(((K343+M343)-(L343+Calc!$J$2:$J$1001))&gt;=Calc!$F$2:$F$1001)*Calc!$F$2:$F$1001))))</f>
        <v/>
      </c>
      <c r="R343">
        <f>IF(I343=0,0,(MIN(MAX((K343+N343),0),L343)*W343+SUMPRODUCT((Calc!$A$2:$A$1001=A343)*Calc!$G$2:$G$1001*((((K343+N343)-(L343+Calc!$J$2:$J$1001))&gt;0)*(((K343+N343)-(L343+Calc!$J$2:$J$1001))&lt;Calc!$F$2:$F$1001)*((K343+N343)-(L343+Calc!$J$2:$J$1001))+(((K343+N343)-(L343+Calc!$J$2:$J$1001))&gt;=Calc!$F$2:$F$1001)*Calc!$F$2:$F$1001))))</f>
        <v/>
      </c>
      <c r="S343">
        <f>IF(I343=0,0,(MIN(MAX((K343+O343),0),L343)*W343+SUMPRODUCT((Calc!$A$2:$A$1001=A343)*Calc!$G$2:$G$1001*((((K343+O343)-(L343+Calc!$J$2:$J$1001))&gt;0)*(((K343+O343)-(L343+Calc!$J$2:$J$1001))&lt;Calc!$F$2:$F$1001)*((K343+O343)-(L343+Calc!$J$2:$J$1001))+(((K343+O343)-(L343+Calc!$J$2:$J$1001))&gt;=Calc!$F$2:$F$1001)*Calc!$F$2:$F$1001))))</f>
        <v/>
      </c>
      <c r="T343">
        <f>IF(AND(E343=1,B343="RETURN"),Transactions!E343*Transactions!G343,0)</f>
        <v/>
      </c>
      <c r="U343">
        <f>IF(AND(E343=1,B343="EXPENSE"),Transactions!J343,0)</f>
        <v/>
      </c>
      <c r="V343">
        <f>IF(AND(Transactions!A343&lt;&gt;"",E343=0),ROW(),"")</f>
        <v/>
      </c>
      <c r="W343">
        <f>IFERROR(VLOOKUP(A343,Opening!$A:$D,4,0),0)</f>
        <v/>
      </c>
    </row>
    <row r="344">
      <c r="A344">
        <f>IF(Transactions!D344="","",UPPER(TRIM(Transactions!D344)))</f>
        <v/>
      </c>
      <c r="B344">
        <f>IF(Transactions!C344="","",UPPER(TRIM(Transactions!C344)))</f>
        <v/>
      </c>
      <c r="C344">
        <f>IF(Transactions!B344="",0,YEAR(Transactions!B344)*100+MONTH(Transactions!B344))</f>
        <v/>
      </c>
      <c r="D344">
        <f>IF(Transactions!A344="",1,IF(COUNTIF(Transactions!$A$1:A343,Transactions!A344)&gt;0,1,0))</f>
        <v/>
      </c>
      <c r="E344">
        <f>IF(D344=1,0,IF(B344="RETURN",IF(COUNTIFS($A$1:A343,A344,$B$1:B343,"SALE",$E$1:E343,1)&gt;0,1,0),1))</f>
        <v/>
      </c>
      <c r="F344">
        <f>IF(E344=1,IF(B344="RECEIPT",Transactions!E344,IF(AND(B344="RETURN",LOWER(TRIM(Transactions!H344))="resellable"),Transactions!E344,0)),0)</f>
        <v/>
      </c>
      <c r="G344">
        <f>IF(F344&gt;0,IF(B344="RECEIPT",Transactions!F344,IF(_xlfn.MAXIFS($H$2:H344,$A$2:A344,A344)&gt;0,INDEX(Transactions!$F:$F,_xlfn.MAXIFS($H$2:H344,$A$2:A344,A344)),W344)),0)</f>
        <v/>
      </c>
      <c r="H344">
        <f>IF(AND(E344=1,B344="RECEIPT"),ROW(),0)</f>
        <v/>
      </c>
      <c r="I344">
        <f>IF(E344=1,IF(OR(B344="SALE",B344="WRITEOFF"),Transactions!E344,0),0)</f>
        <v/>
      </c>
      <c r="J344">
        <f>SUMIFS($F$1:F343,$A$1:A343,A344)</f>
        <v/>
      </c>
      <c r="K344">
        <f>SUMIFS($I$1:I343,$A$1:A343,A344)</f>
        <v/>
      </c>
      <c r="L344">
        <f>IFERROR(VLOOKUP(A344,Opening!$A:$C,3,0),0)</f>
        <v/>
      </c>
      <c r="M344">
        <f>IF(I344=0,0,MAX(0,MIN(INDEX(Month!H$2:H$13,MATCH($A344,Month!$A$2:$A$13,0))-K344,I344)))</f>
        <v/>
      </c>
      <c r="N344">
        <f>IF(I344=0,0,MAX(0,MIN(INDEX(Month!I$2:I$13,MATCH($A344,Month!$A$2:$A$13,0))-K344,I344)))</f>
        <v/>
      </c>
      <c r="O344">
        <f>IF(I344=0,0,MAX(0,MIN(INDEX(Month!J$2:J$13,MATCH($A344,Month!$A$2:$A$13,0))-K344,I344)))</f>
        <v/>
      </c>
      <c r="P344">
        <f>IF(I344=0,0,(MIN(MAX(K344,0),L344)*W344+SUMPRODUCT((Calc!$A$2:$A$1001=A344)*Calc!$G$2:$G$1001*(((K344-(L344+Calc!$J$2:$J$1001))&gt;0)*((K344-(L344+Calc!$J$2:$J$1001))&lt;Calc!$F$2:$F$1001)*(K344-(L344+Calc!$J$2:$J$1001))+((K344-(L344+Calc!$J$2:$J$1001))&gt;=Calc!$F$2:$F$1001)*Calc!$F$2:$F$1001))))</f>
        <v/>
      </c>
      <c r="Q344">
        <f>IF(I344=0,0,(MIN(MAX((K344+M344),0),L344)*W344+SUMPRODUCT((Calc!$A$2:$A$1001=A344)*Calc!$G$2:$G$1001*((((K344+M344)-(L344+Calc!$J$2:$J$1001))&gt;0)*(((K344+M344)-(L344+Calc!$J$2:$J$1001))&lt;Calc!$F$2:$F$1001)*((K344+M344)-(L344+Calc!$J$2:$J$1001))+(((K344+M344)-(L344+Calc!$J$2:$J$1001))&gt;=Calc!$F$2:$F$1001)*Calc!$F$2:$F$1001))))</f>
        <v/>
      </c>
      <c r="R344">
        <f>IF(I344=0,0,(MIN(MAX((K344+N344),0),L344)*W344+SUMPRODUCT((Calc!$A$2:$A$1001=A344)*Calc!$G$2:$G$1001*((((K344+N344)-(L344+Calc!$J$2:$J$1001))&gt;0)*(((K344+N344)-(L344+Calc!$J$2:$J$1001))&lt;Calc!$F$2:$F$1001)*((K344+N344)-(L344+Calc!$J$2:$J$1001))+(((K344+N344)-(L344+Calc!$J$2:$J$1001))&gt;=Calc!$F$2:$F$1001)*Calc!$F$2:$F$1001))))</f>
        <v/>
      </c>
      <c r="S344">
        <f>IF(I344=0,0,(MIN(MAX((K344+O344),0),L344)*W344+SUMPRODUCT((Calc!$A$2:$A$1001=A344)*Calc!$G$2:$G$1001*((((K344+O344)-(L344+Calc!$J$2:$J$1001))&gt;0)*(((K344+O344)-(L344+Calc!$J$2:$J$1001))&lt;Calc!$F$2:$F$1001)*((K344+O344)-(L344+Calc!$J$2:$J$1001))+(((K344+O344)-(L344+Calc!$J$2:$J$1001))&gt;=Calc!$F$2:$F$1001)*Calc!$F$2:$F$1001))))</f>
        <v/>
      </c>
      <c r="T344">
        <f>IF(AND(E344=1,B344="RETURN"),Transactions!E344*Transactions!G344,0)</f>
        <v/>
      </c>
      <c r="U344">
        <f>IF(AND(E344=1,B344="EXPENSE"),Transactions!J344,0)</f>
        <v/>
      </c>
      <c r="V344">
        <f>IF(AND(Transactions!A344&lt;&gt;"",E344=0),ROW(),"")</f>
        <v/>
      </c>
      <c r="W344">
        <f>IFERROR(VLOOKUP(A344,Opening!$A:$D,4,0),0)</f>
        <v/>
      </c>
    </row>
    <row r="345">
      <c r="A345">
        <f>IF(Transactions!D345="","",UPPER(TRIM(Transactions!D345)))</f>
        <v/>
      </c>
      <c r="B345">
        <f>IF(Transactions!C345="","",UPPER(TRIM(Transactions!C345)))</f>
        <v/>
      </c>
      <c r="C345">
        <f>IF(Transactions!B345="",0,YEAR(Transactions!B345)*100+MONTH(Transactions!B345))</f>
        <v/>
      </c>
      <c r="D345">
        <f>IF(Transactions!A345="",1,IF(COUNTIF(Transactions!$A$1:A344,Transactions!A345)&gt;0,1,0))</f>
        <v/>
      </c>
      <c r="E345">
        <f>IF(D345=1,0,IF(B345="RETURN",IF(COUNTIFS($A$1:A344,A345,$B$1:B344,"SALE",$E$1:E344,1)&gt;0,1,0),1))</f>
        <v/>
      </c>
      <c r="F345">
        <f>IF(E345=1,IF(B345="RECEIPT",Transactions!E345,IF(AND(B345="RETURN",LOWER(TRIM(Transactions!H345))="resellable"),Transactions!E345,0)),0)</f>
        <v/>
      </c>
      <c r="G345">
        <f>IF(F345&gt;0,IF(B345="RECEIPT",Transactions!F345,IF(_xlfn.MAXIFS($H$2:H345,$A$2:A345,A345)&gt;0,INDEX(Transactions!$F:$F,_xlfn.MAXIFS($H$2:H345,$A$2:A345,A345)),W345)),0)</f>
        <v/>
      </c>
      <c r="H345">
        <f>IF(AND(E345=1,B345="RECEIPT"),ROW(),0)</f>
        <v/>
      </c>
      <c r="I345">
        <f>IF(E345=1,IF(OR(B345="SALE",B345="WRITEOFF"),Transactions!E345,0),0)</f>
        <v/>
      </c>
      <c r="J345">
        <f>SUMIFS($F$1:F344,$A$1:A344,A345)</f>
        <v/>
      </c>
      <c r="K345">
        <f>SUMIFS($I$1:I344,$A$1:A344,A345)</f>
        <v/>
      </c>
      <c r="L345">
        <f>IFERROR(VLOOKUP(A345,Opening!$A:$C,3,0),0)</f>
        <v/>
      </c>
      <c r="M345">
        <f>IF(I345=0,0,MAX(0,MIN(INDEX(Month!H$2:H$13,MATCH($A345,Month!$A$2:$A$13,0))-K345,I345)))</f>
        <v/>
      </c>
      <c r="N345">
        <f>IF(I345=0,0,MAX(0,MIN(INDEX(Month!I$2:I$13,MATCH($A345,Month!$A$2:$A$13,0))-K345,I345)))</f>
        <v/>
      </c>
      <c r="O345">
        <f>IF(I345=0,0,MAX(0,MIN(INDEX(Month!J$2:J$13,MATCH($A345,Month!$A$2:$A$13,0))-K345,I345)))</f>
        <v/>
      </c>
      <c r="P345">
        <f>IF(I345=0,0,(MIN(MAX(K345,0),L345)*W345+SUMPRODUCT((Calc!$A$2:$A$1001=A345)*Calc!$G$2:$G$1001*(((K345-(L345+Calc!$J$2:$J$1001))&gt;0)*((K345-(L345+Calc!$J$2:$J$1001))&lt;Calc!$F$2:$F$1001)*(K345-(L345+Calc!$J$2:$J$1001))+((K345-(L345+Calc!$J$2:$J$1001))&gt;=Calc!$F$2:$F$1001)*Calc!$F$2:$F$1001))))</f>
        <v/>
      </c>
      <c r="Q345">
        <f>IF(I345=0,0,(MIN(MAX((K345+M345),0),L345)*W345+SUMPRODUCT((Calc!$A$2:$A$1001=A345)*Calc!$G$2:$G$1001*((((K345+M345)-(L345+Calc!$J$2:$J$1001))&gt;0)*(((K345+M345)-(L345+Calc!$J$2:$J$1001))&lt;Calc!$F$2:$F$1001)*((K345+M345)-(L345+Calc!$J$2:$J$1001))+(((K345+M345)-(L345+Calc!$J$2:$J$1001))&gt;=Calc!$F$2:$F$1001)*Calc!$F$2:$F$1001))))</f>
        <v/>
      </c>
      <c r="R345">
        <f>IF(I345=0,0,(MIN(MAX((K345+N345),0),L345)*W345+SUMPRODUCT((Calc!$A$2:$A$1001=A345)*Calc!$G$2:$G$1001*((((K345+N345)-(L345+Calc!$J$2:$J$1001))&gt;0)*(((K345+N345)-(L345+Calc!$J$2:$J$1001))&lt;Calc!$F$2:$F$1001)*((K345+N345)-(L345+Calc!$J$2:$J$1001))+(((K345+N345)-(L345+Calc!$J$2:$J$1001))&gt;=Calc!$F$2:$F$1001)*Calc!$F$2:$F$1001))))</f>
        <v/>
      </c>
      <c r="S345">
        <f>IF(I345=0,0,(MIN(MAX((K345+O345),0),L345)*W345+SUMPRODUCT((Calc!$A$2:$A$1001=A345)*Calc!$G$2:$G$1001*((((K345+O345)-(L345+Calc!$J$2:$J$1001))&gt;0)*(((K345+O345)-(L345+Calc!$J$2:$J$1001))&lt;Calc!$F$2:$F$1001)*((K345+O345)-(L345+Calc!$J$2:$J$1001))+(((K345+O345)-(L345+Calc!$J$2:$J$1001))&gt;=Calc!$F$2:$F$1001)*Calc!$F$2:$F$1001))))</f>
        <v/>
      </c>
      <c r="T345">
        <f>IF(AND(E345=1,B345="RETURN"),Transactions!E345*Transactions!G345,0)</f>
        <v/>
      </c>
      <c r="U345">
        <f>IF(AND(E345=1,B345="EXPENSE"),Transactions!J345,0)</f>
        <v/>
      </c>
      <c r="V345">
        <f>IF(AND(Transactions!A345&lt;&gt;"",E345=0),ROW(),"")</f>
        <v/>
      </c>
      <c r="W345">
        <f>IFERROR(VLOOKUP(A345,Opening!$A:$D,4,0),0)</f>
        <v/>
      </c>
    </row>
    <row r="346">
      <c r="A346">
        <f>IF(Transactions!D346="","",UPPER(TRIM(Transactions!D346)))</f>
        <v/>
      </c>
      <c r="B346">
        <f>IF(Transactions!C346="","",UPPER(TRIM(Transactions!C346)))</f>
        <v/>
      </c>
      <c r="C346">
        <f>IF(Transactions!B346="",0,YEAR(Transactions!B346)*100+MONTH(Transactions!B346))</f>
        <v/>
      </c>
      <c r="D346">
        <f>IF(Transactions!A346="",1,IF(COUNTIF(Transactions!$A$1:A345,Transactions!A346)&gt;0,1,0))</f>
        <v/>
      </c>
      <c r="E346">
        <f>IF(D346=1,0,IF(B346="RETURN",IF(COUNTIFS($A$1:A345,A346,$B$1:B345,"SALE",$E$1:E345,1)&gt;0,1,0),1))</f>
        <v/>
      </c>
      <c r="F346">
        <f>IF(E346=1,IF(B346="RECEIPT",Transactions!E346,IF(AND(B346="RETURN",LOWER(TRIM(Transactions!H346))="resellable"),Transactions!E346,0)),0)</f>
        <v/>
      </c>
      <c r="G346">
        <f>IF(F346&gt;0,IF(B346="RECEIPT",Transactions!F346,IF(_xlfn.MAXIFS($H$2:H346,$A$2:A346,A346)&gt;0,INDEX(Transactions!$F:$F,_xlfn.MAXIFS($H$2:H346,$A$2:A346,A346)),W346)),0)</f>
        <v/>
      </c>
      <c r="H346">
        <f>IF(AND(E346=1,B346="RECEIPT"),ROW(),0)</f>
        <v/>
      </c>
      <c r="I346">
        <f>IF(E346=1,IF(OR(B346="SALE",B346="WRITEOFF"),Transactions!E346,0),0)</f>
        <v/>
      </c>
      <c r="J346">
        <f>SUMIFS($F$1:F345,$A$1:A345,A346)</f>
        <v/>
      </c>
      <c r="K346">
        <f>SUMIFS($I$1:I345,$A$1:A345,A346)</f>
        <v/>
      </c>
      <c r="L346">
        <f>IFERROR(VLOOKUP(A346,Opening!$A:$C,3,0),0)</f>
        <v/>
      </c>
      <c r="M346">
        <f>IF(I346=0,0,MAX(0,MIN(INDEX(Month!H$2:H$13,MATCH($A346,Month!$A$2:$A$13,0))-K346,I346)))</f>
        <v/>
      </c>
      <c r="N346">
        <f>IF(I346=0,0,MAX(0,MIN(INDEX(Month!I$2:I$13,MATCH($A346,Month!$A$2:$A$13,0))-K346,I346)))</f>
        <v/>
      </c>
      <c r="O346">
        <f>IF(I346=0,0,MAX(0,MIN(INDEX(Month!J$2:J$13,MATCH($A346,Month!$A$2:$A$13,0))-K346,I346)))</f>
        <v/>
      </c>
      <c r="P346">
        <f>IF(I346=0,0,(MIN(MAX(K346,0),L346)*W346+SUMPRODUCT((Calc!$A$2:$A$1001=A346)*Calc!$G$2:$G$1001*(((K346-(L346+Calc!$J$2:$J$1001))&gt;0)*((K346-(L346+Calc!$J$2:$J$1001))&lt;Calc!$F$2:$F$1001)*(K346-(L346+Calc!$J$2:$J$1001))+((K346-(L346+Calc!$J$2:$J$1001))&gt;=Calc!$F$2:$F$1001)*Calc!$F$2:$F$1001))))</f>
        <v/>
      </c>
      <c r="Q346">
        <f>IF(I346=0,0,(MIN(MAX((K346+M346),0),L346)*W346+SUMPRODUCT((Calc!$A$2:$A$1001=A346)*Calc!$G$2:$G$1001*((((K346+M346)-(L346+Calc!$J$2:$J$1001))&gt;0)*(((K346+M346)-(L346+Calc!$J$2:$J$1001))&lt;Calc!$F$2:$F$1001)*((K346+M346)-(L346+Calc!$J$2:$J$1001))+(((K346+M346)-(L346+Calc!$J$2:$J$1001))&gt;=Calc!$F$2:$F$1001)*Calc!$F$2:$F$1001))))</f>
        <v/>
      </c>
      <c r="R346">
        <f>IF(I346=0,0,(MIN(MAX((K346+N346),0),L346)*W346+SUMPRODUCT((Calc!$A$2:$A$1001=A346)*Calc!$G$2:$G$1001*((((K346+N346)-(L346+Calc!$J$2:$J$1001))&gt;0)*(((K346+N346)-(L346+Calc!$J$2:$J$1001))&lt;Calc!$F$2:$F$1001)*((K346+N346)-(L346+Calc!$J$2:$J$1001))+(((K346+N346)-(L346+Calc!$J$2:$J$1001))&gt;=Calc!$F$2:$F$1001)*Calc!$F$2:$F$1001))))</f>
        <v/>
      </c>
      <c r="S346">
        <f>IF(I346=0,0,(MIN(MAX((K346+O346),0),L346)*W346+SUMPRODUCT((Calc!$A$2:$A$1001=A346)*Calc!$G$2:$G$1001*((((K346+O346)-(L346+Calc!$J$2:$J$1001))&gt;0)*(((K346+O346)-(L346+Calc!$J$2:$J$1001))&lt;Calc!$F$2:$F$1001)*((K346+O346)-(L346+Calc!$J$2:$J$1001))+(((K346+O346)-(L346+Calc!$J$2:$J$1001))&gt;=Calc!$F$2:$F$1001)*Calc!$F$2:$F$1001))))</f>
        <v/>
      </c>
      <c r="T346">
        <f>IF(AND(E346=1,B346="RETURN"),Transactions!E346*Transactions!G346,0)</f>
        <v/>
      </c>
      <c r="U346">
        <f>IF(AND(E346=1,B346="EXPENSE"),Transactions!J346,0)</f>
        <v/>
      </c>
      <c r="V346">
        <f>IF(AND(Transactions!A346&lt;&gt;"",E346=0),ROW(),"")</f>
        <v/>
      </c>
      <c r="W346">
        <f>IFERROR(VLOOKUP(A346,Opening!$A:$D,4,0),0)</f>
        <v/>
      </c>
    </row>
    <row r="347">
      <c r="A347">
        <f>IF(Transactions!D347="","",UPPER(TRIM(Transactions!D347)))</f>
        <v/>
      </c>
      <c r="B347">
        <f>IF(Transactions!C347="","",UPPER(TRIM(Transactions!C347)))</f>
        <v/>
      </c>
      <c r="C347">
        <f>IF(Transactions!B347="",0,YEAR(Transactions!B347)*100+MONTH(Transactions!B347))</f>
        <v/>
      </c>
      <c r="D347">
        <f>IF(Transactions!A347="",1,IF(COUNTIF(Transactions!$A$1:A346,Transactions!A347)&gt;0,1,0))</f>
        <v/>
      </c>
      <c r="E347">
        <f>IF(D347=1,0,IF(B347="RETURN",IF(COUNTIFS($A$1:A346,A347,$B$1:B346,"SALE",$E$1:E346,1)&gt;0,1,0),1))</f>
        <v/>
      </c>
      <c r="F347">
        <f>IF(E347=1,IF(B347="RECEIPT",Transactions!E347,IF(AND(B347="RETURN",LOWER(TRIM(Transactions!H347))="resellable"),Transactions!E347,0)),0)</f>
        <v/>
      </c>
      <c r="G347">
        <f>IF(F347&gt;0,IF(B347="RECEIPT",Transactions!F347,IF(_xlfn.MAXIFS($H$2:H347,$A$2:A347,A347)&gt;0,INDEX(Transactions!$F:$F,_xlfn.MAXIFS($H$2:H347,$A$2:A347,A347)),W347)),0)</f>
        <v/>
      </c>
      <c r="H347">
        <f>IF(AND(E347=1,B347="RECEIPT"),ROW(),0)</f>
        <v/>
      </c>
      <c r="I347">
        <f>IF(E347=1,IF(OR(B347="SALE",B347="WRITEOFF"),Transactions!E347,0),0)</f>
        <v/>
      </c>
      <c r="J347">
        <f>SUMIFS($F$1:F346,$A$1:A346,A347)</f>
        <v/>
      </c>
      <c r="K347">
        <f>SUMIFS($I$1:I346,$A$1:A346,A347)</f>
        <v/>
      </c>
      <c r="L347">
        <f>IFERROR(VLOOKUP(A347,Opening!$A:$C,3,0),0)</f>
        <v/>
      </c>
      <c r="M347">
        <f>IF(I347=0,0,MAX(0,MIN(INDEX(Month!H$2:H$13,MATCH($A347,Month!$A$2:$A$13,0))-K347,I347)))</f>
        <v/>
      </c>
      <c r="N347">
        <f>IF(I347=0,0,MAX(0,MIN(INDEX(Month!I$2:I$13,MATCH($A347,Month!$A$2:$A$13,0))-K347,I347)))</f>
        <v/>
      </c>
      <c r="O347">
        <f>IF(I347=0,0,MAX(0,MIN(INDEX(Month!J$2:J$13,MATCH($A347,Month!$A$2:$A$13,0))-K347,I347)))</f>
        <v/>
      </c>
      <c r="P347">
        <f>IF(I347=0,0,(MIN(MAX(K347,0),L347)*W347+SUMPRODUCT((Calc!$A$2:$A$1001=A347)*Calc!$G$2:$G$1001*(((K347-(L347+Calc!$J$2:$J$1001))&gt;0)*((K347-(L347+Calc!$J$2:$J$1001))&lt;Calc!$F$2:$F$1001)*(K347-(L347+Calc!$J$2:$J$1001))+((K347-(L347+Calc!$J$2:$J$1001))&gt;=Calc!$F$2:$F$1001)*Calc!$F$2:$F$1001))))</f>
        <v/>
      </c>
      <c r="Q347">
        <f>IF(I347=0,0,(MIN(MAX((K347+M347),0),L347)*W347+SUMPRODUCT((Calc!$A$2:$A$1001=A347)*Calc!$G$2:$G$1001*((((K347+M347)-(L347+Calc!$J$2:$J$1001))&gt;0)*(((K347+M347)-(L347+Calc!$J$2:$J$1001))&lt;Calc!$F$2:$F$1001)*((K347+M347)-(L347+Calc!$J$2:$J$1001))+(((K347+M347)-(L347+Calc!$J$2:$J$1001))&gt;=Calc!$F$2:$F$1001)*Calc!$F$2:$F$1001))))</f>
        <v/>
      </c>
      <c r="R347">
        <f>IF(I347=0,0,(MIN(MAX((K347+N347),0),L347)*W347+SUMPRODUCT((Calc!$A$2:$A$1001=A347)*Calc!$G$2:$G$1001*((((K347+N347)-(L347+Calc!$J$2:$J$1001))&gt;0)*(((K347+N347)-(L347+Calc!$J$2:$J$1001))&lt;Calc!$F$2:$F$1001)*((K347+N347)-(L347+Calc!$J$2:$J$1001))+(((K347+N347)-(L347+Calc!$J$2:$J$1001))&gt;=Calc!$F$2:$F$1001)*Calc!$F$2:$F$1001))))</f>
        <v/>
      </c>
      <c r="S347">
        <f>IF(I347=0,0,(MIN(MAX((K347+O347),0),L347)*W347+SUMPRODUCT((Calc!$A$2:$A$1001=A347)*Calc!$G$2:$G$1001*((((K347+O347)-(L347+Calc!$J$2:$J$1001))&gt;0)*(((K347+O347)-(L347+Calc!$J$2:$J$1001))&lt;Calc!$F$2:$F$1001)*((K347+O347)-(L347+Calc!$J$2:$J$1001))+(((K347+O347)-(L347+Calc!$J$2:$J$1001))&gt;=Calc!$F$2:$F$1001)*Calc!$F$2:$F$1001))))</f>
        <v/>
      </c>
      <c r="T347">
        <f>IF(AND(E347=1,B347="RETURN"),Transactions!E347*Transactions!G347,0)</f>
        <v/>
      </c>
      <c r="U347">
        <f>IF(AND(E347=1,B347="EXPENSE"),Transactions!J347,0)</f>
        <v/>
      </c>
      <c r="V347">
        <f>IF(AND(Transactions!A347&lt;&gt;"",E347=0),ROW(),"")</f>
        <v/>
      </c>
      <c r="W347">
        <f>IFERROR(VLOOKUP(A347,Opening!$A:$D,4,0),0)</f>
        <v/>
      </c>
    </row>
    <row r="348">
      <c r="A348">
        <f>IF(Transactions!D348="","",UPPER(TRIM(Transactions!D348)))</f>
        <v/>
      </c>
      <c r="B348">
        <f>IF(Transactions!C348="","",UPPER(TRIM(Transactions!C348)))</f>
        <v/>
      </c>
      <c r="C348">
        <f>IF(Transactions!B348="",0,YEAR(Transactions!B348)*100+MONTH(Transactions!B348))</f>
        <v/>
      </c>
      <c r="D348">
        <f>IF(Transactions!A348="",1,IF(COUNTIF(Transactions!$A$1:A347,Transactions!A348)&gt;0,1,0))</f>
        <v/>
      </c>
      <c r="E348">
        <f>IF(D348=1,0,IF(B348="RETURN",IF(COUNTIFS($A$1:A347,A348,$B$1:B347,"SALE",$E$1:E347,1)&gt;0,1,0),1))</f>
        <v/>
      </c>
      <c r="F348">
        <f>IF(E348=1,IF(B348="RECEIPT",Transactions!E348,IF(AND(B348="RETURN",LOWER(TRIM(Transactions!H348))="resellable"),Transactions!E348,0)),0)</f>
        <v/>
      </c>
      <c r="G348">
        <f>IF(F348&gt;0,IF(B348="RECEIPT",Transactions!F348,IF(_xlfn.MAXIFS($H$2:H348,$A$2:A348,A348)&gt;0,INDEX(Transactions!$F:$F,_xlfn.MAXIFS($H$2:H348,$A$2:A348,A348)),W348)),0)</f>
        <v/>
      </c>
      <c r="H348">
        <f>IF(AND(E348=1,B348="RECEIPT"),ROW(),0)</f>
        <v/>
      </c>
      <c r="I348">
        <f>IF(E348=1,IF(OR(B348="SALE",B348="WRITEOFF"),Transactions!E348,0),0)</f>
        <v/>
      </c>
      <c r="J348">
        <f>SUMIFS($F$1:F347,$A$1:A347,A348)</f>
        <v/>
      </c>
      <c r="K348">
        <f>SUMIFS($I$1:I347,$A$1:A347,A348)</f>
        <v/>
      </c>
      <c r="L348">
        <f>IFERROR(VLOOKUP(A348,Opening!$A:$C,3,0),0)</f>
        <v/>
      </c>
      <c r="M348">
        <f>IF(I348=0,0,MAX(0,MIN(INDEX(Month!H$2:H$13,MATCH($A348,Month!$A$2:$A$13,0))-K348,I348)))</f>
        <v/>
      </c>
      <c r="N348">
        <f>IF(I348=0,0,MAX(0,MIN(INDEX(Month!I$2:I$13,MATCH($A348,Month!$A$2:$A$13,0))-K348,I348)))</f>
        <v/>
      </c>
      <c r="O348">
        <f>IF(I348=0,0,MAX(0,MIN(INDEX(Month!J$2:J$13,MATCH($A348,Month!$A$2:$A$13,0))-K348,I348)))</f>
        <v/>
      </c>
      <c r="P348">
        <f>IF(I348=0,0,(MIN(MAX(K348,0),L348)*W348+SUMPRODUCT((Calc!$A$2:$A$1001=A348)*Calc!$G$2:$G$1001*(((K348-(L348+Calc!$J$2:$J$1001))&gt;0)*((K348-(L348+Calc!$J$2:$J$1001))&lt;Calc!$F$2:$F$1001)*(K348-(L348+Calc!$J$2:$J$1001))+((K348-(L348+Calc!$J$2:$J$1001))&gt;=Calc!$F$2:$F$1001)*Calc!$F$2:$F$1001))))</f>
        <v/>
      </c>
      <c r="Q348">
        <f>IF(I348=0,0,(MIN(MAX((K348+M348),0),L348)*W348+SUMPRODUCT((Calc!$A$2:$A$1001=A348)*Calc!$G$2:$G$1001*((((K348+M348)-(L348+Calc!$J$2:$J$1001))&gt;0)*(((K348+M348)-(L348+Calc!$J$2:$J$1001))&lt;Calc!$F$2:$F$1001)*((K348+M348)-(L348+Calc!$J$2:$J$1001))+(((K348+M348)-(L348+Calc!$J$2:$J$1001))&gt;=Calc!$F$2:$F$1001)*Calc!$F$2:$F$1001))))</f>
        <v/>
      </c>
      <c r="R348">
        <f>IF(I348=0,0,(MIN(MAX((K348+N348),0),L348)*W348+SUMPRODUCT((Calc!$A$2:$A$1001=A348)*Calc!$G$2:$G$1001*((((K348+N348)-(L348+Calc!$J$2:$J$1001))&gt;0)*(((K348+N348)-(L348+Calc!$J$2:$J$1001))&lt;Calc!$F$2:$F$1001)*((K348+N348)-(L348+Calc!$J$2:$J$1001))+(((K348+N348)-(L348+Calc!$J$2:$J$1001))&gt;=Calc!$F$2:$F$1001)*Calc!$F$2:$F$1001))))</f>
        <v/>
      </c>
      <c r="S348">
        <f>IF(I348=0,0,(MIN(MAX((K348+O348),0),L348)*W348+SUMPRODUCT((Calc!$A$2:$A$1001=A348)*Calc!$G$2:$G$1001*((((K348+O348)-(L348+Calc!$J$2:$J$1001))&gt;0)*(((K348+O348)-(L348+Calc!$J$2:$J$1001))&lt;Calc!$F$2:$F$1001)*((K348+O348)-(L348+Calc!$J$2:$J$1001))+(((K348+O348)-(L348+Calc!$J$2:$J$1001))&gt;=Calc!$F$2:$F$1001)*Calc!$F$2:$F$1001))))</f>
        <v/>
      </c>
      <c r="T348">
        <f>IF(AND(E348=1,B348="RETURN"),Transactions!E348*Transactions!G348,0)</f>
        <v/>
      </c>
      <c r="U348">
        <f>IF(AND(E348=1,B348="EXPENSE"),Transactions!J348,0)</f>
        <v/>
      </c>
      <c r="V348">
        <f>IF(AND(Transactions!A348&lt;&gt;"",E348=0),ROW(),"")</f>
        <v/>
      </c>
      <c r="W348">
        <f>IFERROR(VLOOKUP(A348,Opening!$A:$D,4,0),0)</f>
        <v/>
      </c>
    </row>
    <row r="349">
      <c r="A349">
        <f>IF(Transactions!D349="","",UPPER(TRIM(Transactions!D349)))</f>
        <v/>
      </c>
      <c r="B349">
        <f>IF(Transactions!C349="","",UPPER(TRIM(Transactions!C349)))</f>
        <v/>
      </c>
      <c r="C349">
        <f>IF(Transactions!B349="",0,YEAR(Transactions!B349)*100+MONTH(Transactions!B349))</f>
        <v/>
      </c>
      <c r="D349">
        <f>IF(Transactions!A349="",1,IF(COUNTIF(Transactions!$A$1:A348,Transactions!A349)&gt;0,1,0))</f>
        <v/>
      </c>
      <c r="E349">
        <f>IF(D349=1,0,IF(B349="RETURN",IF(COUNTIFS($A$1:A348,A349,$B$1:B348,"SALE",$E$1:E348,1)&gt;0,1,0),1))</f>
        <v/>
      </c>
      <c r="F349">
        <f>IF(E349=1,IF(B349="RECEIPT",Transactions!E349,IF(AND(B349="RETURN",LOWER(TRIM(Transactions!H349))="resellable"),Transactions!E349,0)),0)</f>
        <v/>
      </c>
      <c r="G349">
        <f>IF(F349&gt;0,IF(B349="RECEIPT",Transactions!F349,IF(_xlfn.MAXIFS($H$2:H349,$A$2:A349,A349)&gt;0,INDEX(Transactions!$F:$F,_xlfn.MAXIFS($H$2:H349,$A$2:A349,A349)),W349)),0)</f>
        <v/>
      </c>
      <c r="H349">
        <f>IF(AND(E349=1,B349="RECEIPT"),ROW(),0)</f>
        <v/>
      </c>
      <c r="I349">
        <f>IF(E349=1,IF(OR(B349="SALE",B349="WRITEOFF"),Transactions!E349,0),0)</f>
        <v/>
      </c>
      <c r="J349">
        <f>SUMIFS($F$1:F348,$A$1:A348,A349)</f>
        <v/>
      </c>
      <c r="K349">
        <f>SUMIFS($I$1:I348,$A$1:A348,A349)</f>
        <v/>
      </c>
      <c r="L349">
        <f>IFERROR(VLOOKUP(A349,Opening!$A:$C,3,0),0)</f>
        <v/>
      </c>
      <c r="M349">
        <f>IF(I349=0,0,MAX(0,MIN(INDEX(Month!H$2:H$13,MATCH($A349,Month!$A$2:$A$13,0))-K349,I349)))</f>
        <v/>
      </c>
      <c r="N349">
        <f>IF(I349=0,0,MAX(0,MIN(INDEX(Month!I$2:I$13,MATCH($A349,Month!$A$2:$A$13,0))-K349,I349)))</f>
        <v/>
      </c>
      <c r="O349">
        <f>IF(I349=0,0,MAX(0,MIN(INDEX(Month!J$2:J$13,MATCH($A349,Month!$A$2:$A$13,0))-K349,I349)))</f>
        <v/>
      </c>
      <c r="P349">
        <f>IF(I349=0,0,(MIN(MAX(K349,0),L349)*W349+SUMPRODUCT((Calc!$A$2:$A$1001=A349)*Calc!$G$2:$G$1001*(((K349-(L349+Calc!$J$2:$J$1001))&gt;0)*((K349-(L349+Calc!$J$2:$J$1001))&lt;Calc!$F$2:$F$1001)*(K349-(L349+Calc!$J$2:$J$1001))+((K349-(L349+Calc!$J$2:$J$1001))&gt;=Calc!$F$2:$F$1001)*Calc!$F$2:$F$1001))))</f>
        <v/>
      </c>
      <c r="Q349">
        <f>IF(I349=0,0,(MIN(MAX((K349+M349),0),L349)*W349+SUMPRODUCT((Calc!$A$2:$A$1001=A349)*Calc!$G$2:$G$1001*((((K349+M349)-(L349+Calc!$J$2:$J$1001))&gt;0)*(((K349+M349)-(L349+Calc!$J$2:$J$1001))&lt;Calc!$F$2:$F$1001)*((K349+M349)-(L349+Calc!$J$2:$J$1001))+(((K349+M349)-(L349+Calc!$J$2:$J$1001))&gt;=Calc!$F$2:$F$1001)*Calc!$F$2:$F$1001))))</f>
        <v/>
      </c>
      <c r="R349">
        <f>IF(I349=0,0,(MIN(MAX((K349+N349),0),L349)*W349+SUMPRODUCT((Calc!$A$2:$A$1001=A349)*Calc!$G$2:$G$1001*((((K349+N349)-(L349+Calc!$J$2:$J$1001))&gt;0)*(((K349+N349)-(L349+Calc!$J$2:$J$1001))&lt;Calc!$F$2:$F$1001)*((K349+N349)-(L349+Calc!$J$2:$J$1001))+(((K349+N349)-(L349+Calc!$J$2:$J$1001))&gt;=Calc!$F$2:$F$1001)*Calc!$F$2:$F$1001))))</f>
        <v/>
      </c>
      <c r="S349">
        <f>IF(I349=0,0,(MIN(MAX((K349+O349),0),L349)*W349+SUMPRODUCT((Calc!$A$2:$A$1001=A349)*Calc!$G$2:$G$1001*((((K349+O349)-(L349+Calc!$J$2:$J$1001))&gt;0)*(((K349+O349)-(L349+Calc!$J$2:$J$1001))&lt;Calc!$F$2:$F$1001)*((K349+O349)-(L349+Calc!$J$2:$J$1001))+(((K349+O349)-(L349+Calc!$J$2:$J$1001))&gt;=Calc!$F$2:$F$1001)*Calc!$F$2:$F$1001))))</f>
        <v/>
      </c>
      <c r="T349">
        <f>IF(AND(E349=1,B349="RETURN"),Transactions!E349*Transactions!G349,0)</f>
        <v/>
      </c>
      <c r="U349">
        <f>IF(AND(E349=1,B349="EXPENSE"),Transactions!J349,0)</f>
        <v/>
      </c>
      <c r="V349">
        <f>IF(AND(Transactions!A349&lt;&gt;"",E349=0),ROW(),"")</f>
        <v/>
      </c>
      <c r="W349">
        <f>IFERROR(VLOOKUP(A349,Opening!$A:$D,4,0),0)</f>
        <v/>
      </c>
    </row>
    <row r="350">
      <c r="A350">
        <f>IF(Transactions!D350="","",UPPER(TRIM(Transactions!D350)))</f>
        <v/>
      </c>
      <c r="B350">
        <f>IF(Transactions!C350="","",UPPER(TRIM(Transactions!C350)))</f>
        <v/>
      </c>
      <c r="C350">
        <f>IF(Transactions!B350="",0,YEAR(Transactions!B350)*100+MONTH(Transactions!B350))</f>
        <v/>
      </c>
      <c r="D350">
        <f>IF(Transactions!A350="",1,IF(COUNTIF(Transactions!$A$1:A349,Transactions!A350)&gt;0,1,0))</f>
        <v/>
      </c>
      <c r="E350">
        <f>IF(D350=1,0,IF(B350="RETURN",IF(COUNTIFS($A$1:A349,A350,$B$1:B349,"SALE",$E$1:E349,1)&gt;0,1,0),1))</f>
        <v/>
      </c>
      <c r="F350">
        <f>IF(E350=1,IF(B350="RECEIPT",Transactions!E350,IF(AND(B350="RETURN",LOWER(TRIM(Transactions!H350))="resellable"),Transactions!E350,0)),0)</f>
        <v/>
      </c>
      <c r="G350">
        <f>IF(F350&gt;0,IF(B350="RECEIPT",Transactions!F350,IF(_xlfn.MAXIFS($H$2:H350,$A$2:A350,A350)&gt;0,INDEX(Transactions!$F:$F,_xlfn.MAXIFS($H$2:H350,$A$2:A350,A350)),W350)),0)</f>
        <v/>
      </c>
      <c r="H350">
        <f>IF(AND(E350=1,B350="RECEIPT"),ROW(),0)</f>
        <v/>
      </c>
      <c r="I350">
        <f>IF(E350=1,IF(OR(B350="SALE",B350="WRITEOFF"),Transactions!E350,0),0)</f>
        <v/>
      </c>
      <c r="J350">
        <f>SUMIFS($F$1:F349,$A$1:A349,A350)</f>
        <v/>
      </c>
      <c r="K350">
        <f>SUMIFS($I$1:I349,$A$1:A349,A350)</f>
        <v/>
      </c>
      <c r="L350">
        <f>IFERROR(VLOOKUP(A350,Opening!$A:$C,3,0),0)</f>
        <v/>
      </c>
      <c r="M350">
        <f>IF(I350=0,0,MAX(0,MIN(INDEX(Month!H$2:H$13,MATCH($A350,Month!$A$2:$A$13,0))-K350,I350)))</f>
        <v/>
      </c>
      <c r="N350">
        <f>IF(I350=0,0,MAX(0,MIN(INDEX(Month!I$2:I$13,MATCH($A350,Month!$A$2:$A$13,0))-K350,I350)))</f>
        <v/>
      </c>
      <c r="O350">
        <f>IF(I350=0,0,MAX(0,MIN(INDEX(Month!J$2:J$13,MATCH($A350,Month!$A$2:$A$13,0))-K350,I350)))</f>
        <v/>
      </c>
      <c r="P350">
        <f>IF(I350=0,0,(MIN(MAX(K350,0),L350)*W350+SUMPRODUCT((Calc!$A$2:$A$1001=A350)*Calc!$G$2:$G$1001*(((K350-(L350+Calc!$J$2:$J$1001))&gt;0)*((K350-(L350+Calc!$J$2:$J$1001))&lt;Calc!$F$2:$F$1001)*(K350-(L350+Calc!$J$2:$J$1001))+((K350-(L350+Calc!$J$2:$J$1001))&gt;=Calc!$F$2:$F$1001)*Calc!$F$2:$F$1001))))</f>
        <v/>
      </c>
      <c r="Q350">
        <f>IF(I350=0,0,(MIN(MAX((K350+M350),0),L350)*W350+SUMPRODUCT((Calc!$A$2:$A$1001=A350)*Calc!$G$2:$G$1001*((((K350+M350)-(L350+Calc!$J$2:$J$1001))&gt;0)*(((K350+M350)-(L350+Calc!$J$2:$J$1001))&lt;Calc!$F$2:$F$1001)*((K350+M350)-(L350+Calc!$J$2:$J$1001))+(((K350+M350)-(L350+Calc!$J$2:$J$1001))&gt;=Calc!$F$2:$F$1001)*Calc!$F$2:$F$1001))))</f>
        <v/>
      </c>
      <c r="R350">
        <f>IF(I350=0,0,(MIN(MAX((K350+N350),0),L350)*W350+SUMPRODUCT((Calc!$A$2:$A$1001=A350)*Calc!$G$2:$G$1001*((((K350+N350)-(L350+Calc!$J$2:$J$1001))&gt;0)*(((K350+N350)-(L350+Calc!$J$2:$J$1001))&lt;Calc!$F$2:$F$1001)*((K350+N350)-(L350+Calc!$J$2:$J$1001))+(((K350+N350)-(L350+Calc!$J$2:$J$1001))&gt;=Calc!$F$2:$F$1001)*Calc!$F$2:$F$1001))))</f>
        <v/>
      </c>
      <c r="S350">
        <f>IF(I350=0,0,(MIN(MAX((K350+O350),0),L350)*W350+SUMPRODUCT((Calc!$A$2:$A$1001=A350)*Calc!$G$2:$G$1001*((((K350+O350)-(L350+Calc!$J$2:$J$1001))&gt;0)*(((K350+O350)-(L350+Calc!$J$2:$J$1001))&lt;Calc!$F$2:$F$1001)*((K350+O350)-(L350+Calc!$J$2:$J$1001))+(((K350+O350)-(L350+Calc!$J$2:$J$1001))&gt;=Calc!$F$2:$F$1001)*Calc!$F$2:$F$1001))))</f>
        <v/>
      </c>
      <c r="T350">
        <f>IF(AND(E350=1,B350="RETURN"),Transactions!E350*Transactions!G350,0)</f>
        <v/>
      </c>
      <c r="U350">
        <f>IF(AND(E350=1,B350="EXPENSE"),Transactions!J350,0)</f>
        <v/>
      </c>
      <c r="V350">
        <f>IF(AND(Transactions!A350&lt;&gt;"",E350=0),ROW(),"")</f>
        <v/>
      </c>
      <c r="W350">
        <f>IFERROR(VLOOKUP(A350,Opening!$A:$D,4,0),0)</f>
        <v/>
      </c>
    </row>
    <row r="351">
      <c r="A351">
        <f>IF(Transactions!D351="","",UPPER(TRIM(Transactions!D351)))</f>
        <v/>
      </c>
      <c r="B351">
        <f>IF(Transactions!C351="","",UPPER(TRIM(Transactions!C351)))</f>
        <v/>
      </c>
      <c r="C351">
        <f>IF(Transactions!B351="",0,YEAR(Transactions!B351)*100+MONTH(Transactions!B351))</f>
        <v/>
      </c>
      <c r="D351">
        <f>IF(Transactions!A351="",1,IF(COUNTIF(Transactions!$A$1:A350,Transactions!A351)&gt;0,1,0))</f>
        <v/>
      </c>
      <c r="E351">
        <f>IF(D351=1,0,IF(B351="RETURN",IF(COUNTIFS($A$1:A350,A351,$B$1:B350,"SALE",$E$1:E350,1)&gt;0,1,0),1))</f>
        <v/>
      </c>
      <c r="F351">
        <f>IF(E351=1,IF(B351="RECEIPT",Transactions!E351,IF(AND(B351="RETURN",LOWER(TRIM(Transactions!H351))="resellable"),Transactions!E351,0)),0)</f>
        <v/>
      </c>
      <c r="G351">
        <f>IF(F351&gt;0,IF(B351="RECEIPT",Transactions!F351,IF(_xlfn.MAXIFS($H$2:H351,$A$2:A351,A351)&gt;0,INDEX(Transactions!$F:$F,_xlfn.MAXIFS($H$2:H351,$A$2:A351,A351)),W351)),0)</f>
        <v/>
      </c>
      <c r="H351">
        <f>IF(AND(E351=1,B351="RECEIPT"),ROW(),0)</f>
        <v/>
      </c>
      <c r="I351">
        <f>IF(E351=1,IF(OR(B351="SALE",B351="WRITEOFF"),Transactions!E351,0),0)</f>
        <v/>
      </c>
      <c r="J351">
        <f>SUMIFS($F$1:F350,$A$1:A350,A351)</f>
        <v/>
      </c>
      <c r="K351">
        <f>SUMIFS($I$1:I350,$A$1:A350,A351)</f>
        <v/>
      </c>
      <c r="L351">
        <f>IFERROR(VLOOKUP(A351,Opening!$A:$C,3,0),0)</f>
        <v/>
      </c>
      <c r="M351">
        <f>IF(I351=0,0,MAX(0,MIN(INDEX(Month!H$2:H$13,MATCH($A351,Month!$A$2:$A$13,0))-K351,I351)))</f>
        <v/>
      </c>
      <c r="N351">
        <f>IF(I351=0,0,MAX(0,MIN(INDEX(Month!I$2:I$13,MATCH($A351,Month!$A$2:$A$13,0))-K351,I351)))</f>
        <v/>
      </c>
      <c r="O351">
        <f>IF(I351=0,0,MAX(0,MIN(INDEX(Month!J$2:J$13,MATCH($A351,Month!$A$2:$A$13,0))-K351,I351)))</f>
        <v/>
      </c>
      <c r="P351">
        <f>IF(I351=0,0,(MIN(MAX(K351,0),L351)*W351+SUMPRODUCT((Calc!$A$2:$A$1001=A351)*Calc!$G$2:$G$1001*(((K351-(L351+Calc!$J$2:$J$1001))&gt;0)*((K351-(L351+Calc!$J$2:$J$1001))&lt;Calc!$F$2:$F$1001)*(K351-(L351+Calc!$J$2:$J$1001))+((K351-(L351+Calc!$J$2:$J$1001))&gt;=Calc!$F$2:$F$1001)*Calc!$F$2:$F$1001))))</f>
        <v/>
      </c>
      <c r="Q351">
        <f>IF(I351=0,0,(MIN(MAX((K351+M351),0),L351)*W351+SUMPRODUCT((Calc!$A$2:$A$1001=A351)*Calc!$G$2:$G$1001*((((K351+M351)-(L351+Calc!$J$2:$J$1001))&gt;0)*(((K351+M351)-(L351+Calc!$J$2:$J$1001))&lt;Calc!$F$2:$F$1001)*((K351+M351)-(L351+Calc!$J$2:$J$1001))+(((K351+M351)-(L351+Calc!$J$2:$J$1001))&gt;=Calc!$F$2:$F$1001)*Calc!$F$2:$F$1001))))</f>
        <v/>
      </c>
      <c r="R351">
        <f>IF(I351=0,0,(MIN(MAX((K351+N351),0),L351)*W351+SUMPRODUCT((Calc!$A$2:$A$1001=A351)*Calc!$G$2:$G$1001*((((K351+N351)-(L351+Calc!$J$2:$J$1001))&gt;0)*(((K351+N351)-(L351+Calc!$J$2:$J$1001))&lt;Calc!$F$2:$F$1001)*((K351+N351)-(L351+Calc!$J$2:$J$1001))+(((K351+N351)-(L351+Calc!$J$2:$J$1001))&gt;=Calc!$F$2:$F$1001)*Calc!$F$2:$F$1001))))</f>
        <v/>
      </c>
      <c r="S351">
        <f>IF(I351=0,0,(MIN(MAX((K351+O351),0),L351)*W351+SUMPRODUCT((Calc!$A$2:$A$1001=A351)*Calc!$G$2:$G$1001*((((K351+O351)-(L351+Calc!$J$2:$J$1001))&gt;0)*(((K351+O351)-(L351+Calc!$J$2:$J$1001))&lt;Calc!$F$2:$F$1001)*((K351+O351)-(L351+Calc!$J$2:$J$1001))+(((K351+O351)-(L351+Calc!$J$2:$J$1001))&gt;=Calc!$F$2:$F$1001)*Calc!$F$2:$F$1001))))</f>
        <v/>
      </c>
      <c r="T351">
        <f>IF(AND(E351=1,B351="RETURN"),Transactions!E351*Transactions!G351,0)</f>
        <v/>
      </c>
      <c r="U351">
        <f>IF(AND(E351=1,B351="EXPENSE"),Transactions!J351,0)</f>
        <v/>
      </c>
      <c r="V351">
        <f>IF(AND(Transactions!A351&lt;&gt;"",E351=0),ROW(),"")</f>
        <v/>
      </c>
      <c r="W351">
        <f>IFERROR(VLOOKUP(A351,Opening!$A:$D,4,0),0)</f>
        <v/>
      </c>
    </row>
    <row r="352">
      <c r="A352">
        <f>IF(Transactions!D352="","",UPPER(TRIM(Transactions!D352)))</f>
        <v/>
      </c>
      <c r="B352">
        <f>IF(Transactions!C352="","",UPPER(TRIM(Transactions!C352)))</f>
        <v/>
      </c>
      <c r="C352">
        <f>IF(Transactions!B352="",0,YEAR(Transactions!B352)*100+MONTH(Transactions!B352))</f>
        <v/>
      </c>
      <c r="D352">
        <f>IF(Transactions!A352="",1,IF(COUNTIF(Transactions!$A$1:A351,Transactions!A352)&gt;0,1,0))</f>
        <v/>
      </c>
      <c r="E352">
        <f>IF(D352=1,0,IF(B352="RETURN",IF(COUNTIFS($A$1:A351,A352,$B$1:B351,"SALE",$E$1:E351,1)&gt;0,1,0),1))</f>
        <v/>
      </c>
      <c r="F352">
        <f>IF(E352=1,IF(B352="RECEIPT",Transactions!E352,IF(AND(B352="RETURN",LOWER(TRIM(Transactions!H352))="resellable"),Transactions!E352,0)),0)</f>
        <v/>
      </c>
      <c r="G352">
        <f>IF(F352&gt;0,IF(B352="RECEIPT",Transactions!F352,IF(_xlfn.MAXIFS($H$2:H352,$A$2:A352,A352)&gt;0,INDEX(Transactions!$F:$F,_xlfn.MAXIFS($H$2:H352,$A$2:A352,A352)),W352)),0)</f>
        <v/>
      </c>
      <c r="H352">
        <f>IF(AND(E352=1,B352="RECEIPT"),ROW(),0)</f>
        <v/>
      </c>
      <c r="I352">
        <f>IF(E352=1,IF(OR(B352="SALE",B352="WRITEOFF"),Transactions!E352,0),0)</f>
        <v/>
      </c>
      <c r="J352">
        <f>SUMIFS($F$1:F351,$A$1:A351,A352)</f>
        <v/>
      </c>
      <c r="K352">
        <f>SUMIFS($I$1:I351,$A$1:A351,A352)</f>
        <v/>
      </c>
      <c r="L352">
        <f>IFERROR(VLOOKUP(A352,Opening!$A:$C,3,0),0)</f>
        <v/>
      </c>
      <c r="M352">
        <f>IF(I352=0,0,MAX(0,MIN(INDEX(Month!H$2:H$13,MATCH($A352,Month!$A$2:$A$13,0))-K352,I352)))</f>
        <v/>
      </c>
      <c r="N352">
        <f>IF(I352=0,0,MAX(0,MIN(INDEX(Month!I$2:I$13,MATCH($A352,Month!$A$2:$A$13,0))-K352,I352)))</f>
        <v/>
      </c>
      <c r="O352">
        <f>IF(I352=0,0,MAX(0,MIN(INDEX(Month!J$2:J$13,MATCH($A352,Month!$A$2:$A$13,0))-K352,I352)))</f>
        <v/>
      </c>
      <c r="P352">
        <f>IF(I352=0,0,(MIN(MAX(K352,0),L352)*W352+SUMPRODUCT((Calc!$A$2:$A$1001=A352)*Calc!$G$2:$G$1001*(((K352-(L352+Calc!$J$2:$J$1001))&gt;0)*((K352-(L352+Calc!$J$2:$J$1001))&lt;Calc!$F$2:$F$1001)*(K352-(L352+Calc!$J$2:$J$1001))+((K352-(L352+Calc!$J$2:$J$1001))&gt;=Calc!$F$2:$F$1001)*Calc!$F$2:$F$1001))))</f>
        <v/>
      </c>
      <c r="Q352">
        <f>IF(I352=0,0,(MIN(MAX((K352+M352),0),L352)*W352+SUMPRODUCT((Calc!$A$2:$A$1001=A352)*Calc!$G$2:$G$1001*((((K352+M352)-(L352+Calc!$J$2:$J$1001))&gt;0)*(((K352+M352)-(L352+Calc!$J$2:$J$1001))&lt;Calc!$F$2:$F$1001)*((K352+M352)-(L352+Calc!$J$2:$J$1001))+(((K352+M352)-(L352+Calc!$J$2:$J$1001))&gt;=Calc!$F$2:$F$1001)*Calc!$F$2:$F$1001))))</f>
        <v/>
      </c>
      <c r="R352">
        <f>IF(I352=0,0,(MIN(MAX((K352+N352),0),L352)*W352+SUMPRODUCT((Calc!$A$2:$A$1001=A352)*Calc!$G$2:$G$1001*((((K352+N352)-(L352+Calc!$J$2:$J$1001))&gt;0)*(((K352+N352)-(L352+Calc!$J$2:$J$1001))&lt;Calc!$F$2:$F$1001)*((K352+N352)-(L352+Calc!$J$2:$J$1001))+(((K352+N352)-(L352+Calc!$J$2:$J$1001))&gt;=Calc!$F$2:$F$1001)*Calc!$F$2:$F$1001))))</f>
        <v/>
      </c>
      <c r="S352">
        <f>IF(I352=0,0,(MIN(MAX((K352+O352),0),L352)*W352+SUMPRODUCT((Calc!$A$2:$A$1001=A352)*Calc!$G$2:$G$1001*((((K352+O352)-(L352+Calc!$J$2:$J$1001))&gt;0)*(((K352+O352)-(L352+Calc!$J$2:$J$1001))&lt;Calc!$F$2:$F$1001)*((K352+O352)-(L352+Calc!$J$2:$J$1001))+(((K352+O352)-(L352+Calc!$J$2:$J$1001))&gt;=Calc!$F$2:$F$1001)*Calc!$F$2:$F$1001))))</f>
        <v/>
      </c>
      <c r="T352">
        <f>IF(AND(E352=1,B352="RETURN"),Transactions!E352*Transactions!G352,0)</f>
        <v/>
      </c>
      <c r="U352">
        <f>IF(AND(E352=1,B352="EXPENSE"),Transactions!J352,0)</f>
        <v/>
      </c>
      <c r="V352">
        <f>IF(AND(Transactions!A352&lt;&gt;"",E352=0),ROW(),"")</f>
        <v/>
      </c>
      <c r="W352">
        <f>IFERROR(VLOOKUP(A352,Opening!$A:$D,4,0),0)</f>
        <v/>
      </c>
    </row>
    <row r="353">
      <c r="A353">
        <f>IF(Transactions!D353="","",UPPER(TRIM(Transactions!D353)))</f>
        <v/>
      </c>
      <c r="B353">
        <f>IF(Transactions!C353="","",UPPER(TRIM(Transactions!C353)))</f>
        <v/>
      </c>
      <c r="C353">
        <f>IF(Transactions!B353="",0,YEAR(Transactions!B353)*100+MONTH(Transactions!B353))</f>
        <v/>
      </c>
      <c r="D353">
        <f>IF(Transactions!A353="",1,IF(COUNTIF(Transactions!$A$1:A352,Transactions!A353)&gt;0,1,0))</f>
        <v/>
      </c>
      <c r="E353">
        <f>IF(D353=1,0,IF(B353="RETURN",IF(COUNTIFS($A$1:A352,A353,$B$1:B352,"SALE",$E$1:E352,1)&gt;0,1,0),1))</f>
        <v/>
      </c>
      <c r="F353">
        <f>IF(E353=1,IF(B353="RECEIPT",Transactions!E353,IF(AND(B353="RETURN",LOWER(TRIM(Transactions!H353))="resellable"),Transactions!E353,0)),0)</f>
        <v/>
      </c>
      <c r="G353">
        <f>IF(F353&gt;0,IF(B353="RECEIPT",Transactions!F353,IF(_xlfn.MAXIFS($H$2:H353,$A$2:A353,A353)&gt;0,INDEX(Transactions!$F:$F,_xlfn.MAXIFS($H$2:H353,$A$2:A353,A353)),W353)),0)</f>
        <v/>
      </c>
      <c r="H353">
        <f>IF(AND(E353=1,B353="RECEIPT"),ROW(),0)</f>
        <v/>
      </c>
      <c r="I353">
        <f>IF(E353=1,IF(OR(B353="SALE",B353="WRITEOFF"),Transactions!E353,0),0)</f>
        <v/>
      </c>
      <c r="J353">
        <f>SUMIFS($F$1:F352,$A$1:A352,A353)</f>
        <v/>
      </c>
      <c r="K353">
        <f>SUMIFS($I$1:I352,$A$1:A352,A353)</f>
        <v/>
      </c>
      <c r="L353">
        <f>IFERROR(VLOOKUP(A353,Opening!$A:$C,3,0),0)</f>
        <v/>
      </c>
      <c r="M353">
        <f>IF(I353=0,0,MAX(0,MIN(INDEX(Month!H$2:H$13,MATCH($A353,Month!$A$2:$A$13,0))-K353,I353)))</f>
        <v/>
      </c>
      <c r="N353">
        <f>IF(I353=0,0,MAX(0,MIN(INDEX(Month!I$2:I$13,MATCH($A353,Month!$A$2:$A$13,0))-K353,I353)))</f>
        <v/>
      </c>
      <c r="O353">
        <f>IF(I353=0,0,MAX(0,MIN(INDEX(Month!J$2:J$13,MATCH($A353,Month!$A$2:$A$13,0))-K353,I353)))</f>
        <v/>
      </c>
      <c r="P353">
        <f>IF(I353=0,0,(MIN(MAX(K353,0),L353)*W353+SUMPRODUCT((Calc!$A$2:$A$1001=A353)*Calc!$G$2:$G$1001*(((K353-(L353+Calc!$J$2:$J$1001))&gt;0)*((K353-(L353+Calc!$J$2:$J$1001))&lt;Calc!$F$2:$F$1001)*(K353-(L353+Calc!$J$2:$J$1001))+((K353-(L353+Calc!$J$2:$J$1001))&gt;=Calc!$F$2:$F$1001)*Calc!$F$2:$F$1001))))</f>
        <v/>
      </c>
      <c r="Q353">
        <f>IF(I353=0,0,(MIN(MAX((K353+M353),0),L353)*W353+SUMPRODUCT((Calc!$A$2:$A$1001=A353)*Calc!$G$2:$G$1001*((((K353+M353)-(L353+Calc!$J$2:$J$1001))&gt;0)*(((K353+M353)-(L353+Calc!$J$2:$J$1001))&lt;Calc!$F$2:$F$1001)*((K353+M353)-(L353+Calc!$J$2:$J$1001))+(((K353+M353)-(L353+Calc!$J$2:$J$1001))&gt;=Calc!$F$2:$F$1001)*Calc!$F$2:$F$1001))))</f>
        <v/>
      </c>
      <c r="R353">
        <f>IF(I353=0,0,(MIN(MAX((K353+N353),0),L353)*W353+SUMPRODUCT((Calc!$A$2:$A$1001=A353)*Calc!$G$2:$G$1001*((((K353+N353)-(L353+Calc!$J$2:$J$1001))&gt;0)*(((K353+N353)-(L353+Calc!$J$2:$J$1001))&lt;Calc!$F$2:$F$1001)*((K353+N353)-(L353+Calc!$J$2:$J$1001))+(((K353+N353)-(L353+Calc!$J$2:$J$1001))&gt;=Calc!$F$2:$F$1001)*Calc!$F$2:$F$1001))))</f>
        <v/>
      </c>
      <c r="S353">
        <f>IF(I353=0,0,(MIN(MAX((K353+O353),0),L353)*W353+SUMPRODUCT((Calc!$A$2:$A$1001=A353)*Calc!$G$2:$G$1001*((((K353+O353)-(L353+Calc!$J$2:$J$1001))&gt;0)*(((K353+O353)-(L353+Calc!$J$2:$J$1001))&lt;Calc!$F$2:$F$1001)*((K353+O353)-(L353+Calc!$J$2:$J$1001))+(((K353+O353)-(L353+Calc!$J$2:$J$1001))&gt;=Calc!$F$2:$F$1001)*Calc!$F$2:$F$1001))))</f>
        <v/>
      </c>
      <c r="T353">
        <f>IF(AND(E353=1,B353="RETURN"),Transactions!E353*Transactions!G353,0)</f>
        <v/>
      </c>
      <c r="U353">
        <f>IF(AND(E353=1,B353="EXPENSE"),Transactions!J353,0)</f>
        <v/>
      </c>
      <c r="V353">
        <f>IF(AND(Transactions!A353&lt;&gt;"",E353=0),ROW(),"")</f>
        <v/>
      </c>
      <c r="W353">
        <f>IFERROR(VLOOKUP(A353,Opening!$A:$D,4,0),0)</f>
        <v/>
      </c>
    </row>
    <row r="354">
      <c r="A354">
        <f>IF(Transactions!D354="","",UPPER(TRIM(Transactions!D354)))</f>
        <v/>
      </c>
      <c r="B354">
        <f>IF(Transactions!C354="","",UPPER(TRIM(Transactions!C354)))</f>
        <v/>
      </c>
      <c r="C354">
        <f>IF(Transactions!B354="",0,YEAR(Transactions!B354)*100+MONTH(Transactions!B354))</f>
        <v/>
      </c>
      <c r="D354">
        <f>IF(Transactions!A354="",1,IF(COUNTIF(Transactions!$A$1:A353,Transactions!A354)&gt;0,1,0))</f>
        <v/>
      </c>
      <c r="E354">
        <f>IF(D354=1,0,IF(B354="RETURN",IF(COUNTIFS($A$1:A353,A354,$B$1:B353,"SALE",$E$1:E353,1)&gt;0,1,0),1))</f>
        <v/>
      </c>
      <c r="F354">
        <f>IF(E354=1,IF(B354="RECEIPT",Transactions!E354,IF(AND(B354="RETURN",LOWER(TRIM(Transactions!H354))="resellable"),Transactions!E354,0)),0)</f>
        <v/>
      </c>
      <c r="G354">
        <f>IF(F354&gt;0,IF(B354="RECEIPT",Transactions!F354,IF(_xlfn.MAXIFS($H$2:H354,$A$2:A354,A354)&gt;0,INDEX(Transactions!$F:$F,_xlfn.MAXIFS($H$2:H354,$A$2:A354,A354)),W354)),0)</f>
        <v/>
      </c>
      <c r="H354">
        <f>IF(AND(E354=1,B354="RECEIPT"),ROW(),0)</f>
        <v/>
      </c>
      <c r="I354">
        <f>IF(E354=1,IF(OR(B354="SALE",B354="WRITEOFF"),Transactions!E354,0),0)</f>
        <v/>
      </c>
      <c r="J354">
        <f>SUMIFS($F$1:F353,$A$1:A353,A354)</f>
        <v/>
      </c>
      <c r="K354">
        <f>SUMIFS($I$1:I353,$A$1:A353,A354)</f>
        <v/>
      </c>
      <c r="L354">
        <f>IFERROR(VLOOKUP(A354,Opening!$A:$C,3,0),0)</f>
        <v/>
      </c>
      <c r="M354">
        <f>IF(I354=0,0,MAX(0,MIN(INDEX(Month!H$2:H$13,MATCH($A354,Month!$A$2:$A$13,0))-K354,I354)))</f>
        <v/>
      </c>
      <c r="N354">
        <f>IF(I354=0,0,MAX(0,MIN(INDEX(Month!I$2:I$13,MATCH($A354,Month!$A$2:$A$13,0))-K354,I354)))</f>
        <v/>
      </c>
      <c r="O354">
        <f>IF(I354=0,0,MAX(0,MIN(INDEX(Month!J$2:J$13,MATCH($A354,Month!$A$2:$A$13,0))-K354,I354)))</f>
        <v/>
      </c>
      <c r="P354">
        <f>IF(I354=0,0,(MIN(MAX(K354,0),L354)*W354+SUMPRODUCT((Calc!$A$2:$A$1001=A354)*Calc!$G$2:$G$1001*(((K354-(L354+Calc!$J$2:$J$1001))&gt;0)*((K354-(L354+Calc!$J$2:$J$1001))&lt;Calc!$F$2:$F$1001)*(K354-(L354+Calc!$J$2:$J$1001))+((K354-(L354+Calc!$J$2:$J$1001))&gt;=Calc!$F$2:$F$1001)*Calc!$F$2:$F$1001))))</f>
        <v/>
      </c>
      <c r="Q354">
        <f>IF(I354=0,0,(MIN(MAX((K354+M354),0),L354)*W354+SUMPRODUCT((Calc!$A$2:$A$1001=A354)*Calc!$G$2:$G$1001*((((K354+M354)-(L354+Calc!$J$2:$J$1001))&gt;0)*(((K354+M354)-(L354+Calc!$J$2:$J$1001))&lt;Calc!$F$2:$F$1001)*((K354+M354)-(L354+Calc!$J$2:$J$1001))+(((K354+M354)-(L354+Calc!$J$2:$J$1001))&gt;=Calc!$F$2:$F$1001)*Calc!$F$2:$F$1001))))</f>
        <v/>
      </c>
      <c r="R354">
        <f>IF(I354=0,0,(MIN(MAX((K354+N354),0),L354)*W354+SUMPRODUCT((Calc!$A$2:$A$1001=A354)*Calc!$G$2:$G$1001*((((K354+N354)-(L354+Calc!$J$2:$J$1001))&gt;0)*(((K354+N354)-(L354+Calc!$J$2:$J$1001))&lt;Calc!$F$2:$F$1001)*((K354+N354)-(L354+Calc!$J$2:$J$1001))+(((K354+N354)-(L354+Calc!$J$2:$J$1001))&gt;=Calc!$F$2:$F$1001)*Calc!$F$2:$F$1001))))</f>
        <v/>
      </c>
      <c r="S354">
        <f>IF(I354=0,0,(MIN(MAX((K354+O354),0),L354)*W354+SUMPRODUCT((Calc!$A$2:$A$1001=A354)*Calc!$G$2:$G$1001*((((K354+O354)-(L354+Calc!$J$2:$J$1001))&gt;0)*(((K354+O354)-(L354+Calc!$J$2:$J$1001))&lt;Calc!$F$2:$F$1001)*((K354+O354)-(L354+Calc!$J$2:$J$1001))+(((K354+O354)-(L354+Calc!$J$2:$J$1001))&gt;=Calc!$F$2:$F$1001)*Calc!$F$2:$F$1001))))</f>
        <v/>
      </c>
      <c r="T354">
        <f>IF(AND(E354=1,B354="RETURN"),Transactions!E354*Transactions!G354,0)</f>
        <v/>
      </c>
      <c r="U354">
        <f>IF(AND(E354=1,B354="EXPENSE"),Transactions!J354,0)</f>
        <v/>
      </c>
      <c r="V354">
        <f>IF(AND(Transactions!A354&lt;&gt;"",E354=0),ROW(),"")</f>
        <v/>
      </c>
      <c r="W354">
        <f>IFERROR(VLOOKUP(A354,Opening!$A:$D,4,0),0)</f>
        <v/>
      </c>
    </row>
    <row r="355">
      <c r="A355">
        <f>IF(Transactions!D355="","",UPPER(TRIM(Transactions!D355)))</f>
        <v/>
      </c>
      <c r="B355">
        <f>IF(Transactions!C355="","",UPPER(TRIM(Transactions!C355)))</f>
        <v/>
      </c>
      <c r="C355">
        <f>IF(Transactions!B355="",0,YEAR(Transactions!B355)*100+MONTH(Transactions!B355))</f>
        <v/>
      </c>
      <c r="D355">
        <f>IF(Transactions!A355="",1,IF(COUNTIF(Transactions!$A$1:A354,Transactions!A355)&gt;0,1,0))</f>
        <v/>
      </c>
      <c r="E355">
        <f>IF(D355=1,0,IF(B355="RETURN",IF(COUNTIFS($A$1:A354,A355,$B$1:B354,"SALE",$E$1:E354,1)&gt;0,1,0),1))</f>
        <v/>
      </c>
      <c r="F355">
        <f>IF(E355=1,IF(B355="RECEIPT",Transactions!E355,IF(AND(B355="RETURN",LOWER(TRIM(Transactions!H355))="resellable"),Transactions!E355,0)),0)</f>
        <v/>
      </c>
      <c r="G355">
        <f>IF(F355&gt;0,IF(B355="RECEIPT",Transactions!F355,IF(_xlfn.MAXIFS($H$2:H355,$A$2:A355,A355)&gt;0,INDEX(Transactions!$F:$F,_xlfn.MAXIFS($H$2:H355,$A$2:A355,A355)),W355)),0)</f>
        <v/>
      </c>
      <c r="H355">
        <f>IF(AND(E355=1,B355="RECEIPT"),ROW(),0)</f>
        <v/>
      </c>
      <c r="I355">
        <f>IF(E355=1,IF(OR(B355="SALE",B355="WRITEOFF"),Transactions!E355,0),0)</f>
        <v/>
      </c>
      <c r="J355">
        <f>SUMIFS($F$1:F354,$A$1:A354,A355)</f>
        <v/>
      </c>
      <c r="K355">
        <f>SUMIFS($I$1:I354,$A$1:A354,A355)</f>
        <v/>
      </c>
      <c r="L355">
        <f>IFERROR(VLOOKUP(A355,Opening!$A:$C,3,0),0)</f>
        <v/>
      </c>
      <c r="M355">
        <f>IF(I355=0,0,MAX(0,MIN(INDEX(Month!H$2:H$13,MATCH($A355,Month!$A$2:$A$13,0))-K355,I355)))</f>
        <v/>
      </c>
      <c r="N355">
        <f>IF(I355=0,0,MAX(0,MIN(INDEX(Month!I$2:I$13,MATCH($A355,Month!$A$2:$A$13,0))-K355,I355)))</f>
        <v/>
      </c>
      <c r="O355">
        <f>IF(I355=0,0,MAX(0,MIN(INDEX(Month!J$2:J$13,MATCH($A355,Month!$A$2:$A$13,0))-K355,I355)))</f>
        <v/>
      </c>
      <c r="P355">
        <f>IF(I355=0,0,(MIN(MAX(K355,0),L355)*W355+SUMPRODUCT((Calc!$A$2:$A$1001=A355)*Calc!$G$2:$G$1001*(((K355-(L355+Calc!$J$2:$J$1001))&gt;0)*((K355-(L355+Calc!$J$2:$J$1001))&lt;Calc!$F$2:$F$1001)*(K355-(L355+Calc!$J$2:$J$1001))+((K355-(L355+Calc!$J$2:$J$1001))&gt;=Calc!$F$2:$F$1001)*Calc!$F$2:$F$1001))))</f>
        <v/>
      </c>
      <c r="Q355">
        <f>IF(I355=0,0,(MIN(MAX((K355+M355),0),L355)*W355+SUMPRODUCT((Calc!$A$2:$A$1001=A355)*Calc!$G$2:$G$1001*((((K355+M355)-(L355+Calc!$J$2:$J$1001))&gt;0)*(((K355+M355)-(L355+Calc!$J$2:$J$1001))&lt;Calc!$F$2:$F$1001)*((K355+M355)-(L355+Calc!$J$2:$J$1001))+(((K355+M355)-(L355+Calc!$J$2:$J$1001))&gt;=Calc!$F$2:$F$1001)*Calc!$F$2:$F$1001))))</f>
        <v/>
      </c>
      <c r="R355">
        <f>IF(I355=0,0,(MIN(MAX((K355+N355),0),L355)*W355+SUMPRODUCT((Calc!$A$2:$A$1001=A355)*Calc!$G$2:$G$1001*((((K355+N355)-(L355+Calc!$J$2:$J$1001))&gt;0)*(((K355+N355)-(L355+Calc!$J$2:$J$1001))&lt;Calc!$F$2:$F$1001)*((K355+N355)-(L355+Calc!$J$2:$J$1001))+(((K355+N355)-(L355+Calc!$J$2:$J$1001))&gt;=Calc!$F$2:$F$1001)*Calc!$F$2:$F$1001))))</f>
        <v/>
      </c>
      <c r="S355">
        <f>IF(I355=0,0,(MIN(MAX((K355+O355),0),L355)*W355+SUMPRODUCT((Calc!$A$2:$A$1001=A355)*Calc!$G$2:$G$1001*((((K355+O355)-(L355+Calc!$J$2:$J$1001))&gt;0)*(((K355+O355)-(L355+Calc!$J$2:$J$1001))&lt;Calc!$F$2:$F$1001)*((K355+O355)-(L355+Calc!$J$2:$J$1001))+(((K355+O355)-(L355+Calc!$J$2:$J$1001))&gt;=Calc!$F$2:$F$1001)*Calc!$F$2:$F$1001))))</f>
        <v/>
      </c>
      <c r="T355">
        <f>IF(AND(E355=1,B355="RETURN"),Transactions!E355*Transactions!G355,0)</f>
        <v/>
      </c>
      <c r="U355">
        <f>IF(AND(E355=1,B355="EXPENSE"),Transactions!J355,0)</f>
        <v/>
      </c>
      <c r="V355">
        <f>IF(AND(Transactions!A355&lt;&gt;"",E355=0),ROW(),"")</f>
        <v/>
      </c>
      <c r="W355">
        <f>IFERROR(VLOOKUP(A355,Opening!$A:$D,4,0),0)</f>
        <v/>
      </c>
    </row>
    <row r="356">
      <c r="A356">
        <f>IF(Transactions!D356="","",UPPER(TRIM(Transactions!D356)))</f>
        <v/>
      </c>
      <c r="B356">
        <f>IF(Transactions!C356="","",UPPER(TRIM(Transactions!C356)))</f>
        <v/>
      </c>
      <c r="C356">
        <f>IF(Transactions!B356="",0,YEAR(Transactions!B356)*100+MONTH(Transactions!B356))</f>
        <v/>
      </c>
      <c r="D356">
        <f>IF(Transactions!A356="",1,IF(COUNTIF(Transactions!$A$1:A355,Transactions!A356)&gt;0,1,0))</f>
        <v/>
      </c>
      <c r="E356">
        <f>IF(D356=1,0,IF(B356="RETURN",IF(COUNTIFS($A$1:A355,A356,$B$1:B355,"SALE",$E$1:E355,1)&gt;0,1,0),1))</f>
        <v/>
      </c>
      <c r="F356">
        <f>IF(E356=1,IF(B356="RECEIPT",Transactions!E356,IF(AND(B356="RETURN",LOWER(TRIM(Transactions!H356))="resellable"),Transactions!E356,0)),0)</f>
        <v/>
      </c>
      <c r="G356">
        <f>IF(F356&gt;0,IF(B356="RECEIPT",Transactions!F356,IF(_xlfn.MAXIFS($H$2:H356,$A$2:A356,A356)&gt;0,INDEX(Transactions!$F:$F,_xlfn.MAXIFS($H$2:H356,$A$2:A356,A356)),W356)),0)</f>
        <v/>
      </c>
      <c r="H356">
        <f>IF(AND(E356=1,B356="RECEIPT"),ROW(),0)</f>
        <v/>
      </c>
      <c r="I356">
        <f>IF(E356=1,IF(OR(B356="SALE",B356="WRITEOFF"),Transactions!E356,0),0)</f>
        <v/>
      </c>
      <c r="J356">
        <f>SUMIFS($F$1:F355,$A$1:A355,A356)</f>
        <v/>
      </c>
      <c r="K356">
        <f>SUMIFS($I$1:I355,$A$1:A355,A356)</f>
        <v/>
      </c>
      <c r="L356">
        <f>IFERROR(VLOOKUP(A356,Opening!$A:$C,3,0),0)</f>
        <v/>
      </c>
      <c r="M356">
        <f>IF(I356=0,0,MAX(0,MIN(INDEX(Month!H$2:H$13,MATCH($A356,Month!$A$2:$A$13,0))-K356,I356)))</f>
        <v/>
      </c>
      <c r="N356">
        <f>IF(I356=0,0,MAX(0,MIN(INDEX(Month!I$2:I$13,MATCH($A356,Month!$A$2:$A$13,0))-K356,I356)))</f>
        <v/>
      </c>
      <c r="O356">
        <f>IF(I356=0,0,MAX(0,MIN(INDEX(Month!J$2:J$13,MATCH($A356,Month!$A$2:$A$13,0))-K356,I356)))</f>
        <v/>
      </c>
      <c r="P356">
        <f>IF(I356=0,0,(MIN(MAX(K356,0),L356)*W356+SUMPRODUCT((Calc!$A$2:$A$1001=A356)*Calc!$G$2:$G$1001*(((K356-(L356+Calc!$J$2:$J$1001))&gt;0)*((K356-(L356+Calc!$J$2:$J$1001))&lt;Calc!$F$2:$F$1001)*(K356-(L356+Calc!$J$2:$J$1001))+((K356-(L356+Calc!$J$2:$J$1001))&gt;=Calc!$F$2:$F$1001)*Calc!$F$2:$F$1001))))</f>
        <v/>
      </c>
      <c r="Q356">
        <f>IF(I356=0,0,(MIN(MAX((K356+M356),0),L356)*W356+SUMPRODUCT((Calc!$A$2:$A$1001=A356)*Calc!$G$2:$G$1001*((((K356+M356)-(L356+Calc!$J$2:$J$1001))&gt;0)*(((K356+M356)-(L356+Calc!$J$2:$J$1001))&lt;Calc!$F$2:$F$1001)*((K356+M356)-(L356+Calc!$J$2:$J$1001))+(((K356+M356)-(L356+Calc!$J$2:$J$1001))&gt;=Calc!$F$2:$F$1001)*Calc!$F$2:$F$1001))))</f>
        <v/>
      </c>
      <c r="R356">
        <f>IF(I356=0,0,(MIN(MAX((K356+N356),0),L356)*W356+SUMPRODUCT((Calc!$A$2:$A$1001=A356)*Calc!$G$2:$G$1001*((((K356+N356)-(L356+Calc!$J$2:$J$1001))&gt;0)*(((K356+N356)-(L356+Calc!$J$2:$J$1001))&lt;Calc!$F$2:$F$1001)*((K356+N356)-(L356+Calc!$J$2:$J$1001))+(((K356+N356)-(L356+Calc!$J$2:$J$1001))&gt;=Calc!$F$2:$F$1001)*Calc!$F$2:$F$1001))))</f>
        <v/>
      </c>
      <c r="S356">
        <f>IF(I356=0,0,(MIN(MAX((K356+O356),0),L356)*W356+SUMPRODUCT((Calc!$A$2:$A$1001=A356)*Calc!$G$2:$G$1001*((((K356+O356)-(L356+Calc!$J$2:$J$1001))&gt;0)*(((K356+O356)-(L356+Calc!$J$2:$J$1001))&lt;Calc!$F$2:$F$1001)*((K356+O356)-(L356+Calc!$J$2:$J$1001))+(((K356+O356)-(L356+Calc!$J$2:$J$1001))&gt;=Calc!$F$2:$F$1001)*Calc!$F$2:$F$1001))))</f>
        <v/>
      </c>
      <c r="T356">
        <f>IF(AND(E356=1,B356="RETURN"),Transactions!E356*Transactions!G356,0)</f>
        <v/>
      </c>
      <c r="U356">
        <f>IF(AND(E356=1,B356="EXPENSE"),Transactions!J356,0)</f>
        <v/>
      </c>
      <c r="V356">
        <f>IF(AND(Transactions!A356&lt;&gt;"",E356=0),ROW(),"")</f>
        <v/>
      </c>
      <c r="W356">
        <f>IFERROR(VLOOKUP(A356,Opening!$A:$D,4,0),0)</f>
        <v/>
      </c>
    </row>
    <row r="357">
      <c r="A357">
        <f>IF(Transactions!D357="","",UPPER(TRIM(Transactions!D357)))</f>
        <v/>
      </c>
      <c r="B357">
        <f>IF(Transactions!C357="","",UPPER(TRIM(Transactions!C357)))</f>
        <v/>
      </c>
      <c r="C357">
        <f>IF(Transactions!B357="",0,YEAR(Transactions!B357)*100+MONTH(Transactions!B357))</f>
        <v/>
      </c>
      <c r="D357">
        <f>IF(Transactions!A357="",1,IF(COUNTIF(Transactions!$A$1:A356,Transactions!A357)&gt;0,1,0))</f>
        <v/>
      </c>
      <c r="E357">
        <f>IF(D357=1,0,IF(B357="RETURN",IF(COUNTIFS($A$1:A356,A357,$B$1:B356,"SALE",$E$1:E356,1)&gt;0,1,0),1))</f>
        <v/>
      </c>
      <c r="F357">
        <f>IF(E357=1,IF(B357="RECEIPT",Transactions!E357,IF(AND(B357="RETURN",LOWER(TRIM(Transactions!H357))="resellable"),Transactions!E357,0)),0)</f>
        <v/>
      </c>
      <c r="G357">
        <f>IF(F357&gt;0,IF(B357="RECEIPT",Transactions!F357,IF(_xlfn.MAXIFS($H$2:H357,$A$2:A357,A357)&gt;0,INDEX(Transactions!$F:$F,_xlfn.MAXIFS($H$2:H357,$A$2:A357,A357)),W357)),0)</f>
        <v/>
      </c>
      <c r="H357">
        <f>IF(AND(E357=1,B357="RECEIPT"),ROW(),0)</f>
        <v/>
      </c>
      <c r="I357">
        <f>IF(E357=1,IF(OR(B357="SALE",B357="WRITEOFF"),Transactions!E357,0),0)</f>
        <v/>
      </c>
      <c r="J357">
        <f>SUMIFS($F$1:F356,$A$1:A356,A357)</f>
        <v/>
      </c>
      <c r="K357">
        <f>SUMIFS($I$1:I356,$A$1:A356,A357)</f>
        <v/>
      </c>
      <c r="L357">
        <f>IFERROR(VLOOKUP(A357,Opening!$A:$C,3,0),0)</f>
        <v/>
      </c>
      <c r="M357">
        <f>IF(I357=0,0,MAX(0,MIN(INDEX(Month!H$2:H$13,MATCH($A357,Month!$A$2:$A$13,0))-K357,I357)))</f>
        <v/>
      </c>
      <c r="N357">
        <f>IF(I357=0,0,MAX(0,MIN(INDEX(Month!I$2:I$13,MATCH($A357,Month!$A$2:$A$13,0))-K357,I357)))</f>
        <v/>
      </c>
      <c r="O357">
        <f>IF(I357=0,0,MAX(0,MIN(INDEX(Month!J$2:J$13,MATCH($A357,Month!$A$2:$A$13,0))-K357,I357)))</f>
        <v/>
      </c>
      <c r="P357">
        <f>IF(I357=0,0,(MIN(MAX(K357,0),L357)*W357+SUMPRODUCT((Calc!$A$2:$A$1001=A357)*Calc!$G$2:$G$1001*(((K357-(L357+Calc!$J$2:$J$1001))&gt;0)*((K357-(L357+Calc!$J$2:$J$1001))&lt;Calc!$F$2:$F$1001)*(K357-(L357+Calc!$J$2:$J$1001))+((K357-(L357+Calc!$J$2:$J$1001))&gt;=Calc!$F$2:$F$1001)*Calc!$F$2:$F$1001))))</f>
        <v/>
      </c>
      <c r="Q357">
        <f>IF(I357=0,0,(MIN(MAX((K357+M357),0),L357)*W357+SUMPRODUCT((Calc!$A$2:$A$1001=A357)*Calc!$G$2:$G$1001*((((K357+M357)-(L357+Calc!$J$2:$J$1001))&gt;0)*(((K357+M357)-(L357+Calc!$J$2:$J$1001))&lt;Calc!$F$2:$F$1001)*((K357+M357)-(L357+Calc!$J$2:$J$1001))+(((K357+M357)-(L357+Calc!$J$2:$J$1001))&gt;=Calc!$F$2:$F$1001)*Calc!$F$2:$F$1001))))</f>
        <v/>
      </c>
      <c r="R357">
        <f>IF(I357=0,0,(MIN(MAX((K357+N357),0),L357)*W357+SUMPRODUCT((Calc!$A$2:$A$1001=A357)*Calc!$G$2:$G$1001*((((K357+N357)-(L357+Calc!$J$2:$J$1001))&gt;0)*(((K357+N357)-(L357+Calc!$J$2:$J$1001))&lt;Calc!$F$2:$F$1001)*((K357+N357)-(L357+Calc!$J$2:$J$1001))+(((K357+N357)-(L357+Calc!$J$2:$J$1001))&gt;=Calc!$F$2:$F$1001)*Calc!$F$2:$F$1001))))</f>
        <v/>
      </c>
      <c r="S357">
        <f>IF(I357=0,0,(MIN(MAX((K357+O357),0),L357)*W357+SUMPRODUCT((Calc!$A$2:$A$1001=A357)*Calc!$G$2:$G$1001*((((K357+O357)-(L357+Calc!$J$2:$J$1001))&gt;0)*(((K357+O357)-(L357+Calc!$J$2:$J$1001))&lt;Calc!$F$2:$F$1001)*((K357+O357)-(L357+Calc!$J$2:$J$1001))+(((K357+O357)-(L357+Calc!$J$2:$J$1001))&gt;=Calc!$F$2:$F$1001)*Calc!$F$2:$F$1001))))</f>
        <v/>
      </c>
      <c r="T357">
        <f>IF(AND(E357=1,B357="RETURN"),Transactions!E357*Transactions!G357,0)</f>
        <v/>
      </c>
      <c r="U357">
        <f>IF(AND(E357=1,B357="EXPENSE"),Transactions!J357,0)</f>
        <v/>
      </c>
      <c r="V357">
        <f>IF(AND(Transactions!A357&lt;&gt;"",E357=0),ROW(),"")</f>
        <v/>
      </c>
      <c r="W357">
        <f>IFERROR(VLOOKUP(A357,Opening!$A:$D,4,0),0)</f>
        <v/>
      </c>
    </row>
    <row r="358">
      <c r="A358">
        <f>IF(Transactions!D358="","",UPPER(TRIM(Transactions!D358)))</f>
        <v/>
      </c>
      <c r="B358">
        <f>IF(Transactions!C358="","",UPPER(TRIM(Transactions!C358)))</f>
        <v/>
      </c>
      <c r="C358">
        <f>IF(Transactions!B358="",0,YEAR(Transactions!B358)*100+MONTH(Transactions!B358))</f>
        <v/>
      </c>
      <c r="D358">
        <f>IF(Transactions!A358="",1,IF(COUNTIF(Transactions!$A$1:A357,Transactions!A358)&gt;0,1,0))</f>
        <v/>
      </c>
      <c r="E358">
        <f>IF(D358=1,0,IF(B358="RETURN",IF(COUNTIFS($A$1:A357,A358,$B$1:B357,"SALE",$E$1:E357,1)&gt;0,1,0),1))</f>
        <v/>
      </c>
      <c r="F358">
        <f>IF(E358=1,IF(B358="RECEIPT",Transactions!E358,IF(AND(B358="RETURN",LOWER(TRIM(Transactions!H358))="resellable"),Transactions!E358,0)),0)</f>
        <v/>
      </c>
      <c r="G358">
        <f>IF(F358&gt;0,IF(B358="RECEIPT",Transactions!F358,IF(_xlfn.MAXIFS($H$2:H358,$A$2:A358,A358)&gt;0,INDEX(Transactions!$F:$F,_xlfn.MAXIFS($H$2:H358,$A$2:A358,A358)),W358)),0)</f>
        <v/>
      </c>
      <c r="H358">
        <f>IF(AND(E358=1,B358="RECEIPT"),ROW(),0)</f>
        <v/>
      </c>
      <c r="I358">
        <f>IF(E358=1,IF(OR(B358="SALE",B358="WRITEOFF"),Transactions!E358,0),0)</f>
        <v/>
      </c>
      <c r="J358">
        <f>SUMIFS($F$1:F357,$A$1:A357,A358)</f>
        <v/>
      </c>
      <c r="K358">
        <f>SUMIFS($I$1:I357,$A$1:A357,A358)</f>
        <v/>
      </c>
      <c r="L358">
        <f>IFERROR(VLOOKUP(A358,Opening!$A:$C,3,0),0)</f>
        <v/>
      </c>
      <c r="M358">
        <f>IF(I358=0,0,MAX(0,MIN(INDEX(Month!H$2:H$13,MATCH($A358,Month!$A$2:$A$13,0))-K358,I358)))</f>
        <v/>
      </c>
      <c r="N358">
        <f>IF(I358=0,0,MAX(0,MIN(INDEX(Month!I$2:I$13,MATCH($A358,Month!$A$2:$A$13,0))-K358,I358)))</f>
        <v/>
      </c>
      <c r="O358">
        <f>IF(I358=0,0,MAX(0,MIN(INDEX(Month!J$2:J$13,MATCH($A358,Month!$A$2:$A$13,0))-K358,I358)))</f>
        <v/>
      </c>
      <c r="P358">
        <f>IF(I358=0,0,(MIN(MAX(K358,0),L358)*W358+SUMPRODUCT((Calc!$A$2:$A$1001=A358)*Calc!$G$2:$G$1001*(((K358-(L358+Calc!$J$2:$J$1001))&gt;0)*((K358-(L358+Calc!$J$2:$J$1001))&lt;Calc!$F$2:$F$1001)*(K358-(L358+Calc!$J$2:$J$1001))+((K358-(L358+Calc!$J$2:$J$1001))&gt;=Calc!$F$2:$F$1001)*Calc!$F$2:$F$1001))))</f>
        <v/>
      </c>
      <c r="Q358">
        <f>IF(I358=0,0,(MIN(MAX((K358+M358),0),L358)*W358+SUMPRODUCT((Calc!$A$2:$A$1001=A358)*Calc!$G$2:$G$1001*((((K358+M358)-(L358+Calc!$J$2:$J$1001))&gt;0)*(((K358+M358)-(L358+Calc!$J$2:$J$1001))&lt;Calc!$F$2:$F$1001)*((K358+M358)-(L358+Calc!$J$2:$J$1001))+(((K358+M358)-(L358+Calc!$J$2:$J$1001))&gt;=Calc!$F$2:$F$1001)*Calc!$F$2:$F$1001))))</f>
        <v/>
      </c>
      <c r="R358">
        <f>IF(I358=0,0,(MIN(MAX((K358+N358),0),L358)*W358+SUMPRODUCT((Calc!$A$2:$A$1001=A358)*Calc!$G$2:$G$1001*((((K358+N358)-(L358+Calc!$J$2:$J$1001))&gt;0)*(((K358+N358)-(L358+Calc!$J$2:$J$1001))&lt;Calc!$F$2:$F$1001)*((K358+N358)-(L358+Calc!$J$2:$J$1001))+(((K358+N358)-(L358+Calc!$J$2:$J$1001))&gt;=Calc!$F$2:$F$1001)*Calc!$F$2:$F$1001))))</f>
        <v/>
      </c>
      <c r="S358">
        <f>IF(I358=0,0,(MIN(MAX((K358+O358),0),L358)*W358+SUMPRODUCT((Calc!$A$2:$A$1001=A358)*Calc!$G$2:$G$1001*((((K358+O358)-(L358+Calc!$J$2:$J$1001))&gt;0)*(((K358+O358)-(L358+Calc!$J$2:$J$1001))&lt;Calc!$F$2:$F$1001)*((K358+O358)-(L358+Calc!$J$2:$J$1001))+(((K358+O358)-(L358+Calc!$J$2:$J$1001))&gt;=Calc!$F$2:$F$1001)*Calc!$F$2:$F$1001))))</f>
        <v/>
      </c>
      <c r="T358">
        <f>IF(AND(E358=1,B358="RETURN"),Transactions!E358*Transactions!G358,0)</f>
        <v/>
      </c>
      <c r="U358">
        <f>IF(AND(E358=1,B358="EXPENSE"),Transactions!J358,0)</f>
        <v/>
      </c>
      <c r="V358">
        <f>IF(AND(Transactions!A358&lt;&gt;"",E358=0),ROW(),"")</f>
        <v/>
      </c>
      <c r="W358">
        <f>IFERROR(VLOOKUP(A358,Opening!$A:$D,4,0),0)</f>
        <v/>
      </c>
    </row>
    <row r="359">
      <c r="A359">
        <f>IF(Transactions!D359="","",UPPER(TRIM(Transactions!D359)))</f>
        <v/>
      </c>
      <c r="B359">
        <f>IF(Transactions!C359="","",UPPER(TRIM(Transactions!C359)))</f>
        <v/>
      </c>
      <c r="C359">
        <f>IF(Transactions!B359="",0,YEAR(Transactions!B359)*100+MONTH(Transactions!B359))</f>
        <v/>
      </c>
      <c r="D359">
        <f>IF(Transactions!A359="",1,IF(COUNTIF(Transactions!$A$1:A358,Transactions!A359)&gt;0,1,0))</f>
        <v/>
      </c>
      <c r="E359">
        <f>IF(D359=1,0,IF(B359="RETURN",IF(COUNTIFS($A$1:A358,A359,$B$1:B358,"SALE",$E$1:E358,1)&gt;0,1,0),1))</f>
        <v/>
      </c>
      <c r="F359">
        <f>IF(E359=1,IF(B359="RECEIPT",Transactions!E359,IF(AND(B359="RETURN",LOWER(TRIM(Transactions!H359))="resellable"),Transactions!E359,0)),0)</f>
        <v/>
      </c>
      <c r="G359">
        <f>IF(F359&gt;0,IF(B359="RECEIPT",Transactions!F359,IF(_xlfn.MAXIFS($H$2:H359,$A$2:A359,A359)&gt;0,INDEX(Transactions!$F:$F,_xlfn.MAXIFS($H$2:H359,$A$2:A359,A359)),W359)),0)</f>
        <v/>
      </c>
      <c r="H359">
        <f>IF(AND(E359=1,B359="RECEIPT"),ROW(),0)</f>
        <v/>
      </c>
      <c r="I359">
        <f>IF(E359=1,IF(OR(B359="SALE",B359="WRITEOFF"),Transactions!E359,0),0)</f>
        <v/>
      </c>
      <c r="J359">
        <f>SUMIFS($F$1:F358,$A$1:A358,A359)</f>
        <v/>
      </c>
      <c r="K359">
        <f>SUMIFS($I$1:I358,$A$1:A358,A359)</f>
        <v/>
      </c>
      <c r="L359">
        <f>IFERROR(VLOOKUP(A359,Opening!$A:$C,3,0),0)</f>
        <v/>
      </c>
      <c r="M359">
        <f>IF(I359=0,0,MAX(0,MIN(INDEX(Month!H$2:H$13,MATCH($A359,Month!$A$2:$A$13,0))-K359,I359)))</f>
        <v/>
      </c>
      <c r="N359">
        <f>IF(I359=0,0,MAX(0,MIN(INDEX(Month!I$2:I$13,MATCH($A359,Month!$A$2:$A$13,0))-K359,I359)))</f>
        <v/>
      </c>
      <c r="O359">
        <f>IF(I359=0,0,MAX(0,MIN(INDEX(Month!J$2:J$13,MATCH($A359,Month!$A$2:$A$13,0))-K359,I359)))</f>
        <v/>
      </c>
      <c r="P359">
        <f>IF(I359=0,0,(MIN(MAX(K359,0),L359)*W359+SUMPRODUCT((Calc!$A$2:$A$1001=A359)*Calc!$G$2:$G$1001*(((K359-(L359+Calc!$J$2:$J$1001))&gt;0)*((K359-(L359+Calc!$J$2:$J$1001))&lt;Calc!$F$2:$F$1001)*(K359-(L359+Calc!$J$2:$J$1001))+((K359-(L359+Calc!$J$2:$J$1001))&gt;=Calc!$F$2:$F$1001)*Calc!$F$2:$F$1001))))</f>
        <v/>
      </c>
      <c r="Q359">
        <f>IF(I359=0,0,(MIN(MAX((K359+M359),0),L359)*W359+SUMPRODUCT((Calc!$A$2:$A$1001=A359)*Calc!$G$2:$G$1001*((((K359+M359)-(L359+Calc!$J$2:$J$1001))&gt;0)*(((K359+M359)-(L359+Calc!$J$2:$J$1001))&lt;Calc!$F$2:$F$1001)*((K359+M359)-(L359+Calc!$J$2:$J$1001))+(((K359+M359)-(L359+Calc!$J$2:$J$1001))&gt;=Calc!$F$2:$F$1001)*Calc!$F$2:$F$1001))))</f>
        <v/>
      </c>
      <c r="R359">
        <f>IF(I359=0,0,(MIN(MAX((K359+N359),0),L359)*W359+SUMPRODUCT((Calc!$A$2:$A$1001=A359)*Calc!$G$2:$G$1001*((((K359+N359)-(L359+Calc!$J$2:$J$1001))&gt;0)*(((K359+N359)-(L359+Calc!$J$2:$J$1001))&lt;Calc!$F$2:$F$1001)*((K359+N359)-(L359+Calc!$J$2:$J$1001))+(((K359+N359)-(L359+Calc!$J$2:$J$1001))&gt;=Calc!$F$2:$F$1001)*Calc!$F$2:$F$1001))))</f>
        <v/>
      </c>
      <c r="S359">
        <f>IF(I359=0,0,(MIN(MAX((K359+O359),0),L359)*W359+SUMPRODUCT((Calc!$A$2:$A$1001=A359)*Calc!$G$2:$G$1001*((((K359+O359)-(L359+Calc!$J$2:$J$1001))&gt;0)*(((K359+O359)-(L359+Calc!$J$2:$J$1001))&lt;Calc!$F$2:$F$1001)*((K359+O359)-(L359+Calc!$J$2:$J$1001))+(((K359+O359)-(L359+Calc!$J$2:$J$1001))&gt;=Calc!$F$2:$F$1001)*Calc!$F$2:$F$1001))))</f>
        <v/>
      </c>
      <c r="T359">
        <f>IF(AND(E359=1,B359="RETURN"),Transactions!E359*Transactions!G359,0)</f>
        <v/>
      </c>
      <c r="U359">
        <f>IF(AND(E359=1,B359="EXPENSE"),Transactions!J359,0)</f>
        <v/>
      </c>
      <c r="V359">
        <f>IF(AND(Transactions!A359&lt;&gt;"",E359=0),ROW(),"")</f>
        <v/>
      </c>
      <c r="W359">
        <f>IFERROR(VLOOKUP(A359,Opening!$A:$D,4,0),0)</f>
        <v/>
      </c>
    </row>
    <row r="360">
      <c r="A360">
        <f>IF(Transactions!D360="","",UPPER(TRIM(Transactions!D360)))</f>
        <v/>
      </c>
      <c r="B360">
        <f>IF(Transactions!C360="","",UPPER(TRIM(Transactions!C360)))</f>
        <v/>
      </c>
      <c r="C360">
        <f>IF(Transactions!B360="",0,YEAR(Transactions!B360)*100+MONTH(Transactions!B360))</f>
        <v/>
      </c>
      <c r="D360">
        <f>IF(Transactions!A360="",1,IF(COUNTIF(Transactions!$A$1:A359,Transactions!A360)&gt;0,1,0))</f>
        <v/>
      </c>
      <c r="E360">
        <f>IF(D360=1,0,IF(B360="RETURN",IF(COUNTIFS($A$1:A359,A360,$B$1:B359,"SALE",$E$1:E359,1)&gt;0,1,0),1))</f>
        <v/>
      </c>
      <c r="F360">
        <f>IF(E360=1,IF(B360="RECEIPT",Transactions!E360,IF(AND(B360="RETURN",LOWER(TRIM(Transactions!H360))="resellable"),Transactions!E360,0)),0)</f>
        <v/>
      </c>
      <c r="G360">
        <f>IF(F360&gt;0,IF(B360="RECEIPT",Transactions!F360,IF(_xlfn.MAXIFS($H$2:H360,$A$2:A360,A360)&gt;0,INDEX(Transactions!$F:$F,_xlfn.MAXIFS($H$2:H360,$A$2:A360,A360)),W360)),0)</f>
        <v/>
      </c>
      <c r="H360">
        <f>IF(AND(E360=1,B360="RECEIPT"),ROW(),0)</f>
        <v/>
      </c>
      <c r="I360">
        <f>IF(E360=1,IF(OR(B360="SALE",B360="WRITEOFF"),Transactions!E360,0),0)</f>
        <v/>
      </c>
      <c r="J360">
        <f>SUMIFS($F$1:F359,$A$1:A359,A360)</f>
        <v/>
      </c>
      <c r="K360">
        <f>SUMIFS($I$1:I359,$A$1:A359,A360)</f>
        <v/>
      </c>
      <c r="L360">
        <f>IFERROR(VLOOKUP(A360,Opening!$A:$C,3,0),0)</f>
        <v/>
      </c>
      <c r="M360">
        <f>IF(I360=0,0,MAX(0,MIN(INDEX(Month!H$2:H$13,MATCH($A360,Month!$A$2:$A$13,0))-K360,I360)))</f>
        <v/>
      </c>
      <c r="N360">
        <f>IF(I360=0,0,MAX(0,MIN(INDEX(Month!I$2:I$13,MATCH($A360,Month!$A$2:$A$13,0))-K360,I360)))</f>
        <v/>
      </c>
      <c r="O360">
        <f>IF(I360=0,0,MAX(0,MIN(INDEX(Month!J$2:J$13,MATCH($A360,Month!$A$2:$A$13,0))-K360,I360)))</f>
        <v/>
      </c>
      <c r="P360">
        <f>IF(I360=0,0,(MIN(MAX(K360,0),L360)*W360+SUMPRODUCT((Calc!$A$2:$A$1001=A360)*Calc!$G$2:$G$1001*(((K360-(L360+Calc!$J$2:$J$1001))&gt;0)*((K360-(L360+Calc!$J$2:$J$1001))&lt;Calc!$F$2:$F$1001)*(K360-(L360+Calc!$J$2:$J$1001))+((K360-(L360+Calc!$J$2:$J$1001))&gt;=Calc!$F$2:$F$1001)*Calc!$F$2:$F$1001))))</f>
        <v/>
      </c>
      <c r="Q360">
        <f>IF(I360=0,0,(MIN(MAX((K360+M360),0),L360)*W360+SUMPRODUCT((Calc!$A$2:$A$1001=A360)*Calc!$G$2:$G$1001*((((K360+M360)-(L360+Calc!$J$2:$J$1001))&gt;0)*(((K360+M360)-(L360+Calc!$J$2:$J$1001))&lt;Calc!$F$2:$F$1001)*((K360+M360)-(L360+Calc!$J$2:$J$1001))+(((K360+M360)-(L360+Calc!$J$2:$J$1001))&gt;=Calc!$F$2:$F$1001)*Calc!$F$2:$F$1001))))</f>
        <v/>
      </c>
      <c r="R360">
        <f>IF(I360=0,0,(MIN(MAX((K360+N360),0),L360)*W360+SUMPRODUCT((Calc!$A$2:$A$1001=A360)*Calc!$G$2:$G$1001*((((K360+N360)-(L360+Calc!$J$2:$J$1001))&gt;0)*(((K360+N360)-(L360+Calc!$J$2:$J$1001))&lt;Calc!$F$2:$F$1001)*((K360+N360)-(L360+Calc!$J$2:$J$1001))+(((K360+N360)-(L360+Calc!$J$2:$J$1001))&gt;=Calc!$F$2:$F$1001)*Calc!$F$2:$F$1001))))</f>
        <v/>
      </c>
      <c r="S360">
        <f>IF(I360=0,0,(MIN(MAX((K360+O360),0),L360)*W360+SUMPRODUCT((Calc!$A$2:$A$1001=A360)*Calc!$G$2:$G$1001*((((K360+O360)-(L360+Calc!$J$2:$J$1001))&gt;0)*(((K360+O360)-(L360+Calc!$J$2:$J$1001))&lt;Calc!$F$2:$F$1001)*((K360+O360)-(L360+Calc!$J$2:$J$1001))+(((K360+O360)-(L360+Calc!$J$2:$J$1001))&gt;=Calc!$F$2:$F$1001)*Calc!$F$2:$F$1001))))</f>
        <v/>
      </c>
      <c r="T360">
        <f>IF(AND(E360=1,B360="RETURN"),Transactions!E360*Transactions!G360,0)</f>
        <v/>
      </c>
      <c r="U360">
        <f>IF(AND(E360=1,B360="EXPENSE"),Transactions!J360,0)</f>
        <v/>
      </c>
      <c r="V360">
        <f>IF(AND(Transactions!A360&lt;&gt;"",E360=0),ROW(),"")</f>
        <v/>
      </c>
      <c r="W360">
        <f>IFERROR(VLOOKUP(A360,Opening!$A:$D,4,0),0)</f>
        <v/>
      </c>
    </row>
    <row r="361">
      <c r="A361">
        <f>IF(Transactions!D361="","",UPPER(TRIM(Transactions!D361)))</f>
        <v/>
      </c>
      <c r="B361">
        <f>IF(Transactions!C361="","",UPPER(TRIM(Transactions!C361)))</f>
        <v/>
      </c>
      <c r="C361">
        <f>IF(Transactions!B361="",0,YEAR(Transactions!B361)*100+MONTH(Transactions!B361))</f>
        <v/>
      </c>
      <c r="D361">
        <f>IF(Transactions!A361="",1,IF(COUNTIF(Transactions!$A$1:A360,Transactions!A361)&gt;0,1,0))</f>
        <v/>
      </c>
      <c r="E361">
        <f>IF(D361=1,0,IF(B361="RETURN",IF(COUNTIFS($A$1:A360,A361,$B$1:B360,"SALE",$E$1:E360,1)&gt;0,1,0),1))</f>
        <v/>
      </c>
      <c r="F361">
        <f>IF(E361=1,IF(B361="RECEIPT",Transactions!E361,IF(AND(B361="RETURN",LOWER(TRIM(Transactions!H361))="resellable"),Transactions!E361,0)),0)</f>
        <v/>
      </c>
      <c r="G361">
        <f>IF(F361&gt;0,IF(B361="RECEIPT",Transactions!F361,IF(_xlfn.MAXIFS($H$2:H361,$A$2:A361,A361)&gt;0,INDEX(Transactions!$F:$F,_xlfn.MAXIFS($H$2:H361,$A$2:A361,A361)),W361)),0)</f>
        <v/>
      </c>
      <c r="H361">
        <f>IF(AND(E361=1,B361="RECEIPT"),ROW(),0)</f>
        <v/>
      </c>
      <c r="I361">
        <f>IF(E361=1,IF(OR(B361="SALE",B361="WRITEOFF"),Transactions!E361,0),0)</f>
        <v/>
      </c>
      <c r="J361">
        <f>SUMIFS($F$1:F360,$A$1:A360,A361)</f>
        <v/>
      </c>
      <c r="K361">
        <f>SUMIFS($I$1:I360,$A$1:A360,A361)</f>
        <v/>
      </c>
      <c r="L361">
        <f>IFERROR(VLOOKUP(A361,Opening!$A:$C,3,0),0)</f>
        <v/>
      </c>
      <c r="M361">
        <f>IF(I361=0,0,MAX(0,MIN(INDEX(Month!H$2:H$13,MATCH($A361,Month!$A$2:$A$13,0))-K361,I361)))</f>
        <v/>
      </c>
      <c r="N361">
        <f>IF(I361=0,0,MAX(0,MIN(INDEX(Month!I$2:I$13,MATCH($A361,Month!$A$2:$A$13,0))-K361,I361)))</f>
        <v/>
      </c>
      <c r="O361">
        <f>IF(I361=0,0,MAX(0,MIN(INDEX(Month!J$2:J$13,MATCH($A361,Month!$A$2:$A$13,0))-K361,I361)))</f>
        <v/>
      </c>
      <c r="P361">
        <f>IF(I361=0,0,(MIN(MAX(K361,0),L361)*W361+SUMPRODUCT((Calc!$A$2:$A$1001=A361)*Calc!$G$2:$G$1001*(((K361-(L361+Calc!$J$2:$J$1001))&gt;0)*((K361-(L361+Calc!$J$2:$J$1001))&lt;Calc!$F$2:$F$1001)*(K361-(L361+Calc!$J$2:$J$1001))+((K361-(L361+Calc!$J$2:$J$1001))&gt;=Calc!$F$2:$F$1001)*Calc!$F$2:$F$1001))))</f>
        <v/>
      </c>
      <c r="Q361">
        <f>IF(I361=0,0,(MIN(MAX((K361+M361),0),L361)*W361+SUMPRODUCT((Calc!$A$2:$A$1001=A361)*Calc!$G$2:$G$1001*((((K361+M361)-(L361+Calc!$J$2:$J$1001))&gt;0)*(((K361+M361)-(L361+Calc!$J$2:$J$1001))&lt;Calc!$F$2:$F$1001)*((K361+M361)-(L361+Calc!$J$2:$J$1001))+(((K361+M361)-(L361+Calc!$J$2:$J$1001))&gt;=Calc!$F$2:$F$1001)*Calc!$F$2:$F$1001))))</f>
        <v/>
      </c>
      <c r="R361">
        <f>IF(I361=0,0,(MIN(MAX((K361+N361),0),L361)*W361+SUMPRODUCT((Calc!$A$2:$A$1001=A361)*Calc!$G$2:$G$1001*((((K361+N361)-(L361+Calc!$J$2:$J$1001))&gt;0)*(((K361+N361)-(L361+Calc!$J$2:$J$1001))&lt;Calc!$F$2:$F$1001)*((K361+N361)-(L361+Calc!$J$2:$J$1001))+(((K361+N361)-(L361+Calc!$J$2:$J$1001))&gt;=Calc!$F$2:$F$1001)*Calc!$F$2:$F$1001))))</f>
        <v/>
      </c>
      <c r="S361">
        <f>IF(I361=0,0,(MIN(MAX((K361+O361),0),L361)*W361+SUMPRODUCT((Calc!$A$2:$A$1001=A361)*Calc!$G$2:$G$1001*((((K361+O361)-(L361+Calc!$J$2:$J$1001))&gt;0)*(((K361+O361)-(L361+Calc!$J$2:$J$1001))&lt;Calc!$F$2:$F$1001)*((K361+O361)-(L361+Calc!$J$2:$J$1001))+(((K361+O361)-(L361+Calc!$J$2:$J$1001))&gt;=Calc!$F$2:$F$1001)*Calc!$F$2:$F$1001))))</f>
        <v/>
      </c>
      <c r="T361">
        <f>IF(AND(E361=1,B361="RETURN"),Transactions!E361*Transactions!G361,0)</f>
        <v/>
      </c>
      <c r="U361">
        <f>IF(AND(E361=1,B361="EXPENSE"),Transactions!J361,0)</f>
        <v/>
      </c>
      <c r="V361">
        <f>IF(AND(Transactions!A361&lt;&gt;"",E361=0),ROW(),"")</f>
        <v/>
      </c>
      <c r="W361">
        <f>IFERROR(VLOOKUP(A361,Opening!$A:$D,4,0),0)</f>
        <v/>
      </c>
    </row>
    <row r="362">
      <c r="A362">
        <f>IF(Transactions!D362="","",UPPER(TRIM(Transactions!D362)))</f>
        <v/>
      </c>
      <c r="B362">
        <f>IF(Transactions!C362="","",UPPER(TRIM(Transactions!C362)))</f>
        <v/>
      </c>
      <c r="C362">
        <f>IF(Transactions!B362="",0,YEAR(Transactions!B362)*100+MONTH(Transactions!B362))</f>
        <v/>
      </c>
      <c r="D362">
        <f>IF(Transactions!A362="",1,IF(COUNTIF(Transactions!$A$1:A361,Transactions!A362)&gt;0,1,0))</f>
        <v/>
      </c>
      <c r="E362">
        <f>IF(D362=1,0,IF(B362="RETURN",IF(COUNTIFS($A$1:A361,A362,$B$1:B361,"SALE",$E$1:E361,1)&gt;0,1,0),1))</f>
        <v/>
      </c>
      <c r="F362">
        <f>IF(E362=1,IF(B362="RECEIPT",Transactions!E362,IF(AND(B362="RETURN",LOWER(TRIM(Transactions!H362))="resellable"),Transactions!E362,0)),0)</f>
        <v/>
      </c>
      <c r="G362">
        <f>IF(F362&gt;0,IF(B362="RECEIPT",Transactions!F362,IF(_xlfn.MAXIFS($H$2:H362,$A$2:A362,A362)&gt;0,INDEX(Transactions!$F:$F,_xlfn.MAXIFS($H$2:H362,$A$2:A362,A362)),W362)),0)</f>
        <v/>
      </c>
      <c r="H362">
        <f>IF(AND(E362=1,B362="RECEIPT"),ROW(),0)</f>
        <v/>
      </c>
      <c r="I362">
        <f>IF(E362=1,IF(OR(B362="SALE",B362="WRITEOFF"),Transactions!E362,0),0)</f>
        <v/>
      </c>
      <c r="J362">
        <f>SUMIFS($F$1:F361,$A$1:A361,A362)</f>
        <v/>
      </c>
      <c r="K362">
        <f>SUMIFS($I$1:I361,$A$1:A361,A362)</f>
        <v/>
      </c>
      <c r="L362">
        <f>IFERROR(VLOOKUP(A362,Opening!$A:$C,3,0),0)</f>
        <v/>
      </c>
      <c r="M362">
        <f>IF(I362=0,0,MAX(0,MIN(INDEX(Month!H$2:H$13,MATCH($A362,Month!$A$2:$A$13,0))-K362,I362)))</f>
        <v/>
      </c>
      <c r="N362">
        <f>IF(I362=0,0,MAX(0,MIN(INDEX(Month!I$2:I$13,MATCH($A362,Month!$A$2:$A$13,0))-K362,I362)))</f>
        <v/>
      </c>
      <c r="O362">
        <f>IF(I362=0,0,MAX(0,MIN(INDEX(Month!J$2:J$13,MATCH($A362,Month!$A$2:$A$13,0))-K362,I362)))</f>
        <v/>
      </c>
      <c r="P362">
        <f>IF(I362=0,0,(MIN(MAX(K362,0),L362)*W362+SUMPRODUCT((Calc!$A$2:$A$1001=A362)*Calc!$G$2:$G$1001*(((K362-(L362+Calc!$J$2:$J$1001))&gt;0)*((K362-(L362+Calc!$J$2:$J$1001))&lt;Calc!$F$2:$F$1001)*(K362-(L362+Calc!$J$2:$J$1001))+((K362-(L362+Calc!$J$2:$J$1001))&gt;=Calc!$F$2:$F$1001)*Calc!$F$2:$F$1001))))</f>
        <v/>
      </c>
      <c r="Q362">
        <f>IF(I362=0,0,(MIN(MAX((K362+M362),0),L362)*W362+SUMPRODUCT((Calc!$A$2:$A$1001=A362)*Calc!$G$2:$G$1001*((((K362+M362)-(L362+Calc!$J$2:$J$1001))&gt;0)*(((K362+M362)-(L362+Calc!$J$2:$J$1001))&lt;Calc!$F$2:$F$1001)*((K362+M362)-(L362+Calc!$J$2:$J$1001))+(((K362+M362)-(L362+Calc!$J$2:$J$1001))&gt;=Calc!$F$2:$F$1001)*Calc!$F$2:$F$1001))))</f>
        <v/>
      </c>
      <c r="R362">
        <f>IF(I362=0,0,(MIN(MAX((K362+N362),0),L362)*W362+SUMPRODUCT((Calc!$A$2:$A$1001=A362)*Calc!$G$2:$G$1001*((((K362+N362)-(L362+Calc!$J$2:$J$1001))&gt;0)*(((K362+N362)-(L362+Calc!$J$2:$J$1001))&lt;Calc!$F$2:$F$1001)*((K362+N362)-(L362+Calc!$J$2:$J$1001))+(((K362+N362)-(L362+Calc!$J$2:$J$1001))&gt;=Calc!$F$2:$F$1001)*Calc!$F$2:$F$1001))))</f>
        <v/>
      </c>
      <c r="S362">
        <f>IF(I362=0,0,(MIN(MAX((K362+O362),0),L362)*W362+SUMPRODUCT((Calc!$A$2:$A$1001=A362)*Calc!$G$2:$G$1001*((((K362+O362)-(L362+Calc!$J$2:$J$1001))&gt;0)*(((K362+O362)-(L362+Calc!$J$2:$J$1001))&lt;Calc!$F$2:$F$1001)*((K362+O362)-(L362+Calc!$J$2:$J$1001))+(((K362+O362)-(L362+Calc!$J$2:$J$1001))&gt;=Calc!$F$2:$F$1001)*Calc!$F$2:$F$1001))))</f>
        <v/>
      </c>
      <c r="T362">
        <f>IF(AND(E362=1,B362="RETURN"),Transactions!E362*Transactions!G362,0)</f>
        <v/>
      </c>
      <c r="U362">
        <f>IF(AND(E362=1,B362="EXPENSE"),Transactions!J362,0)</f>
        <v/>
      </c>
      <c r="V362">
        <f>IF(AND(Transactions!A362&lt;&gt;"",E362=0),ROW(),"")</f>
        <v/>
      </c>
      <c r="W362">
        <f>IFERROR(VLOOKUP(A362,Opening!$A:$D,4,0),0)</f>
        <v/>
      </c>
    </row>
    <row r="363">
      <c r="A363">
        <f>IF(Transactions!D363="","",UPPER(TRIM(Transactions!D363)))</f>
        <v/>
      </c>
      <c r="B363">
        <f>IF(Transactions!C363="","",UPPER(TRIM(Transactions!C363)))</f>
        <v/>
      </c>
      <c r="C363">
        <f>IF(Transactions!B363="",0,YEAR(Transactions!B363)*100+MONTH(Transactions!B363))</f>
        <v/>
      </c>
      <c r="D363">
        <f>IF(Transactions!A363="",1,IF(COUNTIF(Transactions!$A$1:A362,Transactions!A363)&gt;0,1,0))</f>
        <v/>
      </c>
      <c r="E363">
        <f>IF(D363=1,0,IF(B363="RETURN",IF(COUNTIFS($A$1:A362,A363,$B$1:B362,"SALE",$E$1:E362,1)&gt;0,1,0),1))</f>
        <v/>
      </c>
      <c r="F363">
        <f>IF(E363=1,IF(B363="RECEIPT",Transactions!E363,IF(AND(B363="RETURN",LOWER(TRIM(Transactions!H363))="resellable"),Transactions!E363,0)),0)</f>
        <v/>
      </c>
      <c r="G363">
        <f>IF(F363&gt;0,IF(B363="RECEIPT",Transactions!F363,IF(_xlfn.MAXIFS($H$2:H363,$A$2:A363,A363)&gt;0,INDEX(Transactions!$F:$F,_xlfn.MAXIFS($H$2:H363,$A$2:A363,A363)),W363)),0)</f>
        <v/>
      </c>
      <c r="H363">
        <f>IF(AND(E363=1,B363="RECEIPT"),ROW(),0)</f>
        <v/>
      </c>
      <c r="I363">
        <f>IF(E363=1,IF(OR(B363="SALE",B363="WRITEOFF"),Transactions!E363,0),0)</f>
        <v/>
      </c>
      <c r="J363">
        <f>SUMIFS($F$1:F362,$A$1:A362,A363)</f>
        <v/>
      </c>
      <c r="K363">
        <f>SUMIFS($I$1:I362,$A$1:A362,A363)</f>
        <v/>
      </c>
      <c r="L363">
        <f>IFERROR(VLOOKUP(A363,Opening!$A:$C,3,0),0)</f>
        <v/>
      </c>
      <c r="M363">
        <f>IF(I363=0,0,MAX(0,MIN(INDEX(Month!H$2:H$13,MATCH($A363,Month!$A$2:$A$13,0))-K363,I363)))</f>
        <v/>
      </c>
      <c r="N363">
        <f>IF(I363=0,0,MAX(0,MIN(INDEX(Month!I$2:I$13,MATCH($A363,Month!$A$2:$A$13,0))-K363,I363)))</f>
        <v/>
      </c>
      <c r="O363">
        <f>IF(I363=0,0,MAX(0,MIN(INDEX(Month!J$2:J$13,MATCH($A363,Month!$A$2:$A$13,0))-K363,I363)))</f>
        <v/>
      </c>
      <c r="P363">
        <f>IF(I363=0,0,(MIN(MAX(K363,0),L363)*W363+SUMPRODUCT((Calc!$A$2:$A$1001=A363)*Calc!$G$2:$G$1001*(((K363-(L363+Calc!$J$2:$J$1001))&gt;0)*((K363-(L363+Calc!$J$2:$J$1001))&lt;Calc!$F$2:$F$1001)*(K363-(L363+Calc!$J$2:$J$1001))+((K363-(L363+Calc!$J$2:$J$1001))&gt;=Calc!$F$2:$F$1001)*Calc!$F$2:$F$1001))))</f>
        <v/>
      </c>
      <c r="Q363">
        <f>IF(I363=0,0,(MIN(MAX((K363+M363),0),L363)*W363+SUMPRODUCT((Calc!$A$2:$A$1001=A363)*Calc!$G$2:$G$1001*((((K363+M363)-(L363+Calc!$J$2:$J$1001))&gt;0)*(((K363+M363)-(L363+Calc!$J$2:$J$1001))&lt;Calc!$F$2:$F$1001)*((K363+M363)-(L363+Calc!$J$2:$J$1001))+(((K363+M363)-(L363+Calc!$J$2:$J$1001))&gt;=Calc!$F$2:$F$1001)*Calc!$F$2:$F$1001))))</f>
        <v/>
      </c>
      <c r="R363">
        <f>IF(I363=0,0,(MIN(MAX((K363+N363),0),L363)*W363+SUMPRODUCT((Calc!$A$2:$A$1001=A363)*Calc!$G$2:$G$1001*((((K363+N363)-(L363+Calc!$J$2:$J$1001))&gt;0)*(((K363+N363)-(L363+Calc!$J$2:$J$1001))&lt;Calc!$F$2:$F$1001)*((K363+N363)-(L363+Calc!$J$2:$J$1001))+(((K363+N363)-(L363+Calc!$J$2:$J$1001))&gt;=Calc!$F$2:$F$1001)*Calc!$F$2:$F$1001))))</f>
        <v/>
      </c>
      <c r="S363">
        <f>IF(I363=0,0,(MIN(MAX((K363+O363),0),L363)*W363+SUMPRODUCT((Calc!$A$2:$A$1001=A363)*Calc!$G$2:$G$1001*((((K363+O363)-(L363+Calc!$J$2:$J$1001))&gt;0)*(((K363+O363)-(L363+Calc!$J$2:$J$1001))&lt;Calc!$F$2:$F$1001)*((K363+O363)-(L363+Calc!$J$2:$J$1001))+(((K363+O363)-(L363+Calc!$J$2:$J$1001))&gt;=Calc!$F$2:$F$1001)*Calc!$F$2:$F$1001))))</f>
        <v/>
      </c>
      <c r="T363">
        <f>IF(AND(E363=1,B363="RETURN"),Transactions!E363*Transactions!G363,0)</f>
        <v/>
      </c>
      <c r="U363">
        <f>IF(AND(E363=1,B363="EXPENSE"),Transactions!J363,0)</f>
        <v/>
      </c>
      <c r="V363">
        <f>IF(AND(Transactions!A363&lt;&gt;"",E363=0),ROW(),"")</f>
        <v/>
      </c>
      <c r="W363">
        <f>IFERROR(VLOOKUP(A363,Opening!$A:$D,4,0),0)</f>
        <v/>
      </c>
    </row>
    <row r="364">
      <c r="A364">
        <f>IF(Transactions!D364="","",UPPER(TRIM(Transactions!D364)))</f>
        <v/>
      </c>
      <c r="B364">
        <f>IF(Transactions!C364="","",UPPER(TRIM(Transactions!C364)))</f>
        <v/>
      </c>
      <c r="C364">
        <f>IF(Transactions!B364="",0,YEAR(Transactions!B364)*100+MONTH(Transactions!B364))</f>
        <v/>
      </c>
      <c r="D364">
        <f>IF(Transactions!A364="",1,IF(COUNTIF(Transactions!$A$1:A363,Transactions!A364)&gt;0,1,0))</f>
        <v/>
      </c>
      <c r="E364">
        <f>IF(D364=1,0,IF(B364="RETURN",IF(COUNTIFS($A$1:A363,A364,$B$1:B363,"SALE",$E$1:E363,1)&gt;0,1,0),1))</f>
        <v/>
      </c>
      <c r="F364">
        <f>IF(E364=1,IF(B364="RECEIPT",Transactions!E364,IF(AND(B364="RETURN",LOWER(TRIM(Transactions!H364))="resellable"),Transactions!E364,0)),0)</f>
        <v/>
      </c>
      <c r="G364">
        <f>IF(F364&gt;0,IF(B364="RECEIPT",Transactions!F364,IF(_xlfn.MAXIFS($H$2:H364,$A$2:A364,A364)&gt;0,INDEX(Transactions!$F:$F,_xlfn.MAXIFS($H$2:H364,$A$2:A364,A364)),W364)),0)</f>
        <v/>
      </c>
      <c r="H364">
        <f>IF(AND(E364=1,B364="RECEIPT"),ROW(),0)</f>
        <v/>
      </c>
      <c r="I364">
        <f>IF(E364=1,IF(OR(B364="SALE",B364="WRITEOFF"),Transactions!E364,0),0)</f>
        <v/>
      </c>
      <c r="J364">
        <f>SUMIFS($F$1:F363,$A$1:A363,A364)</f>
        <v/>
      </c>
      <c r="K364">
        <f>SUMIFS($I$1:I363,$A$1:A363,A364)</f>
        <v/>
      </c>
      <c r="L364">
        <f>IFERROR(VLOOKUP(A364,Opening!$A:$C,3,0),0)</f>
        <v/>
      </c>
      <c r="M364">
        <f>IF(I364=0,0,MAX(0,MIN(INDEX(Month!H$2:H$13,MATCH($A364,Month!$A$2:$A$13,0))-K364,I364)))</f>
        <v/>
      </c>
      <c r="N364">
        <f>IF(I364=0,0,MAX(0,MIN(INDEX(Month!I$2:I$13,MATCH($A364,Month!$A$2:$A$13,0))-K364,I364)))</f>
        <v/>
      </c>
      <c r="O364">
        <f>IF(I364=0,0,MAX(0,MIN(INDEX(Month!J$2:J$13,MATCH($A364,Month!$A$2:$A$13,0))-K364,I364)))</f>
        <v/>
      </c>
      <c r="P364">
        <f>IF(I364=0,0,(MIN(MAX(K364,0),L364)*W364+SUMPRODUCT((Calc!$A$2:$A$1001=A364)*Calc!$G$2:$G$1001*(((K364-(L364+Calc!$J$2:$J$1001))&gt;0)*((K364-(L364+Calc!$J$2:$J$1001))&lt;Calc!$F$2:$F$1001)*(K364-(L364+Calc!$J$2:$J$1001))+((K364-(L364+Calc!$J$2:$J$1001))&gt;=Calc!$F$2:$F$1001)*Calc!$F$2:$F$1001))))</f>
        <v/>
      </c>
      <c r="Q364">
        <f>IF(I364=0,0,(MIN(MAX((K364+M364),0),L364)*W364+SUMPRODUCT((Calc!$A$2:$A$1001=A364)*Calc!$G$2:$G$1001*((((K364+M364)-(L364+Calc!$J$2:$J$1001))&gt;0)*(((K364+M364)-(L364+Calc!$J$2:$J$1001))&lt;Calc!$F$2:$F$1001)*((K364+M364)-(L364+Calc!$J$2:$J$1001))+(((K364+M364)-(L364+Calc!$J$2:$J$1001))&gt;=Calc!$F$2:$F$1001)*Calc!$F$2:$F$1001))))</f>
        <v/>
      </c>
      <c r="R364">
        <f>IF(I364=0,0,(MIN(MAX((K364+N364),0),L364)*W364+SUMPRODUCT((Calc!$A$2:$A$1001=A364)*Calc!$G$2:$G$1001*((((K364+N364)-(L364+Calc!$J$2:$J$1001))&gt;0)*(((K364+N364)-(L364+Calc!$J$2:$J$1001))&lt;Calc!$F$2:$F$1001)*((K364+N364)-(L364+Calc!$J$2:$J$1001))+(((K364+N364)-(L364+Calc!$J$2:$J$1001))&gt;=Calc!$F$2:$F$1001)*Calc!$F$2:$F$1001))))</f>
        <v/>
      </c>
      <c r="S364">
        <f>IF(I364=0,0,(MIN(MAX((K364+O364),0),L364)*W364+SUMPRODUCT((Calc!$A$2:$A$1001=A364)*Calc!$G$2:$G$1001*((((K364+O364)-(L364+Calc!$J$2:$J$1001))&gt;0)*(((K364+O364)-(L364+Calc!$J$2:$J$1001))&lt;Calc!$F$2:$F$1001)*((K364+O364)-(L364+Calc!$J$2:$J$1001))+(((K364+O364)-(L364+Calc!$J$2:$J$1001))&gt;=Calc!$F$2:$F$1001)*Calc!$F$2:$F$1001))))</f>
        <v/>
      </c>
      <c r="T364">
        <f>IF(AND(E364=1,B364="RETURN"),Transactions!E364*Transactions!G364,0)</f>
        <v/>
      </c>
      <c r="U364">
        <f>IF(AND(E364=1,B364="EXPENSE"),Transactions!J364,0)</f>
        <v/>
      </c>
      <c r="V364">
        <f>IF(AND(Transactions!A364&lt;&gt;"",E364=0),ROW(),"")</f>
        <v/>
      </c>
      <c r="W364">
        <f>IFERROR(VLOOKUP(A364,Opening!$A:$D,4,0),0)</f>
        <v/>
      </c>
    </row>
    <row r="365">
      <c r="A365">
        <f>IF(Transactions!D365="","",UPPER(TRIM(Transactions!D365)))</f>
        <v/>
      </c>
      <c r="B365">
        <f>IF(Transactions!C365="","",UPPER(TRIM(Transactions!C365)))</f>
        <v/>
      </c>
      <c r="C365">
        <f>IF(Transactions!B365="",0,YEAR(Transactions!B365)*100+MONTH(Transactions!B365))</f>
        <v/>
      </c>
      <c r="D365">
        <f>IF(Transactions!A365="",1,IF(COUNTIF(Transactions!$A$1:A364,Transactions!A365)&gt;0,1,0))</f>
        <v/>
      </c>
      <c r="E365">
        <f>IF(D365=1,0,IF(B365="RETURN",IF(COUNTIFS($A$1:A364,A365,$B$1:B364,"SALE",$E$1:E364,1)&gt;0,1,0),1))</f>
        <v/>
      </c>
      <c r="F365">
        <f>IF(E365=1,IF(B365="RECEIPT",Transactions!E365,IF(AND(B365="RETURN",LOWER(TRIM(Transactions!H365))="resellable"),Transactions!E365,0)),0)</f>
        <v/>
      </c>
      <c r="G365">
        <f>IF(F365&gt;0,IF(B365="RECEIPT",Transactions!F365,IF(_xlfn.MAXIFS($H$2:H365,$A$2:A365,A365)&gt;0,INDEX(Transactions!$F:$F,_xlfn.MAXIFS($H$2:H365,$A$2:A365,A365)),W365)),0)</f>
        <v/>
      </c>
      <c r="H365">
        <f>IF(AND(E365=1,B365="RECEIPT"),ROW(),0)</f>
        <v/>
      </c>
      <c r="I365">
        <f>IF(E365=1,IF(OR(B365="SALE",B365="WRITEOFF"),Transactions!E365,0),0)</f>
        <v/>
      </c>
      <c r="J365">
        <f>SUMIFS($F$1:F364,$A$1:A364,A365)</f>
        <v/>
      </c>
      <c r="K365">
        <f>SUMIFS($I$1:I364,$A$1:A364,A365)</f>
        <v/>
      </c>
      <c r="L365">
        <f>IFERROR(VLOOKUP(A365,Opening!$A:$C,3,0),0)</f>
        <v/>
      </c>
      <c r="M365">
        <f>IF(I365=0,0,MAX(0,MIN(INDEX(Month!H$2:H$13,MATCH($A365,Month!$A$2:$A$13,0))-K365,I365)))</f>
        <v/>
      </c>
      <c r="N365">
        <f>IF(I365=0,0,MAX(0,MIN(INDEX(Month!I$2:I$13,MATCH($A365,Month!$A$2:$A$13,0))-K365,I365)))</f>
        <v/>
      </c>
      <c r="O365">
        <f>IF(I365=0,0,MAX(0,MIN(INDEX(Month!J$2:J$13,MATCH($A365,Month!$A$2:$A$13,0))-K365,I365)))</f>
        <v/>
      </c>
      <c r="P365">
        <f>IF(I365=0,0,(MIN(MAX(K365,0),L365)*W365+SUMPRODUCT((Calc!$A$2:$A$1001=A365)*Calc!$G$2:$G$1001*(((K365-(L365+Calc!$J$2:$J$1001))&gt;0)*((K365-(L365+Calc!$J$2:$J$1001))&lt;Calc!$F$2:$F$1001)*(K365-(L365+Calc!$J$2:$J$1001))+((K365-(L365+Calc!$J$2:$J$1001))&gt;=Calc!$F$2:$F$1001)*Calc!$F$2:$F$1001))))</f>
        <v/>
      </c>
      <c r="Q365">
        <f>IF(I365=0,0,(MIN(MAX((K365+M365),0),L365)*W365+SUMPRODUCT((Calc!$A$2:$A$1001=A365)*Calc!$G$2:$G$1001*((((K365+M365)-(L365+Calc!$J$2:$J$1001))&gt;0)*(((K365+M365)-(L365+Calc!$J$2:$J$1001))&lt;Calc!$F$2:$F$1001)*((K365+M365)-(L365+Calc!$J$2:$J$1001))+(((K365+M365)-(L365+Calc!$J$2:$J$1001))&gt;=Calc!$F$2:$F$1001)*Calc!$F$2:$F$1001))))</f>
        <v/>
      </c>
      <c r="R365">
        <f>IF(I365=0,0,(MIN(MAX((K365+N365),0),L365)*W365+SUMPRODUCT((Calc!$A$2:$A$1001=A365)*Calc!$G$2:$G$1001*((((K365+N365)-(L365+Calc!$J$2:$J$1001))&gt;0)*(((K365+N365)-(L365+Calc!$J$2:$J$1001))&lt;Calc!$F$2:$F$1001)*((K365+N365)-(L365+Calc!$J$2:$J$1001))+(((K365+N365)-(L365+Calc!$J$2:$J$1001))&gt;=Calc!$F$2:$F$1001)*Calc!$F$2:$F$1001))))</f>
        <v/>
      </c>
      <c r="S365">
        <f>IF(I365=0,0,(MIN(MAX((K365+O365),0),L365)*W365+SUMPRODUCT((Calc!$A$2:$A$1001=A365)*Calc!$G$2:$G$1001*((((K365+O365)-(L365+Calc!$J$2:$J$1001))&gt;0)*(((K365+O365)-(L365+Calc!$J$2:$J$1001))&lt;Calc!$F$2:$F$1001)*((K365+O365)-(L365+Calc!$J$2:$J$1001))+(((K365+O365)-(L365+Calc!$J$2:$J$1001))&gt;=Calc!$F$2:$F$1001)*Calc!$F$2:$F$1001))))</f>
        <v/>
      </c>
      <c r="T365">
        <f>IF(AND(E365=1,B365="RETURN"),Transactions!E365*Transactions!G365,0)</f>
        <v/>
      </c>
      <c r="U365">
        <f>IF(AND(E365=1,B365="EXPENSE"),Transactions!J365,0)</f>
        <v/>
      </c>
      <c r="V365">
        <f>IF(AND(Transactions!A365&lt;&gt;"",E365=0),ROW(),"")</f>
        <v/>
      </c>
      <c r="W365">
        <f>IFERROR(VLOOKUP(A365,Opening!$A:$D,4,0),0)</f>
        <v/>
      </c>
    </row>
    <row r="366">
      <c r="A366">
        <f>IF(Transactions!D366="","",UPPER(TRIM(Transactions!D366)))</f>
        <v/>
      </c>
      <c r="B366">
        <f>IF(Transactions!C366="","",UPPER(TRIM(Transactions!C366)))</f>
        <v/>
      </c>
      <c r="C366">
        <f>IF(Transactions!B366="",0,YEAR(Transactions!B366)*100+MONTH(Transactions!B366))</f>
        <v/>
      </c>
      <c r="D366">
        <f>IF(Transactions!A366="",1,IF(COUNTIF(Transactions!$A$1:A365,Transactions!A366)&gt;0,1,0))</f>
        <v/>
      </c>
      <c r="E366">
        <f>IF(D366=1,0,IF(B366="RETURN",IF(COUNTIFS($A$1:A365,A366,$B$1:B365,"SALE",$E$1:E365,1)&gt;0,1,0),1))</f>
        <v/>
      </c>
      <c r="F366">
        <f>IF(E366=1,IF(B366="RECEIPT",Transactions!E366,IF(AND(B366="RETURN",LOWER(TRIM(Transactions!H366))="resellable"),Transactions!E366,0)),0)</f>
        <v/>
      </c>
      <c r="G366">
        <f>IF(F366&gt;0,IF(B366="RECEIPT",Transactions!F366,IF(_xlfn.MAXIFS($H$2:H366,$A$2:A366,A366)&gt;0,INDEX(Transactions!$F:$F,_xlfn.MAXIFS($H$2:H366,$A$2:A366,A366)),W366)),0)</f>
        <v/>
      </c>
      <c r="H366">
        <f>IF(AND(E366=1,B366="RECEIPT"),ROW(),0)</f>
        <v/>
      </c>
      <c r="I366">
        <f>IF(E366=1,IF(OR(B366="SALE",B366="WRITEOFF"),Transactions!E366,0),0)</f>
        <v/>
      </c>
      <c r="J366">
        <f>SUMIFS($F$1:F365,$A$1:A365,A366)</f>
        <v/>
      </c>
      <c r="K366">
        <f>SUMIFS($I$1:I365,$A$1:A365,A366)</f>
        <v/>
      </c>
      <c r="L366">
        <f>IFERROR(VLOOKUP(A366,Opening!$A:$C,3,0),0)</f>
        <v/>
      </c>
      <c r="M366">
        <f>IF(I366=0,0,MAX(0,MIN(INDEX(Month!H$2:H$13,MATCH($A366,Month!$A$2:$A$13,0))-K366,I366)))</f>
        <v/>
      </c>
      <c r="N366">
        <f>IF(I366=0,0,MAX(0,MIN(INDEX(Month!I$2:I$13,MATCH($A366,Month!$A$2:$A$13,0))-K366,I366)))</f>
        <v/>
      </c>
      <c r="O366">
        <f>IF(I366=0,0,MAX(0,MIN(INDEX(Month!J$2:J$13,MATCH($A366,Month!$A$2:$A$13,0))-K366,I366)))</f>
        <v/>
      </c>
      <c r="P366">
        <f>IF(I366=0,0,(MIN(MAX(K366,0),L366)*W366+SUMPRODUCT((Calc!$A$2:$A$1001=A366)*Calc!$G$2:$G$1001*(((K366-(L366+Calc!$J$2:$J$1001))&gt;0)*((K366-(L366+Calc!$J$2:$J$1001))&lt;Calc!$F$2:$F$1001)*(K366-(L366+Calc!$J$2:$J$1001))+((K366-(L366+Calc!$J$2:$J$1001))&gt;=Calc!$F$2:$F$1001)*Calc!$F$2:$F$1001))))</f>
        <v/>
      </c>
      <c r="Q366">
        <f>IF(I366=0,0,(MIN(MAX((K366+M366),0),L366)*W366+SUMPRODUCT((Calc!$A$2:$A$1001=A366)*Calc!$G$2:$G$1001*((((K366+M366)-(L366+Calc!$J$2:$J$1001))&gt;0)*(((K366+M366)-(L366+Calc!$J$2:$J$1001))&lt;Calc!$F$2:$F$1001)*((K366+M366)-(L366+Calc!$J$2:$J$1001))+(((K366+M366)-(L366+Calc!$J$2:$J$1001))&gt;=Calc!$F$2:$F$1001)*Calc!$F$2:$F$1001))))</f>
        <v/>
      </c>
      <c r="R366">
        <f>IF(I366=0,0,(MIN(MAX((K366+N366),0),L366)*W366+SUMPRODUCT((Calc!$A$2:$A$1001=A366)*Calc!$G$2:$G$1001*((((K366+N366)-(L366+Calc!$J$2:$J$1001))&gt;0)*(((K366+N366)-(L366+Calc!$J$2:$J$1001))&lt;Calc!$F$2:$F$1001)*((K366+N366)-(L366+Calc!$J$2:$J$1001))+(((K366+N366)-(L366+Calc!$J$2:$J$1001))&gt;=Calc!$F$2:$F$1001)*Calc!$F$2:$F$1001))))</f>
        <v/>
      </c>
      <c r="S366">
        <f>IF(I366=0,0,(MIN(MAX((K366+O366),0),L366)*W366+SUMPRODUCT((Calc!$A$2:$A$1001=A366)*Calc!$G$2:$G$1001*((((K366+O366)-(L366+Calc!$J$2:$J$1001))&gt;0)*(((K366+O366)-(L366+Calc!$J$2:$J$1001))&lt;Calc!$F$2:$F$1001)*((K366+O366)-(L366+Calc!$J$2:$J$1001))+(((K366+O366)-(L366+Calc!$J$2:$J$1001))&gt;=Calc!$F$2:$F$1001)*Calc!$F$2:$F$1001))))</f>
        <v/>
      </c>
      <c r="T366">
        <f>IF(AND(E366=1,B366="RETURN"),Transactions!E366*Transactions!G366,0)</f>
        <v/>
      </c>
      <c r="U366">
        <f>IF(AND(E366=1,B366="EXPENSE"),Transactions!J366,0)</f>
        <v/>
      </c>
      <c r="V366">
        <f>IF(AND(Transactions!A366&lt;&gt;"",E366=0),ROW(),"")</f>
        <v/>
      </c>
      <c r="W366">
        <f>IFERROR(VLOOKUP(A366,Opening!$A:$D,4,0),0)</f>
        <v/>
      </c>
    </row>
    <row r="367">
      <c r="A367">
        <f>IF(Transactions!D367="","",UPPER(TRIM(Transactions!D367)))</f>
        <v/>
      </c>
      <c r="B367">
        <f>IF(Transactions!C367="","",UPPER(TRIM(Transactions!C367)))</f>
        <v/>
      </c>
      <c r="C367">
        <f>IF(Transactions!B367="",0,YEAR(Transactions!B367)*100+MONTH(Transactions!B367))</f>
        <v/>
      </c>
      <c r="D367">
        <f>IF(Transactions!A367="",1,IF(COUNTIF(Transactions!$A$1:A366,Transactions!A367)&gt;0,1,0))</f>
        <v/>
      </c>
      <c r="E367">
        <f>IF(D367=1,0,IF(B367="RETURN",IF(COUNTIFS($A$1:A366,A367,$B$1:B366,"SALE",$E$1:E366,1)&gt;0,1,0),1))</f>
        <v/>
      </c>
      <c r="F367">
        <f>IF(E367=1,IF(B367="RECEIPT",Transactions!E367,IF(AND(B367="RETURN",LOWER(TRIM(Transactions!H367))="resellable"),Transactions!E367,0)),0)</f>
        <v/>
      </c>
      <c r="G367">
        <f>IF(F367&gt;0,IF(B367="RECEIPT",Transactions!F367,IF(_xlfn.MAXIFS($H$2:H367,$A$2:A367,A367)&gt;0,INDEX(Transactions!$F:$F,_xlfn.MAXIFS($H$2:H367,$A$2:A367,A367)),W367)),0)</f>
        <v/>
      </c>
      <c r="H367">
        <f>IF(AND(E367=1,B367="RECEIPT"),ROW(),0)</f>
        <v/>
      </c>
      <c r="I367">
        <f>IF(E367=1,IF(OR(B367="SALE",B367="WRITEOFF"),Transactions!E367,0),0)</f>
        <v/>
      </c>
      <c r="J367">
        <f>SUMIFS($F$1:F366,$A$1:A366,A367)</f>
        <v/>
      </c>
      <c r="K367">
        <f>SUMIFS($I$1:I366,$A$1:A366,A367)</f>
        <v/>
      </c>
      <c r="L367">
        <f>IFERROR(VLOOKUP(A367,Opening!$A:$C,3,0),0)</f>
        <v/>
      </c>
      <c r="M367">
        <f>IF(I367=0,0,MAX(0,MIN(INDEX(Month!H$2:H$13,MATCH($A367,Month!$A$2:$A$13,0))-K367,I367)))</f>
        <v/>
      </c>
      <c r="N367">
        <f>IF(I367=0,0,MAX(0,MIN(INDEX(Month!I$2:I$13,MATCH($A367,Month!$A$2:$A$13,0))-K367,I367)))</f>
        <v/>
      </c>
      <c r="O367">
        <f>IF(I367=0,0,MAX(0,MIN(INDEX(Month!J$2:J$13,MATCH($A367,Month!$A$2:$A$13,0))-K367,I367)))</f>
        <v/>
      </c>
      <c r="P367">
        <f>IF(I367=0,0,(MIN(MAX(K367,0),L367)*W367+SUMPRODUCT((Calc!$A$2:$A$1001=A367)*Calc!$G$2:$G$1001*(((K367-(L367+Calc!$J$2:$J$1001))&gt;0)*((K367-(L367+Calc!$J$2:$J$1001))&lt;Calc!$F$2:$F$1001)*(K367-(L367+Calc!$J$2:$J$1001))+((K367-(L367+Calc!$J$2:$J$1001))&gt;=Calc!$F$2:$F$1001)*Calc!$F$2:$F$1001))))</f>
        <v/>
      </c>
      <c r="Q367">
        <f>IF(I367=0,0,(MIN(MAX((K367+M367),0),L367)*W367+SUMPRODUCT((Calc!$A$2:$A$1001=A367)*Calc!$G$2:$G$1001*((((K367+M367)-(L367+Calc!$J$2:$J$1001))&gt;0)*(((K367+M367)-(L367+Calc!$J$2:$J$1001))&lt;Calc!$F$2:$F$1001)*((K367+M367)-(L367+Calc!$J$2:$J$1001))+(((K367+M367)-(L367+Calc!$J$2:$J$1001))&gt;=Calc!$F$2:$F$1001)*Calc!$F$2:$F$1001))))</f>
        <v/>
      </c>
      <c r="R367">
        <f>IF(I367=0,0,(MIN(MAX((K367+N367),0),L367)*W367+SUMPRODUCT((Calc!$A$2:$A$1001=A367)*Calc!$G$2:$G$1001*((((K367+N367)-(L367+Calc!$J$2:$J$1001))&gt;0)*(((K367+N367)-(L367+Calc!$J$2:$J$1001))&lt;Calc!$F$2:$F$1001)*((K367+N367)-(L367+Calc!$J$2:$J$1001))+(((K367+N367)-(L367+Calc!$J$2:$J$1001))&gt;=Calc!$F$2:$F$1001)*Calc!$F$2:$F$1001))))</f>
        <v/>
      </c>
      <c r="S367">
        <f>IF(I367=0,0,(MIN(MAX((K367+O367),0),L367)*W367+SUMPRODUCT((Calc!$A$2:$A$1001=A367)*Calc!$G$2:$G$1001*((((K367+O367)-(L367+Calc!$J$2:$J$1001))&gt;0)*(((K367+O367)-(L367+Calc!$J$2:$J$1001))&lt;Calc!$F$2:$F$1001)*((K367+O367)-(L367+Calc!$J$2:$J$1001))+(((K367+O367)-(L367+Calc!$J$2:$J$1001))&gt;=Calc!$F$2:$F$1001)*Calc!$F$2:$F$1001))))</f>
        <v/>
      </c>
      <c r="T367">
        <f>IF(AND(E367=1,B367="RETURN"),Transactions!E367*Transactions!G367,0)</f>
        <v/>
      </c>
      <c r="U367">
        <f>IF(AND(E367=1,B367="EXPENSE"),Transactions!J367,0)</f>
        <v/>
      </c>
      <c r="V367">
        <f>IF(AND(Transactions!A367&lt;&gt;"",E367=0),ROW(),"")</f>
        <v/>
      </c>
      <c r="W367">
        <f>IFERROR(VLOOKUP(A367,Opening!$A:$D,4,0),0)</f>
        <v/>
      </c>
    </row>
    <row r="368">
      <c r="A368">
        <f>IF(Transactions!D368="","",UPPER(TRIM(Transactions!D368)))</f>
        <v/>
      </c>
      <c r="B368">
        <f>IF(Transactions!C368="","",UPPER(TRIM(Transactions!C368)))</f>
        <v/>
      </c>
      <c r="C368">
        <f>IF(Transactions!B368="",0,YEAR(Transactions!B368)*100+MONTH(Transactions!B368))</f>
        <v/>
      </c>
      <c r="D368">
        <f>IF(Transactions!A368="",1,IF(COUNTIF(Transactions!$A$1:A367,Transactions!A368)&gt;0,1,0))</f>
        <v/>
      </c>
      <c r="E368">
        <f>IF(D368=1,0,IF(B368="RETURN",IF(COUNTIFS($A$1:A367,A368,$B$1:B367,"SALE",$E$1:E367,1)&gt;0,1,0),1))</f>
        <v/>
      </c>
      <c r="F368">
        <f>IF(E368=1,IF(B368="RECEIPT",Transactions!E368,IF(AND(B368="RETURN",LOWER(TRIM(Transactions!H368))="resellable"),Transactions!E368,0)),0)</f>
        <v/>
      </c>
      <c r="G368">
        <f>IF(F368&gt;0,IF(B368="RECEIPT",Transactions!F368,IF(_xlfn.MAXIFS($H$2:H368,$A$2:A368,A368)&gt;0,INDEX(Transactions!$F:$F,_xlfn.MAXIFS($H$2:H368,$A$2:A368,A368)),W368)),0)</f>
        <v/>
      </c>
      <c r="H368">
        <f>IF(AND(E368=1,B368="RECEIPT"),ROW(),0)</f>
        <v/>
      </c>
      <c r="I368">
        <f>IF(E368=1,IF(OR(B368="SALE",B368="WRITEOFF"),Transactions!E368,0),0)</f>
        <v/>
      </c>
      <c r="J368">
        <f>SUMIFS($F$1:F367,$A$1:A367,A368)</f>
        <v/>
      </c>
      <c r="K368">
        <f>SUMIFS($I$1:I367,$A$1:A367,A368)</f>
        <v/>
      </c>
      <c r="L368">
        <f>IFERROR(VLOOKUP(A368,Opening!$A:$C,3,0),0)</f>
        <v/>
      </c>
      <c r="M368">
        <f>IF(I368=0,0,MAX(0,MIN(INDEX(Month!H$2:H$13,MATCH($A368,Month!$A$2:$A$13,0))-K368,I368)))</f>
        <v/>
      </c>
      <c r="N368">
        <f>IF(I368=0,0,MAX(0,MIN(INDEX(Month!I$2:I$13,MATCH($A368,Month!$A$2:$A$13,0))-K368,I368)))</f>
        <v/>
      </c>
      <c r="O368">
        <f>IF(I368=0,0,MAX(0,MIN(INDEX(Month!J$2:J$13,MATCH($A368,Month!$A$2:$A$13,0))-K368,I368)))</f>
        <v/>
      </c>
      <c r="P368">
        <f>IF(I368=0,0,(MIN(MAX(K368,0),L368)*W368+SUMPRODUCT((Calc!$A$2:$A$1001=A368)*Calc!$G$2:$G$1001*(((K368-(L368+Calc!$J$2:$J$1001))&gt;0)*((K368-(L368+Calc!$J$2:$J$1001))&lt;Calc!$F$2:$F$1001)*(K368-(L368+Calc!$J$2:$J$1001))+((K368-(L368+Calc!$J$2:$J$1001))&gt;=Calc!$F$2:$F$1001)*Calc!$F$2:$F$1001))))</f>
        <v/>
      </c>
      <c r="Q368">
        <f>IF(I368=0,0,(MIN(MAX((K368+M368),0),L368)*W368+SUMPRODUCT((Calc!$A$2:$A$1001=A368)*Calc!$G$2:$G$1001*((((K368+M368)-(L368+Calc!$J$2:$J$1001))&gt;0)*(((K368+M368)-(L368+Calc!$J$2:$J$1001))&lt;Calc!$F$2:$F$1001)*((K368+M368)-(L368+Calc!$J$2:$J$1001))+(((K368+M368)-(L368+Calc!$J$2:$J$1001))&gt;=Calc!$F$2:$F$1001)*Calc!$F$2:$F$1001))))</f>
        <v/>
      </c>
      <c r="R368">
        <f>IF(I368=0,0,(MIN(MAX((K368+N368),0),L368)*W368+SUMPRODUCT((Calc!$A$2:$A$1001=A368)*Calc!$G$2:$G$1001*((((K368+N368)-(L368+Calc!$J$2:$J$1001))&gt;0)*(((K368+N368)-(L368+Calc!$J$2:$J$1001))&lt;Calc!$F$2:$F$1001)*((K368+N368)-(L368+Calc!$J$2:$J$1001))+(((K368+N368)-(L368+Calc!$J$2:$J$1001))&gt;=Calc!$F$2:$F$1001)*Calc!$F$2:$F$1001))))</f>
        <v/>
      </c>
      <c r="S368">
        <f>IF(I368=0,0,(MIN(MAX((K368+O368),0),L368)*W368+SUMPRODUCT((Calc!$A$2:$A$1001=A368)*Calc!$G$2:$G$1001*((((K368+O368)-(L368+Calc!$J$2:$J$1001))&gt;0)*(((K368+O368)-(L368+Calc!$J$2:$J$1001))&lt;Calc!$F$2:$F$1001)*((K368+O368)-(L368+Calc!$J$2:$J$1001))+(((K368+O368)-(L368+Calc!$J$2:$J$1001))&gt;=Calc!$F$2:$F$1001)*Calc!$F$2:$F$1001))))</f>
        <v/>
      </c>
      <c r="T368">
        <f>IF(AND(E368=1,B368="RETURN"),Transactions!E368*Transactions!G368,0)</f>
        <v/>
      </c>
      <c r="U368">
        <f>IF(AND(E368=1,B368="EXPENSE"),Transactions!J368,0)</f>
        <v/>
      </c>
      <c r="V368">
        <f>IF(AND(Transactions!A368&lt;&gt;"",E368=0),ROW(),"")</f>
        <v/>
      </c>
      <c r="W368">
        <f>IFERROR(VLOOKUP(A368,Opening!$A:$D,4,0),0)</f>
        <v/>
      </c>
    </row>
    <row r="369">
      <c r="A369">
        <f>IF(Transactions!D369="","",UPPER(TRIM(Transactions!D369)))</f>
        <v/>
      </c>
      <c r="B369">
        <f>IF(Transactions!C369="","",UPPER(TRIM(Transactions!C369)))</f>
        <v/>
      </c>
      <c r="C369">
        <f>IF(Transactions!B369="",0,YEAR(Transactions!B369)*100+MONTH(Transactions!B369))</f>
        <v/>
      </c>
      <c r="D369">
        <f>IF(Transactions!A369="",1,IF(COUNTIF(Transactions!$A$1:A368,Transactions!A369)&gt;0,1,0))</f>
        <v/>
      </c>
      <c r="E369">
        <f>IF(D369=1,0,IF(B369="RETURN",IF(COUNTIFS($A$1:A368,A369,$B$1:B368,"SALE",$E$1:E368,1)&gt;0,1,0),1))</f>
        <v/>
      </c>
      <c r="F369">
        <f>IF(E369=1,IF(B369="RECEIPT",Transactions!E369,IF(AND(B369="RETURN",LOWER(TRIM(Transactions!H369))="resellable"),Transactions!E369,0)),0)</f>
        <v/>
      </c>
      <c r="G369">
        <f>IF(F369&gt;0,IF(B369="RECEIPT",Transactions!F369,IF(_xlfn.MAXIFS($H$2:H369,$A$2:A369,A369)&gt;0,INDEX(Transactions!$F:$F,_xlfn.MAXIFS($H$2:H369,$A$2:A369,A369)),W369)),0)</f>
        <v/>
      </c>
      <c r="H369">
        <f>IF(AND(E369=1,B369="RECEIPT"),ROW(),0)</f>
        <v/>
      </c>
      <c r="I369">
        <f>IF(E369=1,IF(OR(B369="SALE",B369="WRITEOFF"),Transactions!E369,0),0)</f>
        <v/>
      </c>
      <c r="J369">
        <f>SUMIFS($F$1:F368,$A$1:A368,A369)</f>
        <v/>
      </c>
      <c r="K369">
        <f>SUMIFS($I$1:I368,$A$1:A368,A369)</f>
        <v/>
      </c>
      <c r="L369">
        <f>IFERROR(VLOOKUP(A369,Opening!$A:$C,3,0),0)</f>
        <v/>
      </c>
      <c r="M369">
        <f>IF(I369=0,0,MAX(0,MIN(INDEX(Month!H$2:H$13,MATCH($A369,Month!$A$2:$A$13,0))-K369,I369)))</f>
        <v/>
      </c>
      <c r="N369">
        <f>IF(I369=0,0,MAX(0,MIN(INDEX(Month!I$2:I$13,MATCH($A369,Month!$A$2:$A$13,0))-K369,I369)))</f>
        <v/>
      </c>
      <c r="O369">
        <f>IF(I369=0,0,MAX(0,MIN(INDEX(Month!J$2:J$13,MATCH($A369,Month!$A$2:$A$13,0))-K369,I369)))</f>
        <v/>
      </c>
      <c r="P369">
        <f>IF(I369=0,0,(MIN(MAX(K369,0),L369)*W369+SUMPRODUCT((Calc!$A$2:$A$1001=A369)*Calc!$G$2:$G$1001*(((K369-(L369+Calc!$J$2:$J$1001))&gt;0)*((K369-(L369+Calc!$J$2:$J$1001))&lt;Calc!$F$2:$F$1001)*(K369-(L369+Calc!$J$2:$J$1001))+((K369-(L369+Calc!$J$2:$J$1001))&gt;=Calc!$F$2:$F$1001)*Calc!$F$2:$F$1001))))</f>
        <v/>
      </c>
      <c r="Q369">
        <f>IF(I369=0,0,(MIN(MAX((K369+M369),0),L369)*W369+SUMPRODUCT((Calc!$A$2:$A$1001=A369)*Calc!$G$2:$G$1001*((((K369+M369)-(L369+Calc!$J$2:$J$1001))&gt;0)*(((K369+M369)-(L369+Calc!$J$2:$J$1001))&lt;Calc!$F$2:$F$1001)*((K369+M369)-(L369+Calc!$J$2:$J$1001))+(((K369+M369)-(L369+Calc!$J$2:$J$1001))&gt;=Calc!$F$2:$F$1001)*Calc!$F$2:$F$1001))))</f>
        <v/>
      </c>
      <c r="R369">
        <f>IF(I369=0,0,(MIN(MAX((K369+N369),0),L369)*W369+SUMPRODUCT((Calc!$A$2:$A$1001=A369)*Calc!$G$2:$G$1001*((((K369+N369)-(L369+Calc!$J$2:$J$1001))&gt;0)*(((K369+N369)-(L369+Calc!$J$2:$J$1001))&lt;Calc!$F$2:$F$1001)*((K369+N369)-(L369+Calc!$J$2:$J$1001))+(((K369+N369)-(L369+Calc!$J$2:$J$1001))&gt;=Calc!$F$2:$F$1001)*Calc!$F$2:$F$1001))))</f>
        <v/>
      </c>
      <c r="S369">
        <f>IF(I369=0,0,(MIN(MAX((K369+O369),0),L369)*W369+SUMPRODUCT((Calc!$A$2:$A$1001=A369)*Calc!$G$2:$G$1001*((((K369+O369)-(L369+Calc!$J$2:$J$1001))&gt;0)*(((K369+O369)-(L369+Calc!$J$2:$J$1001))&lt;Calc!$F$2:$F$1001)*((K369+O369)-(L369+Calc!$J$2:$J$1001))+(((K369+O369)-(L369+Calc!$J$2:$J$1001))&gt;=Calc!$F$2:$F$1001)*Calc!$F$2:$F$1001))))</f>
        <v/>
      </c>
      <c r="T369">
        <f>IF(AND(E369=1,B369="RETURN"),Transactions!E369*Transactions!G369,0)</f>
        <v/>
      </c>
      <c r="U369">
        <f>IF(AND(E369=1,B369="EXPENSE"),Transactions!J369,0)</f>
        <v/>
      </c>
      <c r="V369">
        <f>IF(AND(Transactions!A369&lt;&gt;"",E369=0),ROW(),"")</f>
        <v/>
      </c>
      <c r="W369">
        <f>IFERROR(VLOOKUP(A369,Opening!$A:$D,4,0),0)</f>
        <v/>
      </c>
    </row>
    <row r="370">
      <c r="A370">
        <f>IF(Transactions!D370="","",UPPER(TRIM(Transactions!D370)))</f>
        <v/>
      </c>
      <c r="B370">
        <f>IF(Transactions!C370="","",UPPER(TRIM(Transactions!C370)))</f>
        <v/>
      </c>
      <c r="C370">
        <f>IF(Transactions!B370="",0,YEAR(Transactions!B370)*100+MONTH(Transactions!B370))</f>
        <v/>
      </c>
      <c r="D370">
        <f>IF(Transactions!A370="",1,IF(COUNTIF(Transactions!$A$1:A369,Transactions!A370)&gt;0,1,0))</f>
        <v/>
      </c>
      <c r="E370">
        <f>IF(D370=1,0,IF(B370="RETURN",IF(COUNTIFS($A$1:A369,A370,$B$1:B369,"SALE",$E$1:E369,1)&gt;0,1,0),1))</f>
        <v/>
      </c>
      <c r="F370">
        <f>IF(E370=1,IF(B370="RECEIPT",Transactions!E370,IF(AND(B370="RETURN",LOWER(TRIM(Transactions!H370))="resellable"),Transactions!E370,0)),0)</f>
        <v/>
      </c>
      <c r="G370">
        <f>IF(F370&gt;0,IF(B370="RECEIPT",Transactions!F370,IF(_xlfn.MAXIFS($H$2:H370,$A$2:A370,A370)&gt;0,INDEX(Transactions!$F:$F,_xlfn.MAXIFS($H$2:H370,$A$2:A370,A370)),W370)),0)</f>
        <v/>
      </c>
      <c r="H370">
        <f>IF(AND(E370=1,B370="RECEIPT"),ROW(),0)</f>
        <v/>
      </c>
      <c r="I370">
        <f>IF(E370=1,IF(OR(B370="SALE",B370="WRITEOFF"),Transactions!E370,0),0)</f>
        <v/>
      </c>
      <c r="J370">
        <f>SUMIFS($F$1:F369,$A$1:A369,A370)</f>
        <v/>
      </c>
      <c r="K370">
        <f>SUMIFS($I$1:I369,$A$1:A369,A370)</f>
        <v/>
      </c>
      <c r="L370">
        <f>IFERROR(VLOOKUP(A370,Opening!$A:$C,3,0),0)</f>
        <v/>
      </c>
      <c r="M370">
        <f>IF(I370=0,0,MAX(0,MIN(INDEX(Month!H$2:H$13,MATCH($A370,Month!$A$2:$A$13,0))-K370,I370)))</f>
        <v/>
      </c>
      <c r="N370">
        <f>IF(I370=0,0,MAX(0,MIN(INDEX(Month!I$2:I$13,MATCH($A370,Month!$A$2:$A$13,0))-K370,I370)))</f>
        <v/>
      </c>
      <c r="O370">
        <f>IF(I370=0,0,MAX(0,MIN(INDEX(Month!J$2:J$13,MATCH($A370,Month!$A$2:$A$13,0))-K370,I370)))</f>
        <v/>
      </c>
      <c r="P370">
        <f>IF(I370=0,0,(MIN(MAX(K370,0),L370)*W370+SUMPRODUCT((Calc!$A$2:$A$1001=A370)*Calc!$G$2:$G$1001*(((K370-(L370+Calc!$J$2:$J$1001))&gt;0)*((K370-(L370+Calc!$J$2:$J$1001))&lt;Calc!$F$2:$F$1001)*(K370-(L370+Calc!$J$2:$J$1001))+((K370-(L370+Calc!$J$2:$J$1001))&gt;=Calc!$F$2:$F$1001)*Calc!$F$2:$F$1001))))</f>
        <v/>
      </c>
      <c r="Q370">
        <f>IF(I370=0,0,(MIN(MAX((K370+M370),0),L370)*W370+SUMPRODUCT((Calc!$A$2:$A$1001=A370)*Calc!$G$2:$G$1001*((((K370+M370)-(L370+Calc!$J$2:$J$1001))&gt;0)*(((K370+M370)-(L370+Calc!$J$2:$J$1001))&lt;Calc!$F$2:$F$1001)*((K370+M370)-(L370+Calc!$J$2:$J$1001))+(((K370+M370)-(L370+Calc!$J$2:$J$1001))&gt;=Calc!$F$2:$F$1001)*Calc!$F$2:$F$1001))))</f>
        <v/>
      </c>
      <c r="R370">
        <f>IF(I370=0,0,(MIN(MAX((K370+N370),0),L370)*W370+SUMPRODUCT((Calc!$A$2:$A$1001=A370)*Calc!$G$2:$G$1001*((((K370+N370)-(L370+Calc!$J$2:$J$1001))&gt;0)*(((K370+N370)-(L370+Calc!$J$2:$J$1001))&lt;Calc!$F$2:$F$1001)*((K370+N370)-(L370+Calc!$J$2:$J$1001))+(((K370+N370)-(L370+Calc!$J$2:$J$1001))&gt;=Calc!$F$2:$F$1001)*Calc!$F$2:$F$1001))))</f>
        <v/>
      </c>
      <c r="S370">
        <f>IF(I370=0,0,(MIN(MAX((K370+O370),0),L370)*W370+SUMPRODUCT((Calc!$A$2:$A$1001=A370)*Calc!$G$2:$G$1001*((((K370+O370)-(L370+Calc!$J$2:$J$1001))&gt;0)*(((K370+O370)-(L370+Calc!$J$2:$J$1001))&lt;Calc!$F$2:$F$1001)*((K370+O370)-(L370+Calc!$J$2:$J$1001))+(((K370+O370)-(L370+Calc!$J$2:$J$1001))&gt;=Calc!$F$2:$F$1001)*Calc!$F$2:$F$1001))))</f>
        <v/>
      </c>
      <c r="T370">
        <f>IF(AND(E370=1,B370="RETURN"),Transactions!E370*Transactions!G370,0)</f>
        <v/>
      </c>
      <c r="U370">
        <f>IF(AND(E370=1,B370="EXPENSE"),Transactions!J370,0)</f>
        <v/>
      </c>
      <c r="V370">
        <f>IF(AND(Transactions!A370&lt;&gt;"",E370=0),ROW(),"")</f>
        <v/>
      </c>
      <c r="W370">
        <f>IFERROR(VLOOKUP(A370,Opening!$A:$D,4,0),0)</f>
        <v/>
      </c>
    </row>
    <row r="371">
      <c r="A371">
        <f>IF(Transactions!D371="","",UPPER(TRIM(Transactions!D371)))</f>
        <v/>
      </c>
      <c r="B371">
        <f>IF(Transactions!C371="","",UPPER(TRIM(Transactions!C371)))</f>
        <v/>
      </c>
      <c r="C371">
        <f>IF(Transactions!B371="",0,YEAR(Transactions!B371)*100+MONTH(Transactions!B371))</f>
        <v/>
      </c>
      <c r="D371">
        <f>IF(Transactions!A371="",1,IF(COUNTIF(Transactions!$A$1:A370,Transactions!A371)&gt;0,1,0))</f>
        <v/>
      </c>
      <c r="E371">
        <f>IF(D371=1,0,IF(B371="RETURN",IF(COUNTIFS($A$1:A370,A371,$B$1:B370,"SALE",$E$1:E370,1)&gt;0,1,0),1))</f>
        <v/>
      </c>
      <c r="F371">
        <f>IF(E371=1,IF(B371="RECEIPT",Transactions!E371,IF(AND(B371="RETURN",LOWER(TRIM(Transactions!H371))="resellable"),Transactions!E371,0)),0)</f>
        <v/>
      </c>
      <c r="G371">
        <f>IF(F371&gt;0,IF(B371="RECEIPT",Transactions!F371,IF(_xlfn.MAXIFS($H$2:H371,$A$2:A371,A371)&gt;0,INDEX(Transactions!$F:$F,_xlfn.MAXIFS($H$2:H371,$A$2:A371,A371)),W371)),0)</f>
        <v/>
      </c>
      <c r="H371">
        <f>IF(AND(E371=1,B371="RECEIPT"),ROW(),0)</f>
        <v/>
      </c>
      <c r="I371">
        <f>IF(E371=1,IF(OR(B371="SALE",B371="WRITEOFF"),Transactions!E371,0),0)</f>
        <v/>
      </c>
      <c r="J371">
        <f>SUMIFS($F$1:F370,$A$1:A370,A371)</f>
        <v/>
      </c>
      <c r="K371">
        <f>SUMIFS($I$1:I370,$A$1:A370,A371)</f>
        <v/>
      </c>
      <c r="L371">
        <f>IFERROR(VLOOKUP(A371,Opening!$A:$C,3,0),0)</f>
        <v/>
      </c>
      <c r="M371">
        <f>IF(I371=0,0,MAX(0,MIN(INDEX(Month!H$2:H$13,MATCH($A371,Month!$A$2:$A$13,0))-K371,I371)))</f>
        <v/>
      </c>
      <c r="N371">
        <f>IF(I371=0,0,MAX(0,MIN(INDEX(Month!I$2:I$13,MATCH($A371,Month!$A$2:$A$13,0))-K371,I371)))</f>
        <v/>
      </c>
      <c r="O371">
        <f>IF(I371=0,0,MAX(0,MIN(INDEX(Month!J$2:J$13,MATCH($A371,Month!$A$2:$A$13,0))-K371,I371)))</f>
        <v/>
      </c>
      <c r="P371">
        <f>IF(I371=0,0,(MIN(MAX(K371,0),L371)*W371+SUMPRODUCT((Calc!$A$2:$A$1001=A371)*Calc!$G$2:$G$1001*(((K371-(L371+Calc!$J$2:$J$1001))&gt;0)*((K371-(L371+Calc!$J$2:$J$1001))&lt;Calc!$F$2:$F$1001)*(K371-(L371+Calc!$J$2:$J$1001))+((K371-(L371+Calc!$J$2:$J$1001))&gt;=Calc!$F$2:$F$1001)*Calc!$F$2:$F$1001))))</f>
        <v/>
      </c>
      <c r="Q371">
        <f>IF(I371=0,0,(MIN(MAX((K371+M371),0),L371)*W371+SUMPRODUCT((Calc!$A$2:$A$1001=A371)*Calc!$G$2:$G$1001*((((K371+M371)-(L371+Calc!$J$2:$J$1001))&gt;0)*(((K371+M371)-(L371+Calc!$J$2:$J$1001))&lt;Calc!$F$2:$F$1001)*((K371+M371)-(L371+Calc!$J$2:$J$1001))+(((K371+M371)-(L371+Calc!$J$2:$J$1001))&gt;=Calc!$F$2:$F$1001)*Calc!$F$2:$F$1001))))</f>
        <v/>
      </c>
      <c r="R371">
        <f>IF(I371=0,0,(MIN(MAX((K371+N371),0),L371)*W371+SUMPRODUCT((Calc!$A$2:$A$1001=A371)*Calc!$G$2:$G$1001*((((K371+N371)-(L371+Calc!$J$2:$J$1001))&gt;0)*(((K371+N371)-(L371+Calc!$J$2:$J$1001))&lt;Calc!$F$2:$F$1001)*((K371+N371)-(L371+Calc!$J$2:$J$1001))+(((K371+N371)-(L371+Calc!$J$2:$J$1001))&gt;=Calc!$F$2:$F$1001)*Calc!$F$2:$F$1001))))</f>
        <v/>
      </c>
      <c r="S371">
        <f>IF(I371=0,0,(MIN(MAX((K371+O371),0),L371)*W371+SUMPRODUCT((Calc!$A$2:$A$1001=A371)*Calc!$G$2:$G$1001*((((K371+O371)-(L371+Calc!$J$2:$J$1001))&gt;0)*(((K371+O371)-(L371+Calc!$J$2:$J$1001))&lt;Calc!$F$2:$F$1001)*((K371+O371)-(L371+Calc!$J$2:$J$1001))+(((K371+O371)-(L371+Calc!$J$2:$J$1001))&gt;=Calc!$F$2:$F$1001)*Calc!$F$2:$F$1001))))</f>
        <v/>
      </c>
      <c r="T371">
        <f>IF(AND(E371=1,B371="RETURN"),Transactions!E371*Transactions!G371,0)</f>
        <v/>
      </c>
      <c r="U371">
        <f>IF(AND(E371=1,B371="EXPENSE"),Transactions!J371,0)</f>
        <v/>
      </c>
      <c r="V371">
        <f>IF(AND(Transactions!A371&lt;&gt;"",E371=0),ROW(),"")</f>
        <v/>
      </c>
      <c r="W371">
        <f>IFERROR(VLOOKUP(A371,Opening!$A:$D,4,0),0)</f>
        <v/>
      </c>
    </row>
    <row r="372">
      <c r="A372">
        <f>IF(Transactions!D372="","",UPPER(TRIM(Transactions!D372)))</f>
        <v/>
      </c>
      <c r="B372">
        <f>IF(Transactions!C372="","",UPPER(TRIM(Transactions!C372)))</f>
        <v/>
      </c>
      <c r="C372">
        <f>IF(Transactions!B372="",0,YEAR(Transactions!B372)*100+MONTH(Transactions!B372))</f>
        <v/>
      </c>
      <c r="D372">
        <f>IF(Transactions!A372="",1,IF(COUNTIF(Transactions!$A$1:A371,Transactions!A372)&gt;0,1,0))</f>
        <v/>
      </c>
      <c r="E372">
        <f>IF(D372=1,0,IF(B372="RETURN",IF(COUNTIFS($A$1:A371,A372,$B$1:B371,"SALE",$E$1:E371,1)&gt;0,1,0),1))</f>
        <v/>
      </c>
      <c r="F372">
        <f>IF(E372=1,IF(B372="RECEIPT",Transactions!E372,IF(AND(B372="RETURN",LOWER(TRIM(Transactions!H372))="resellable"),Transactions!E372,0)),0)</f>
        <v/>
      </c>
      <c r="G372">
        <f>IF(F372&gt;0,IF(B372="RECEIPT",Transactions!F372,IF(_xlfn.MAXIFS($H$2:H372,$A$2:A372,A372)&gt;0,INDEX(Transactions!$F:$F,_xlfn.MAXIFS($H$2:H372,$A$2:A372,A372)),W372)),0)</f>
        <v/>
      </c>
      <c r="H372">
        <f>IF(AND(E372=1,B372="RECEIPT"),ROW(),0)</f>
        <v/>
      </c>
      <c r="I372">
        <f>IF(E372=1,IF(OR(B372="SALE",B372="WRITEOFF"),Transactions!E372,0),0)</f>
        <v/>
      </c>
      <c r="J372">
        <f>SUMIFS($F$1:F371,$A$1:A371,A372)</f>
        <v/>
      </c>
      <c r="K372">
        <f>SUMIFS($I$1:I371,$A$1:A371,A372)</f>
        <v/>
      </c>
      <c r="L372">
        <f>IFERROR(VLOOKUP(A372,Opening!$A:$C,3,0),0)</f>
        <v/>
      </c>
      <c r="M372">
        <f>IF(I372=0,0,MAX(0,MIN(INDEX(Month!H$2:H$13,MATCH($A372,Month!$A$2:$A$13,0))-K372,I372)))</f>
        <v/>
      </c>
      <c r="N372">
        <f>IF(I372=0,0,MAX(0,MIN(INDEX(Month!I$2:I$13,MATCH($A372,Month!$A$2:$A$13,0))-K372,I372)))</f>
        <v/>
      </c>
      <c r="O372">
        <f>IF(I372=0,0,MAX(0,MIN(INDEX(Month!J$2:J$13,MATCH($A372,Month!$A$2:$A$13,0))-K372,I372)))</f>
        <v/>
      </c>
      <c r="P372">
        <f>IF(I372=0,0,(MIN(MAX(K372,0),L372)*W372+SUMPRODUCT((Calc!$A$2:$A$1001=A372)*Calc!$G$2:$G$1001*(((K372-(L372+Calc!$J$2:$J$1001))&gt;0)*((K372-(L372+Calc!$J$2:$J$1001))&lt;Calc!$F$2:$F$1001)*(K372-(L372+Calc!$J$2:$J$1001))+((K372-(L372+Calc!$J$2:$J$1001))&gt;=Calc!$F$2:$F$1001)*Calc!$F$2:$F$1001))))</f>
        <v/>
      </c>
      <c r="Q372">
        <f>IF(I372=0,0,(MIN(MAX((K372+M372),0),L372)*W372+SUMPRODUCT((Calc!$A$2:$A$1001=A372)*Calc!$G$2:$G$1001*((((K372+M372)-(L372+Calc!$J$2:$J$1001))&gt;0)*(((K372+M372)-(L372+Calc!$J$2:$J$1001))&lt;Calc!$F$2:$F$1001)*((K372+M372)-(L372+Calc!$J$2:$J$1001))+(((K372+M372)-(L372+Calc!$J$2:$J$1001))&gt;=Calc!$F$2:$F$1001)*Calc!$F$2:$F$1001))))</f>
        <v/>
      </c>
      <c r="R372">
        <f>IF(I372=0,0,(MIN(MAX((K372+N372),0),L372)*W372+SUMPRODUCT((Calc!$A$2:$A$1001=A372)*Calc!$G$2:$G$1001*((((K372+N372)-(L372+Calc!$J$2:$J$1001))&gt;0)*(((K372+N372)-(L372+Calc!$J$2:$J$1001))&lt;Calc!$F$2:$F$1001)*((K372+N372)-(L372+Calc!$J$2:$J$1001))+(((K372+N372)-(L372+Calc!$J$2:$J$1001))&gt;=Calc!$F$2:$F$1001)*Calc!$F$2:$F$1001))))</f>
        <v/>
      </c>
      <c r="S372">
        <f>IF(I372=0,0,(MIN(MAX((K372+O372),0),L372)*W372+SUMPRODUCT((Calc!$A$2:$A$1001=A372)*Calc!$G$2:$G$1001*((((K372+O372)-(L372+Calc!$J$2:$J$1001))&gt;0)*(((K372+O372)-(L372+Calc!$J$2:$J$1001))&lt;Calc!$F$2:$F$1001)*((K372+O372)-(L372+Calc!$J$2:$J$1001))+(((K372+O372)-(L372+Calc!$J$2:$J$1001))&gt;=Calc!$F$2:$F$1001)*Calc!$F$2:$F$1001))))</f>
        <v/>
      </c>
      <c r="T372">
        <f>IF(AND(E372=1,B372="RETURN"),Transactions!E372*Transactions!G372,0)</f>
        <v/>
      </c>
      <c r="U372">
        <f>IF(AND(E372=1,B372="EXPENSE"),Transactions!J372,0)</f>
        <v/>
      </c>
      <c r="V372">
        <f>IF(AND(Transactions!A372&lt;&gt;"",E372=0),ROW(),"")</f>
        <v/>
      </c>
      <c r="W372">
        <f>IFERROR(VLOOKUP(A372,Opening!$A:$D,4,0),0)</f>
        <v/>
      </c>
    </row>
    <row r="373">
      <c r="A373">
        <f>IF(Transactions!D373="","",UPPER(TRIM(Transactions!D373)))</f>
        <v/>
      </c>
      <c r="B373">
        <f>IF(Transactions!C373="","",UPPER(TRIM(Transactions!C373)))</f>
        <v/>
      </c>
      <c r="C373">
        <f>IF(Transactions!B373="",0,YEAR(Transactions!B373)*100+MONTH(Transactions!B373))</f>
        <v/>
      </c>
      <c r="D373">
        <f>IF(Transactions!A373="",1,IF(COUNTIF(Transactions!$A$1:A372,Transactions!A373)&gt;0,1,0))</f>
        <v/>
      </c>
      <c r="E373">
        <f>IF(D373=1,0,IF(B373="RETURN",IF(COUNTIFS($A$1:A372,A373,$B$1:B372,"SALE",$E$1:E372,1)&gt;0,1,0),1))</f>
        <v/>
      </c>
      <c r="F373">
        <f>IF(E373=1,IF(B373="RECEIPT",Transactions!E373,IF(AND(B373="RETURN",LOWER(TRIM(Transactions!H373))="resellable"),Transactions!E373,0)),0)</f>
        <v/>
      </c>
      <c r="G373">
        <f>IF(F373&gt;0,IF(B373="RECEIPT",Transactions!F373,IF(_xlfn.MAXIFS($H$2:H373,$A$2:A373,A373)&gt;0,INDEX(Transactions!$F:$F,_xlfn.MAXIFS($H$2:H373,$A$2:A373,A373)),W373)),0)</f>
        <v/>
      </c>
      <c r="H373">
        <f>IF(AND(E373=1,B373="RECEIPT"),ROW(),0)</f>
        <v/>
      </c>
      <c r="I373">
        <f>IF(E373=1,IF(OR(B373="SALE",B373="WRITEOFF"),Transactions!E373,0),0)</f>
        <v/>
      </c>
      <c r="J373">
        <f>SUMIFS($F$1:F372,$A$1:A372,A373)</f>
        <v/>
      </c>
      <c r="K373">
        <f>SUMIFS($I$1:I372,$A$1:A372,A373)</f>
        <v/>
      </c>
      <c r="L373">
        <f>IFERROR(VLOOKUP(A373,Opening!$A:$C,3,0),0)</f>
        <v/>
      </c>
      <c r="M373">
        <f>IF(I373=0,0,MAX(0,MIN(INDEX(Month!H$2:H$13,MATCH($A373,Month!$A$2:$A$13,0))-K373,I373)))</f>
        <v/>
      </c>
      <c r="N373">
        <f>IF(I373=0,0,MAX(0,MIN(INDEX(Month!I$2:I$13,MATCH($A373,Month!$A$2:$A$13,0))-K373,I373)))</f>
        <v/>
      </c>
      <c r="O373">
        <f>IF(I373=0,0,MAX(0,MIN(INDEX(Month!J$2:J$13,MATCH($A373,Month!$A$2:$A$13,0))-K373,I373)))</f>
        <v/>
      </c>
      <c r="P373">
        <f>IF(I373=0,0,(MIN(MAX(K373,0),L373)*W373+SUMPRODUCT((Calc!$A$2:$A$1001=A373)*Calc!$G$2:$G$1001*(((K373-(L373+Calc!$J$2:$J$1001))&gt;0)*((K373-(L373+Calc!$J$2:$J$1001))&lt;Calc!$F$2:$F$1001)*(K373-(L373+Calc!$J$2:$J$1001))+((K373-(L373+Calc!$J$2:$J$1001))&gt;=Calc!$F$2:$F$1001)*Calc!$F$2:$F$1001))))</f>
        <v/>
      </c>
      <c r="Q373">
        <f>IF(I373=0,0,(MIN(MAX((K373+M373),0),L373)*W373+SUMPRODUCT((Calc!$A$2:$A$1001=A373)*Calc!$G$2:$G$1001*((((K373+M373)-(L373+Calc!$J$2:$J$1001))&gt;0)*(((K373+M373)-(L373+Calc!$J$2:$J$1001))&lt;Calc!$F$2:$F$1001)*((K373+M373)-(L373+Calc!$J$2:$J$1001))+(((K373+M373)-(L373+Calc!$J$2:$J$1001))&gt;=Calc!$F$2:$F$1001)*Calc!$F$2:$F$1001))))</f>
        <v/>
      </c>
      <c r="R373">
        <f>IF(I373=0,0,(MIN(MAX((K373+N373),0),L373)*W373+SUMPRODUCT((Calc!$A$2:$A$1001=A373)*Calc!$G$2:$G$1001*((((K373+N373)-(L373+Calc!$J$2:$J$1001))&gt;0)*(((K373+N373)-(L373+Calc!$J$2:$J$1001))&lt;Calc!$F$2:$F$1001)*((K373+N373)-(L373+Calc!$J$2:$J$1001))+(((K373+N373)-(L373+Calc!$J$2:$J$1001))&gt;=Calc!$F$2:$F$1001)*Calc!$F$2:$F$1001))))</f>
        <v/>
      </c>
      <c r="S373">
        <f>IF(I373=0,0,(MIN(MAX((K373+O373),0),L373)*W373+SUMPRODUCT((Calc!$A$2:$A$1001=A373)*Calc!$G$2:$G$1001*((((K373+O373)-(L373+Calc!$J$2:$J$1001))&gt;0)*(((K373+O373)-(L373+Calc!$J$2:$J$1001))&lt;Calc!$F$2:$F$1001)*((K373+O373)-(L373+Calc!$J$2:$J$1001))+(((K373+O373)-(L373+Calc!$J$2:$J$1001))&gt;=Calc!$F$2:$F$1001)*Calc!$F$2:$F$1001))))</f>
        <v/>
      </c>
      <c r="T373">
        <f>IF(AND(E373=1,B373="RETURN"),Transactions!E373*Transactions!G373,0)</f>
        <v/>
      </c>
      <c r="U373">
        <f>IF(AND(E373=1,B373="EXPENSE"),Transactions!J373,0)</f>
        <v/>
      </c>
      <c r="V373">
        <f>IF(AND(Transactions!A373&lt;&gt;"",E373=0),ROW(),"")</f>
        <v/>
      </c>
      <c r="W373">
        <f>IFERROR(VLOOKUP(A373,Opening!$A:$D,4,0),0)</f>
        <v/>
      </c>
    </row>
    <row r="374">
      <c r="A374">
        <f>IF(Transactions!D374="","",UPPER(TRIM(Transactions!D374)))</f>
        <v/>
      </c>
      <c r="B374">
        <f>IF(Transactions!C374="","",UPPER(TRIM(Transactions!C374)))</f>
        <v/>
      </c>
      <c r="C374">
        <f>IF(Transactions!B374="",0,YEAR(Transactions!B374)*100+MONTH(Transactions!B374))</f>
        <v/>
      </c>
      <c r="D374">
        <f>IF(Transactions!A374="",1,IF(COUNTIF(Transactions!$A$1:A373,Transactions!A374)&gt;0,1,0))</f>
        <v/>
      </c>
      <c r="E374">
        <f>IF(D374=1,0,IF(B374="RETURN",IF(COUNTIFS($A$1:A373,A374,$B$1:B373,"SALE",$E$1:E373,1)&gt;0,1,0),1))</f>
        <v/>
      </c>
      <c r="F374">
        <f>IF(E374=1,IF(B374="RECEIPT",Transactions!E374,IF(AND(B374="RETURN",LOWER(TRIM(Transactions!H374))="resellable"),Transactions!E374,0)),0)</f>
        <v/>
      </c>
      <c r="G374">
        <f>IF(F374&gt;0,IF(B374="RECEIPT",Transactions!F374,IF(_xlfn.MAXIFS($H$2:H374,$A$2:A374,A374)&gt;0,INDEX(Transactions!$F:$F,_xlfn.MAXIFS($H$2:H374,$A$2:A374,A374)),W374)),0)</f>
        <v/>
      </c>
      <c r="H374">
        <f>IF(AND(E374=1,B374="RECEIPT"),ROW(),0)</f>
        <v/>
      </c>
      <c r="I374">
        <f>IF(E374=1,IF(OR(B374="SALE",B374="WRITEOFF"),Transactions!E374,0),0)</f>
        <v/>
      </c>
      <c r="J374">
        <f>SUMIFS($F$1:F373,$A$1:A373,A374)</f>
        <v/>
      </c>
      <c r="K374">
        <f>SUMIFS($I$1:I373,$A$1:A373,A374)</f>
        <v/>
      </c>
      <c r="L374">
        <f>IFERROR(VLOOKUP(A374,Opening!$A:$C,3,0),0)</f>
        <v/>
      </c>
      <c r="M374">
        <f>IF(I374=0,0,MAX(0,MIN(INDEX(Month!H$2:H$13,MATCH($A374,Month!$A$2:$A$13,0))-K374,I374)))</f>
        <v/>
      </c>
      <c r="N374">
        <f>IF(I374=0,0,MAX(0,MIN(INDEX(Month!I$2:I$13,MATCH($A374,Month!$A$2:$A$13,0))-K374,I374)))</f>
        <v/>
      </c>
      <c r="O374">
        <f>IF(I374=0,0,MAX(0,MIN(INDEX(Month!J$2:J$13,MATCH($A374,Month!$A$2:$A$13,0))-K374,I374)))</f>
        <v/>
      </c>
      <c r="P374">
        <f>IF(I374=0,0,(MIN(MAX(K374,0),L374)*W374+SUMPRODUCT((Calc!$A$2:$A$1001=A374)*Calc!$G$2:$G$1001*(((K374-(L374+Calc!$J$2:$J$1001))&gt;0)*((K374-(L374+Calc!$J$2:$J$1001))&lt;Calc!$F$2:$F$1001)*(K374-(L374+Calc!$J$2:$J$1001))+((K374-(L374+Calc!$J$2:$J$1001))&gt;=Calc!$F$2:$F$1001)*Calc!$F$2:$F$1001))))</f>
        <v/>
      </c>
      <c r="Q374">
        <f>IF(I374=0,0,(MIN(MAX((K374+M374),0),L374)*W374+SUMPRODUCT((Calc!$A$2:$A$1001=A374)*Calc!$G$2:$G$1001*((((K374+M374)-(L374+Calc!$J$2:$J$1001))&gt;0)*(((K374+M374)-(L374+Calc!$J$2:$J$1001))&lt;Calc!$F$2:$F$1001)*((K374+M374)-(L374+Calc!$J$2:$J$1001))+(((K374+M374)-(L374+Calc!$J$2:$J$1001))&gt;=Calc!$F$2:$F$1001)*Calc!$F$2:$F$1001))))</f>
        <v/>
      </c>
      <c r="R374">
        <f>IF(I374=0,0,(MIN(MAX((K374+N374),0),L374)*W374+SUMPRODUCT((Calc!$A$2:$A$1001=A374)*Calc!$G$2:$G$1001*((((K374+N374)-(L374+Calc!$J$2:$J$1001))&gt;0)*(((K374+N374)-(L374+Calc!$J$2:$J$1001))&lt;Calc!$F$2:$F$1001)*((K374+N374)-(L374+Calc!$J$2:$J$1001))+(((K374+N374)-(L374+Calc!$J$2:$J$1001))&gt;=Calc!$F$2:$F$1001)*Calc!$F$2:$F$1001))))</f>
        <v/>
      </c>
      <c r="S374">
        <f>IF(I374=0,0,(MIN(MAX((K374+O374),0),L374)*W374+SUMPRODUCT((Calc!$A$2:$A$1001=A374)*Calc!$G$2:$G$1001*((((K374+O374)-(L374+Calc!$J$2:$J$1001))&gt;0)*(((K374+O374)-(L374+Calc!$J$2:$J$1001))&lt;Calc!$F$2:$F$1001)*((K374+O374)-(L374+Calc!$J$2:$J$1001))+(((K374+O374)-(L374+Calc!$J$2:$J$1001))&gt;=Calc!$F$2:$F$1001)*Calc!$F$2:$F$1001))))</f>
        <v/>
      </c>
      <c r="T374">
        <f>IF(AND(E374=1,B374="RETURN"),Transactions!E374*Transactions!G374,0)</f>
        <v/>
      </c>
      <c r="U374">
        <f>IF(AND(E374=1,B374="EXPENSE"),Transactions!J374,0)</f>
        <v/>
      </c>
      <c r="V374">
        <f>IF(AND(Transactions!A374&lt;&gt;"",E374=0),ROW(),"")</f>
        <v/>
      </c>
      <c r="W374">
        <f>IFERROR(VLOOKUP(A374,Opening!$A:$D,4,0),0)</f>
        <v/>
      </c>
    </row>
    <row r="375">
      <c r="A375">
        <f>IF(Transactions!D375="","",UPPER(TRIM(Transactions!D375)))</f>
        <v/>
      </c>
      <c r="B375">
        <f>IF(Transactions!C375="","",UPPER(TRIM(Transactions!C375)))</f>
        <v/>
      </c>
      <c r="C375">
        <f>IF(Transactions!B375="",0,YEAR(Transactions!B375)*100+MONTH(Transactions!B375))</f>
        <v/>
      </c>
      <c r="D375">
        <f>IF(Transactions!A375="",1,IF(COUNTIF(Transactions!$A$1:A374,Transactions!A375)&gt;0,1,0))</f>
        <v/>
      </c>
      <c r="E375">
        <f>IF(D375=1,0,IF(B375="RETURN",IF(COUNTIFS($A$1:A374,A375,$B$1:B374,"SALE",$E$1:E374,1)&gt;0,1,0),1))</f>
        <v/>
      </c>
      <c r="F375">
        <f>IF(E375=1,IF(B375="RECEIPT",Transactions!E375,IF(AND(B375="RETURN",LOWER(TRIM(Transactions!H375))="resellable"),Transactions!E375,0)),0)</f>
        <v/>
      </c>
      <c r="G375">
        <f>IF(F375&gt;0,IF(B375="RECEIPT",Transactions!F375,IF(_xlfn.MAXIFS($H$2:H375,$A$2:A375,A375)&gt;0,INDEX(Transactions!$F:$F,_xlfn.MAXIFS($H$2:H375,$A$2:A375,A375)),W375)),0)</f>
        <v/>
      </c>
      <c r="H375">
        <f>IF(AND(E375=1,B375="RECEIPT"),ROW(),0)</f>
        <v/>
      </c>
      <c r="I375">
        <f>IF(E375=1,IF(OR(B375="SALE",B375="WRITEOFF"),Transactions!E375,0),0)</f>
        <v/>
      </c>
      <c r="J375">
        <f>SUMIFS($F$1:F374,$A$1:A374,A375)</f>
        <v/>
      </c>
      <c r="K375">
        <f>SUMIFS($I$1:I374,$A$1:A374,A375)</f>
        <v/>
      </c>
      <c r="L375">
        <f>IFERROR(VLOOKUP(A375,Opening!$A:$C,3,0),0)</f>
        <v/>
      </c>
      <c r="M375">
        <f>IF(I375=0,0,MAX(0,MIN(INDEX(Month!H$2:H$13,MATCH($A375,Month!$A$2:$A$13,0))-K375,I375)))</f>
        <v/>
      </c>
      <c r="N375">
        <f>IF(I375=0,0,MAX(0,MIN(INDEX(Month!I$2:I$13,MATCH($A375,Month!$A$2:$A$13,0))-K375,I375)))</f>
        <v/>
      </c>
      <c r="O375">
        <f>IF(I375=0,0,MAX(0,MIN(INDEX(Month!J$2:J$13,MATCH($A375,Month!$A$2:$A$13,0))-K375,I375)))</f>
        <v/>
      </c>
      <c r="P375">
        <f>IF(I375=0,0,(MIN(MAX(K375,0),L375)*W375+SUMPRODUCT((Calc!$A$2:$A$1001=A375)*Calc!$G$2:$G$1001*(((K375-(L375+Calc!$J$2:$J$1001))&gt;0)*((K375-(L375+Calc!$J$2:$J$1001))&lt;Calc!$F$2:$F$1001)*(K375-(L375+Calc!$J$2:$J$1001))+((K375-(L375+Calc!$J$2:$J$1001))&gt;=Calc!$F$2:$F$1001)*Calc!$F$2:$F$1001))))</f>
        <v/>
      </c>
      <c r="Q375">
        <f>IF(I375=0,0,(MIN(MAX((K375+M375),0),L375)*W375+SUMPRODUCT((Calc!$A$2:$A$1001=A375)*Calc!$G$2:$G$1001*((((K375+M375)-(L375+Calc!$J$2:$J$1001))&gt;0)*(((K375+M375)-(L375+Calc!$J$2:$J$1001))&lt;Calc!$F$2:$F$1001)*((K375+M375)-(L375+Calc!$J$2:$J$1001))+(((K375+M375)-(L375+Calc!$J$2:$J$1001))&gt;=Calc!$F$2:$F$1001)*Calc!$F$2:$F$1001))))</f>
        <v/>
      </c>
      <c r="R375">
        <f>IF(I375=0,0,(MIN(MAX((K375+N375),0),L375)*W375+SUMPRODUCT((Calc!$A$2:$A$1001=A375)*Calc!$G$2:$G$1001*((((K375+N375)-(L375+Calc!$J$2:$J$1001))&gt;0)*(((K375+N375)-(L375+Calc!$J$2:$J$1001))&lt;Calc!$F$2:$F$1001)*((K375+N375)-(L375+Calc!$J$2:$J$1001))+(((K375+N375)-(L375+Calc!$J$2:$J$1001))&gt;=Calc!$F$2:$F$1001)*Calc!$F$2:$F$1001))))</f>
        <v/>
      </c>
      <c r="S375">
        <f>IF(I375=0,0,(MIN(MAX((K375+O375),0),L375)*W375+SUMPRODUCT((Calc!$A$2:$A$1001=A375)*Calc!$G$2:$G$1001*((((K375+O375)-(L375+Calc!$J$2:$J$1001))&gt;0)*(((K375+O375)-(L375+Calc!$J$2:$J$1001))&lt;Calc!$F$2:$F$1001)*((K375+O375)-(L375+Calc!$J$2:$J$1001))+(((K375+O375)-(L375+Calc!$J$2:$J$1001))&gt;=Calc!$F$2:$F$1001)*Calc!$F$2:$F$1001))))</f>
        <v/>
      </c>
      <c r="T375">
        <f>IF(AND(E375=1,B375="RETURN"),Transactions!E375*Transactions!G375,0)</f>
        <v/>
      </c>
      <c r="U375">
        <f>IF(AND(E375=1,B375="EXPENSE"),Transactions!J375,0)</f>
        <v/>
      </c>
      <c r="V375">
        <f>IF(AND(Transactions!A375&lt;&gt;"",E375=0),ROW(),"")</f>
        <v/>
      </c>
      <c r="W375">
        <f>IFERROR(VLOOKUP(A375,Opening!$A:$D,4,0),0)</f>
        <v/>
      </c>
    </row>
    <row r="376">
      <c r="A376">
        <f>IF(Transactions!D376="","",UPPER(TRIM(Transactions!D376)))</f>
        <v/>
      </c>
      <c r="B376">
        <f>IF(Transactions!C376="","",UPPER(TRIM(Transactions!C376)))</f>
        <v/>
      </c>
      <c r="C376">
        <f>IF(Transactions!B376="",0,YEAR(Transactions!B376)*100+MONTH(Transactions!B376))</f>
        <v/>
      </c>
      <c r="D376">
        <f>IF(Transactions!A376="",1,IF(COUNTIF(Transactions!$A$1:A375,Transactions!A376)&gt;0,1,0))</f>
        <v/>
      </c>
      <c r="E376">
        <f>IF(D376=1,0,IF(B376="RETURN",IF(COUNTIFS($A$1:A375,A376,$B$1:B375,"SALE",$E$1:E375,1)&gt;0,1,0),1))</f>
        <v/>
      </c>
      <c r="F376">
        <f>IF(E376=1,IF(B376="RECEIPT",Transactions!E376,IF(AND(B376="RETURN",LOWER(TRIM(Transactions!H376))="resellable"),Transactions!E376,0)),0)</f>
        <v/>
      </c>
      <c r="G376">
        <f>IF(F376&gt;0,IF(B376="RECEIPT",Transactions!F376,IF(_xlfn.MAXIFS($H$2:H376,$A$2:A376,A376)&gt;0,INDEX(Transactions!$F:$F,_xlfn.MAXIFS($H$2:H376,$A$2:A376,A376)),W376)),0)</f>
        <v/>
      </c>
      <c r="H376">
        <f>IF(AND(E376=1,B376="RECEIPT"),ROW(),0)</f>
        <v/>
      </c>
      <c r="I376">
        <f>IF(E376=1,IF(OR(B376="SALE",B376="WRITEOFF"),Transactions!E376,0),0)</f>
        <v/>
      </c>
      <c r="J376">
        <f>SUMIFS($F$1:F375,$A$1:A375,A376)</f>
        <v/>
      </c>
      <c r="K376">
        <f>SUMIFS($I$1:I375,$A$1:A375,A376)</f>
        <v/>
      </c>
      <c r="L376">
        <f>IFERROR(VLOOKUP(A376,Opening!$A:$C,3,0),0)</f>
        <v/>
      </c>
      <c r="M376">
        <f>IF(I376=0,0,MAX(0,MIN(INDEX(Month!H$2:H$13,MATCH($A376,Month!$A$2:$A$13,0))-K376,I376)))</f>
        <v/>
      </c>
      <c r="N376">
        <f>IF(I376=0,0,MAX(0,MIN(INDEX(Month!I$2:I$13,MATCH($A376,Month!$A$2:$A$13,0))-K376,I376)))</f>
        <v/>
      </c>
      <c r="O376">
        <f>IF(I376=0,0,MAX(0,MIN(INDEX(Month!J$2:J$13,MATCH($A376,Month!$A$2:$A$13,0))-K376,I376)))</f>
        <v/>
      </c>
      <c r="P376">
        <f>IF(I376=0,0,(MIN(MAX(K376,0),L376)*W376+SUMPRODUCT((Calc!$A$2:$A$1001=A376)*Calc!$G$2:$G$1001*(((K376-(L376+Calc!$J$2:$J$1001))&gt;0)*((K376-(L376+Calc!$J$2:$J$1001))&lt;Calc!$F$2:$F$1001)*(K376-(L376+Calc!$J$2:$J$1001))+((K376-(L376+Calc!$J$2:$J$1001))&gt;=Calc!$F$2:$F$1001)*Calc!$F$2:$F$1001))))</f>
        <v/>
      </c>
      <c r="Q376">
        <f>IF(I376=0,0,(MIN(MAX((K376+M376),0),L376)*W376+SUMPRODUCT((Calc!$A$2:$A$1001=A376)*Calc!$G$2:$G$1001*((((K376+M376)-(L376+Calc!$J$2:$J$1001))&gt;0)*(((K376+M376)-(L376+Calc!$J$2:$J$1001))&lt;Calc!$F$2:$F$1001)*((K376+M376)-(L376+Calc!$J$2:$J$1001))+(((K376+M376)-(L376+Calc!$J$2:$J$1001))&gt;=Calc!$F$2:$F$1001)*Calc!$F$2:$F$1001))))</f>
        <v/>
      </c>
      <c r="R376">
        <f>IF(I376=0,0,(MIN(MAX((K376+N376),0),L376)*W376+SUMPRODUCT((Calc!$A$2:$A$1001=A376)*Calc!$G$2:$G$1001*((((K376+N376)-(L376+Calc!$J$2:$J$1001))&gt;0)*(((K376+N376)-(L376+Calc!$J$2:$J$1001))&lt;Calc!$F$2:$F$1001)*((K376+N376)-(L376+Calc!$J$2:$J$1001))+(((K376+N376)-(L376+Calc!$J$2:$J$1001))&gt;=Calc!$F$2:$F$1001)*Calc!$F$2:$F$1001))))</f>
        <v/>
      </c>
      <c r="S376">
        <f>IF(I376=0,0,(MIN(MAX((K376+O376),0),L376)*W376+SUMPRODUCT((Calc!$A$2:$A$1001=A376)*Calc!$G$2:$G$1001*((((K376+O376)-(L376+Calc!$J$2:$J$1001))&gt;0)*(((K376+O376)-(L376+Calc!$J$2:$J$1001))&lt;Calc!$F$2:$F$1001)*((K376+O376)-(L376+Calc!$J$2:$J$1001))+(((K376+O376)-(L376+Calc!$J$2:$J$1001))&gt;=Calc!$F$2:$F$1001)*Calc!$F$2:$F$1001))))</f>
        <v/>
      </c>
      <c r="T376">
        <f>IF(AND(E376=1,B376="RETURN"),Transactions!E376*Transactions!G376,0)</f>
        <v/>
      </c>
      <c r="U376">
        <f>IF(AND(E376=1,B376="EXPENSE"),Transactions!J376,0)</f>
        <v/>
      </c>
      <c r="V376">
        <f>IF(AND(Transactions!A376&lt;&gt;"",E376=0),ROW(),"")</f>
        <v/>
      </c>
      <c r="W376">
        <f>IFERROR(VLOOKUP(A376,Opening!$A:$D,4,0),0)</f>
        <v/>
      </c>
    </row>
    <row r="377">
      <c r="A377">
        <f>IF(Transactions!D377="","",UPPER(TRIM(Transactions!D377)))</f>
        <v/>
      </c>
      <c r="B377">
        <f>IF(Transactions!C377="","",UPPER(TRIM(Transactions!C377)))</f>
        <v/>
      </c>
      <c r="C377">
        <f>IF(Transactions!B377="",0,YEAR(Transactions!B377)*100+MONTH(Transactions!B377))</f>
        <v/>
      </c>
      <c r="D377">
        <f>IF(Transactions!A377="",1,IF(COUNTIF(Transactions!$A$1:A376,Transactions!A377)&gt;0,1,0))</f>
        <v/>
      </c>
      <c r="E377">
        <f>IF(D377=1,0,IF(B377="RETURN",IF(COUNTIFS($A$1:A376,A377,$B$1:B376,"SALE",$E$1:E376,1)&gt;0,1,0),1))</f>
        <v/>
      </c>
      <c r="F377">
        <f>IF(E377=1,IF(B377="RECEIPT",Transactions!E377,IF(AND(B377="RETURN",LOWER(TRIM(Transactions!H377))="resellable"),Transactions!E377,0)),0)</f>
        <v/>
      </c>
      <c r="G377">
        <f>IF(F377&gt;0,IF(B377="RECEIPT",Transactions!F377,IF(_xlfn.MAXIFS($H$2:H377,$A$2:A377,A377)&gt;0,INDEX(Transactions!$F:$F,_xlfn.MAXIFS($H$2:H377,$A$2:A377,A377)),W377)),0)</f>
        <v/>
      </c>
      <c r="H377">
        <f>IF(AND(E377=1,B377="RECEIPT"),ROW(),0)</f>
        <v/>
      </c>
      <c r="I377">
        <f>IF(E377=1,IF(OR(B377="SALE",B377="WRITEOFF"),Transactions!E377,0),0)</f>
        <v/>
      </c>
      <c r="J377">
        <f>SUMIFS($F$1:F376,$A$1:A376,A377)</f>
        <v/>
      </c>
      <c r="K377">
        <f>SUMIFS($I$1:I376,$A$1:A376,A377)</f>
        <v/>
      </c>
      <c r="L377">
        <f>IFERROR(VLOOKUP(A377,Opening!$A:$C,3,0),0)</f>
        <v/>
      </c>
      <c r="M377">
        <f>IF(I377=0,0,MAX(0,MIN(INDEX(Month!H$2:H$13,MATCH($A377,Month!$A$2:$A$13,0))-K377,I377)))</f>
        <v/>
      </c>
      <c r="N377">
        <f>IF(I377=0,0,MAX(0,MIN(INDEX(Month!I$2:I$13,MATCH($A377,Month!$A$2:$A$13,0))-K377,I377)))</f>
        <v/>
      </c>
      <c r="O377">
        <f>IF(I377=0,0,MAX(0,MIN(INDEX(Month!J$2:J$13,MATCH($A377,Month!$A$2:$A$13,0))-K377,I377)))</f>
        <v/>
      </c>
      <c r="P377">
        <f>IF(I377=0,0,(MIN(MAX(K377,0),L377)*W377+SUMPRODUCT((Calc!$A$2:$A$1001=A377)*Calc!$G$2:$G$1001*(((K377-(L377+Calc!$J$2:$J$1001))&gt;0)*((K377-(L377+Calc!$J$2:$J$1001))&lt;Calc!$F$2:$F$1001)*(K377-(L377+Calc!$J$2:$J$1001))+((K377-(L377+Calc!$J$2:$J$1001))&gt;=Calc!$F$2:$F$1001)*Calc!$F$2:$F$1001))))</f>
        <v/>
      </c>
      <c r="Q377">
        <f>IF(I377=0,0,(MIN(MAX((K377+M377),0),L377)*W377+SUMPRODUCT((Calc!$A$2:$A$1001=A377)*Calc!$G$2:$G$1001*((((K377+M377)-(L377+Calc!$J$2:$J$1001))&gt;0)*(((K377+M377)-(L377+Calc!$J$2:$J$1001))&lt;Calc!$F$2:$F$1001)*((K377+M377)-(L377+Calc!$J$2:$J$1001))+(((K377+M377)-(L377+Calc!$J$2:$J$1001))&gt;=Calc!$F$2:$F$1001)*Calc!$F$2:$F$1001))))</f>
        <v/>
      </c>
      <c r="R377">
        <f>IF(I377=0,0,(MIN(MAX((K377+N377),0),L377)*W377+SUMPRODUCT((Calc!$A$2:$A$1001=A377)*Calc!$G$2:$G$1001*((((K377+N377)-(L377+Calc!$J$2:$J$1001))&gt;0)*(((K377+N377)-(L377+Calc!$J$2:$J$1001))&lt;Calc!$F$2:$F$1001)*((K377+N377)-(L377+Calc!$J$2:$J$1001))+(((K377+N377)-(L377+Calc!$J$2:$J$1001))&gt;=Calc!$F$2:$F$1001)*Calc!$F$2:$F$1001))))</f>
        <v/>
      </c>
      <c r="S377">
        <f>IF(I377=0,0,(MIN(MAX((K377+O377),0),L377)*W377+SUMPRODUCT((Calc!$A$2:$A$1001=A377)*Calc!$G$2:$G$1001*((((K377+O377)-(L377+Calc!$J$2:$J$1001))&gt;0)*(((K377+O377)-(L377+Calc!$J$2:$J$1001))&lt;Calc!$F$2:$F$1001)*((K377+O377)-(L377+Calc!$J$2:$J$1001))+(((K377+O377)-(L377+Calc!$J$2:$J$1001))&gt;=Calc!$F$2:$F$1001)*Calc!$F$2:$F$1001))))</f>
        <v/>
      </c>
      <c r="T377">
        <f>IF(AND(E377=1,B377="RETURN"),Transactions!E377*Transactions!G377,0)</f>
        <v/>
      </c>
      <c r="U377">
        <f>IF(AND(E377=1,B377="EXPENSE"),Transactions!J377,0)</f>
        <v/>
      </c>
      <c r="V377">
        <f>IF(AND(Transactions!A377&lt;&gt;"",E377=0),ROW(),"")</f>
        <v/>
      </c>
      <c r="W377">
        <f>IFERROR(VLOOKUP(A377,Opening!$A:$D,4,0),0)</f>
        <v/>
      </c>
    </row>
    <row r="378">
      <c r="A378">
        <f>IF(Transactions!D378="","",UPPER(TRIM(Transactions!D378)))</f>
        <v/>
      </c>
      <c r="B378">
        <f>IF(Transactions!C378="","",UPPER(TRIM(Transactions!C378)))</f>
        <v/>
      </c>
      <c r="C378">
        <f>IF(Transactions!B378="",0,YEAR(Transactions!B378)*100+MONTH(Transactions!B378))</f>
        <v/>
      </c>
      <c r="D378">
        <f>IF(Transactions!A378="",1,IF(COUNTIF(Transactions!$A$1:A377,Transactions!A378)&gt;0,1,0))</f>
        <v/>
      </c>
      <c r="E378">
        <f>IF(D378=1,0,IF(B378="RETURN",IF(COUNTIFS($A$1:A377,A378,$B$1:B377,"SALE",$E$1:E377,1)&gt;0,1,0),1))</f>
        <v/>
      </c>
      <c r="F378">
        <f>IF(E378=1,IF(B378="RECEIPT",Transactions!E378,IF(AND(B378="RETURN",LOWER(TRIM(Transactions!H378))="resellable"),Transactions!E378,0)),0)</f>
        <v/>
      </c>
      <c r="G378">
        <f>IF(F378&gt;0,IF(B378="RECEIPT",Transactions!F378,IF(_xlfn.MAXIFS($H$2:H378,$A$2:A378,A378)&gt;0,INDEX(Transactions!$F:$F,_xlfn.MAXIFS($H$2:H378,$A$2:A378,A378)),W378)),0)</f>
        <v/>
      </c>
      <c r="H378">
        <f>IF(AND(E378=1,B378="RECEIPT"),ROW(),0)</f>
        <v/>
      </c>
      <c r="I378">
        <f>IF(E378=1,IF(OR(B378="SALE",B378="WRITEOFF"),Transactions!E378,0),0)</f>
        <v/>
      </c>
      <c r="J378">
        <f>SUMIFS($F$1:F377,$A$1:A377,A378)</f>
        <v/>
      </c>
      <c r="K378">
        <f>SUMIFS($I$1:I377,$A$1:A377,A378)</f>
        <v/>
      </c>
      <c r="L378">
        <f>IFERROR(VLOOKUP(A378,Opening!$A:$C,3,0),0)</f>
        <v/>
      </c>
      <c r="M378">
        <f>IF(I378=0,0,MAX(0,MIN(INDEX(Month!H$2:H$13,MATCH($A378,Month!$A$2:$A$13,0))-K378,I378)))</f>
        <v/>
      </c>
      <c r="N378">
        <f>IF(I378=0,0,MAX(0,MIN(INDEX(Month!I$2:I$13,MATCH($A378,Month!$A$2:$A$13,0))-K378,I378)))</f>
        <v/>
      </c>
      <c r="O378">
        <f>IF(I378=0,0,MAX(0,MIN(INDEX(Month!J$2:J$13,MATCH($A378,Month!$A$2:$A$13,0))-K378,I378)))</f>
        <v/>
      </c>
      <c r="P378">
        <f>IF(I378=0,0,(MIN(MAX(K378,0),L378)*W378+SUMPRODUCT((Calc!$A$2:$A$1001=A378)*Calc!$G$2:$G$1001*(((K378-(L378+Calc!$J$2:$J$1001))&gt;0)*((K378-(L378+Calc!$J$2:$J$1001))&lt;Calc!$F$2:$F$1001)*(K378-(L378+Calc!$J$2:$J$1001))+((K378-(L378+Calc!$J$2:$J$1001))&gt;=Calc!$F$2:$F$1001)*Calc!$F$2:$F$1001))))</f>
        <v/>
      </c>
      <c r="Q378">
        <f>IF(I378=0,0,(MIN(MAX((K378+M378),0),L378)*W378+SUMPRODUCT((Calc!$A$2:$A$1001=A378)*Calc!$G$2:$G$1001*((((K378+M378)-(L378+Calc!$J$2:$J$1001))&gt;0)*(((K378+M378)-(L378+Calc!$J$2:$J$1001))&lt;Calc!$F$2:$F$1001)*((K378+M378)-(L378+Calc!$J$2:$J$1001))+(((K378+M378)-(L378+Calc!$J$2:$J$1001))&gt;=Calc!$F$2:$F$1001)*Calc!$F$2:$F$1001))))</f>
        <v/>
      </c>
      <c r="R378">
        <f>IF(I378=0,0,(MIN(MAX((K378+N378),0),L378)*W378+SUMPRODUCT((Calc!$A$2:$A$1001=A378)*Calc!$G$2:$G$1001*((((K378+N378)-(L378+Calc!$J$2:$J$1001))&gt;0)*(((K378+N378)-(L378+Calc!$J$2:$J$1001))&lt;Calc!$F$2:$F$1001)*((K378+N378)-(L378+Calc!$J$2:$J$1001))+(((K378+N378)-(L378+Calc!$J$2:$J$1001))&gt;=Calc!$F$2:$F$1001)*Calc!$F$2:$F$1001))))</f>
        <v/>
      </c>
      <c r="S378">
        <f>IF(I378=0,0,(MIN(MAX((K378+O378),0),L378)*W378+SUMPRODUCT((Calc!$A$2:$A$1001=A378)*Calc!$G$2:$G$1001*((((K378+O378)-(L378+Calc!$J$2:$J$1001))&gt;0)*(((K378+O378)-(L378+Calc!$J$2:$J$1001))&lt;Calc!$F$2:$F$1001)*((K378+O378)-(L378+Calc!$J$2:$J$1001))+(((K378+O378)-(L378+Calc!$J$2:$J$1001))&gt;=Calc!$F$2:$F$1001)*Calc!$F$2:$F$1001))))</f>
        <v/>
      </c>
      <c r="T378">
        <f>IF(AND(E378=1,B378="RETURN"),Transactions!E378*Transactions!G378,0)</f>
        <v/>
      </c>
      <c r="U378">
        <f>IF(AND(E378=1,B378="EXPENSE"),Transactions!J378,0)</f>
        <v/>
      </c>
      <c r="V378">
        <f>IF(AND(Transactions!A378&lt;&gt;"",E378=0),ROW(),"")</f>
        <v/>
      </c>
      <c r="W378">
        <f>IFERROR(VLOOKUP(A378,Opening!$A:$D,4,0),0)</f>
        <v/>
      </c>
    </row>
    <row r="379">
      <c r="A379">
        <f>IF(Transactions!D379="","",UPPER(TRIM(Transactions!D379)))</f>
        <v/>
      </c>
      <c r="B379">
        <f>IF(Transactions!C379="","",UPPER(TRIM(Transactions!C379)))</f>
        <v/>
      </c>
      <c r="C379">
        <f>IF(Transactions!B379="",0,YEAR(Transactions!B379)*100+MONTH(Transactions!B379))</f>
        <v/>
      </c>
      <c r="D379">
        <f>IF(Transactions!A379="",1,IF(COUNTIF(Transactions!$A$1:A378,Transactions!A379)&gt;0,1,0))</f>
        <v/>
      </c>
      <c r="E379">
        <f>IF(D379=1,0,IF(B379="RETURN",IF(COUNTIFS($A$1:A378,A379,$B$1:B378,"SALE",$E$1:E378,1)&gt;0,1,0),1))</f>
        <v/>
      </c>
      <c r="F379">
        <f>IF(E379=1,IF(B379="RECEIPT",Transactions!E379,IF(AND(B379="RETURN",LOWER(TRIM(Transactions!H379))="resellable"),Transactions!E379,0)),0)</f>
        <v/>
      </c>
      <c r="G379">
        <f>IF(F379&gt;0,IF(B379="RECEIPT",Transactions!F379,IF(_xlfn.MAXIFS($H$2:H379,$A$2:A379,A379)&gt;0,INDEX(Transactions!$F:$F,_xlfn.MAXIFS($H$2:H379,$A$2:A379,A379)),W379)),0)</f>
        <v/>
      </c>
      <c r="H379">
        <f>IF(AND(E379=1,B379="RECEIPT"),ROW(),0)</f>
        <v/>
      </c>
      <c r="I379">
        <f>IF(E379=1,IF(OR(B379="SALE",B379="WRITEOFF"),Transactions!E379,0),0)</f>
        <v/>
      </c>
      <c r="J379">
        <f>SUMIFS($F$1:F378,$A$1:A378,A379)</f>
        <v/>
      </c>
      <c r="K379">
        <f>SUMIFS($I$1:I378,$A$1:A378,A379)</f>
        <v/>
      </c>
      <c r="L379">
        <f>IFERROR(VLOOKUP(A379,Opening!$A:$C,3,0),0)</f>
        <v/>
      </c>
      <c r="M379">
        <f>IF(I379=0,0,MAX(0,MIN(INDEX(Month!H$2:H$13,MATCH($A379,Month!$A$2:$A$13,0))-K379,I379)))</f>
        <v/>
      </c>
      <c r="N379">
        <f>IF(I379=0,0,MAX(0,MIN(INDEX(Month!I$2:I$13,MATCH($A379,Month!$A$2:$A$13,0))-K379,I379)))</f>
        <v/>
      </c>
      <c r="O379">
        <f>IF(I379=0,0,MAX(0,MIN(INDEX(Month!J$2:J$13,MATCH($A379,Month!$A$2:$A$13,0))-K379,I379)))</f>
        <v/>
      </c>
      <c r="P379">
        <f>IF(I379=0,0,(MIN(MAX(K379,0),L379)*W379+SUMPRODUCT((Calc!$A$2:$A$1001=A379)*Calc!$G$2:$G$1001*(((K379-(L379+Calc!$J$2:$J$1001))&gt;0)*((K379-(L379+Calc!$J$2:$J$1001))&lt;Calc!$F$2:$F$1001)*(K379-(L379+Calc!$J$2:$J$1001))+((K379-(L379+Calc!$J$2:$J$1001))&gt;=Calc!$F$2:$F$1001)*Calc!$F$2:$F$1001))))</f>
        <v/>
      </c>
      <c r="Q379">
        <f>IF(I379=0,0,(MIN(MAX((K379+M379),0),L379)*W379+SUMPRODUCT((Calc!$A$2:$A$1001=A379)*Calc!$G$2:$G$1001*((((K379+M379)-(L379+Calc!$J$2:$J$1001))&gt;0)*(((K379+M379)-(L379+Calc!$J$2:$J$1001))&lt;Calc!$F$2:$F$1001)*((K379+M379)-(L379+Calc!$J$2:$J$1001))+(((K379+M379)-(L379+Calc!$J$2:$J$1001))&gt;=Calc!$F$2:$F$1001)*Calc!$F$2:$F$1001))))</f>
        <v/>
      </c>
      <c r="R379">
        <f>IF(I379=0,0,(MIN(MAX((K379+N379),0),L379)*W379+SUMPRODUCT((Calc!$A$2:$A$1001=A379)*Calc!$G$2:$G$1001*((((K379+N379)-(L379+Calc!$J$2:$J$1001))&gt;0)*(((K379+N379)-(L379+Calc!$J$2:$J$1001))&lt;Calc!$F$2:$F$1001)*((K379+N379)-(L379+Calc!$J$2:$J$1001))+(((K379+N379)-(L379+Calc!$J$2:$J$1001))&gt;=Calc!$F$2:$F$1001)*Calc!$F$2:$F$1001))))</f>
        <v/>
      </c>
      <c r="S379">
        <f>IF(I379=0,0,(MIN(MAX((K379+O379),0),L379)*W379+SUMPRODUCT((Calc!$A$2:$A$1001=A379)*Calc!$G$2:$G$1001*((((K379+O379)-(L379+Calc!$J$2:$J$1001))&gt;0)*(((K379+O379)-(L379+Calc!$J$2:$J$1001))&lt;Calc!$F$2:$F$1001)*((K379+O379)-(L379+Calc!$J$2:$J$1001))+(((K379+O379)-(L379+Calc!$J$2:$J$1001))&gt;=Calc!$F$2:$F$1001)*Calc!$F$2:$F$1001))))</f>
        <v/>
      </c>
      <c r="T379">
        <f>IF(AND(E379=1,B379="RETURN"),Transactions!E379*Transactions!G379,0)</f>
        <v/>
      </c>
      <c r="U379">
        <f>IF(AND(E379=1,B379="EXPENSE"),Transactions!J379,0)</f>
        <v/>
      </c>
      <c r="V379">
        <f>IF(AND(Transactions!A379&lt;&gt;"",E379=0),ROW(),"")</f>
        <v/>
      </c>
      <c r="W379">
        <f>IFERROR(VLOOKUP(A379,Opening!$A:$D,4,0),0)</f>
        <v/>
      </c>
    </row>
    <row r="380">
      <c r="A380">
        <f>IF(Transactions!D380="","",UPPER(TRIM(Transactions!D380)))</f>
        <v/>
      </c>
      <c r="B380">
        <f>IF(Transactions!C380="","",UPPER(TRIM(Transactions!C380)))</f>
        <v/>
      </c>
      <c r="C380">
        <f>IF(Transactions!B380="",0,YEAR(Transactions!B380)*100+MONTH(Transactions!B380))</f>
        <v/>
      </c>
      <c r="D380">
        <f>IF(Transactions!A380="",1,IF(COUNTIF(Transactions!$A$1:A379,Transactions!A380)&gt;0,1,0))</f>
        <v/>
      </c>
      <c r="E380">
        <f>IF(D380=1,0,IF(B380="RETURN",IF(COUNTIFS($A$1:A379,A380,$B$1:B379,"SALE",$E$1:E379,1)&gt;0,1,0),1))</f>
        <v/>
      </c>
      <c r="F380">
        <f>IF(E380=1,IF(B380="RECEIPT",Transactions!E380,IF(AND(B380="RETURN",LOWER(TRIM(Transactions!H380))="resellable"),Transactions!E380,0)),0)</f>
        <v/>
      </c>
      <c r="G380">
        <f>IF(F380&gt;0,IF(B380="RECEIPT",Transactions!F380,IF(_xlfn.MAXIFS($H$2:H380,$A$2:A380,A380)&gt;0,INDEX(Transactions!$F:$F,_xlfn.MAXIFS($H$2:H380,$A$2:A380,A380)),W380)),0)</f>
        <v/>
      </c>
      <c r="H380">
        <f>IF(AND(E380=1,B380="RECEIPT"),ROW(),0)</f>
        <v/>
      </c>
      <c r="I380">
        <f>IF(E380=1,IF(OR(B380="SALE",B380="WRITEOFF"),Transactions!E380,0),0)</f>
        <v/>
      </c>
      <c r="J380">
        <f>SUMIFS($F$1:F379,$A$1:A379,A380)</f>
        <v/>
      </c>
      <c r="K380">
        <f>SUMIFS($I$1:I379,$A$1:A379,A380)</f>
        <v/>
      </c>
      <c r="L380">
        <f>IFERROR(VLOOKUP(A380,Opening!$A:$C,3,0),0)</f>
        <v/>
      </c>
      <c r="M380">
        <f>IF(I380=0,0,MAX(0,MIN(INDEX(Month!H$2:H$13,MATCH($A380,Month!$A$2:$A$13,0))-K380,I380)))</f>
        <v/>
      </c>
      <c r="N380">
        <f>IF(I380=0,0,MAX(0,MIN(INDEX(Month!I$2:I$13,MATCH($A380,Month!$A$2:$A$13,0))-K380,I380)))</f>
        <v/>
      </c>
      <c r="O380">
        <f>IF(I380=0,0,MAX(0,MIN(INDEX(Month!J$2:J$13,MATCH($A380,Month!$A$2:$A$13,0))-K380,I380)))</f>
        <v/>
      </c>
      <c r="P380">
        <f>IF(I380=0,0,(MIN(MAX(K380,0),L380)*W380+SUMPRODUCT((Calc!$A$2:$A$1001=A380)*Calc!$G$2:$G$1001*(((K380-(L380+Calc!$J$2:$J$1001))&gt;0)*((K380-(L380+Calc!$J$2:$J$1001))&lt;Calc!$F$2:$F$1001)*(K380-(L380+Calc!$J$2:$J$1001))+((K380-(L380+Calc!$J$2:$J$1001))&gt;=Calc!$F$2:$F$1001)*Calc!$F$2:$F$1001))))</f>
        <v/>
      </c>
      <c r="Q380">
        <f>IF(I380=0,0,(MIN(MAX((K380+M380),0),L380)*W380+SUMPRODUCT((Calc!$A$2:$A$1001=A380)*Calc!$G$2:$G$1001*((((K380+M380)-(L380+Calc!$J$2:$J$1001))&gt;0)*(((K380+M380)-(L380+Calc!$J$2:$J$1001))&lt;Calc!$F$2:$F$1001)*((K380+M380)-(L380+Calc!$J$2:$J$1001))+(((K380+M380)-(L380+Calc!$J$2:$J$1001))&gt;=Calc!$F$2:$F$1001)*Calc!$F$2:$F$1001))))</f>
        <v/>
      </c>
      <c r="R380">
        <f>IF(I380=0,0,(MIN(MAX((K380+N380),0),L380)*W380+SUMPRODUCT((Calc!$A$2:$A$1001=A380)*Calc!$G$2:$G$1001*((((K380+N380)-(L380+Calc!$J$2:$J$1001))&gt;0)*(((K380+N380)-(L380+Calc!$J$2:$J$1001))&lt;Calc!$F$2:$F$1001)*((K380+N380)-(L380+Calc!$J$2:$J$1001))+(((K380+N380)-(L380+Calc!$J$2:$J$1001))&gt;=Calc!$F$2:$F$1001)*Calc!$F$2:$F$1001))))</f>
        <v/>
      </c>
      <c r="S380">
        <f>IF(I380=0,0,(MIN(MAX((K380+O380),0),L380)*W380+SUMPRODUCT((Calc!$A$2:$A$1001=A380)*Calc!$G$2:$G$1001*((((K380+O380)-(L380+Calc!$J$2:$J$1001))&gt;0)*(((K380+O380)-(L380+Calc!$J$2:$J$1001))&lt;Calc!$F$2:$F$1001)*((K380+O380)-(L380+Calc!$J$2:$J$1001))+(((K380+O380)-(L380+Calc!$J$2:$J$1001))&gt;=Calc!$F$2:$F$1001)*Calc!$F$2:$F$1001))))</f>
        <v/>
      </c>
      <c r="T380">
        <f>IF(AND(E380=1,B380="RETURN"),Transactions!E380*Transactions!G380,0)</f>
        <v/>
      </c>
      <c r="U380">
        <f>IF(AND(E380=1,B380="EXPENSE"),Transactions!J380,0)</f>
        <v/>
      </c>
      <c r="V380">
        <f>IF(AND(Transactions!A380&lt;&gt;"",E380=0),ROW(),"")</f>
        <v/>
      </c>
      <c r="W380">
        <f>IFERROR(VLOOKUP(A380,Opening!$A:$D,4,0),0)</f>
        <v/>
      </c>
    </row>
    <row r="381">
      <c r="A381">
        <f>IF(Transactions!D381="","",UPPER(TRIM(Transactions!D381)))</f>
        <v/>
      </c>
      <c r="B381">
        <f>IF(Transactions!C381="","",UPPER(TRIM(Transactions!C381)))</f>
        <v/>
      </c>
      <c r="C381">
        <f>IF(Transactions!B381="",0,YEAR(Transactions!B381)*100+MONTH(Transactions!B381))</f>
        <v/>
      </c>
      <c r="D381">
        <f>IF(Transactions!A381="",1,IF(COUNTIF(Transactions!$A$1:A380,Transactions!A381)&gt;0,1,0))</f>
        <v/>
      </c>
      <c r="E381">
        <f>IF(D381=1,0,IF(B381="RETURN",IF(COUNTIFS($A$1:A380,A381,$B$1:B380,"SALE",$E$1:E380,1)&gt;0,1,0),1))</f>
        <v/>
      </c>
      <c r="F381">
        <f>IF(E381=1,IF(B381="RECEIPT",Transactions!E381,IF(AND(B381="RETURN",LOWER(TRIM(Transactions!H381))="resellable"),Transactions!E381,0)),0)</f>
        <v/>
      </c>
      <c r="G381">
        <f>IF(F381&gt;0,IF(B381="RECEIPT",Transactions!F381,IF(_xlfn.MAXIFS($H$2:H381,$A$2:A381,A381)&gt;0,INDEX(Transactions!$F:$F,_xlfn.MAXIFS($H$2:H381,$A$2:A381,A381)),W381)),0)</f>
        <v/>
      </c>
      <c r="H381">
        <f>IF(AND(E381=1,B381="RECEIPT"),ROW(),0)</f>
        <v/>
      </c>
      <c r="I381">
        <f>IF(E381=1,IF(OR(B381="SALE",B381="WRITEOFF"),Transactions!E381,0),0)</f>
        <v/>
      </c>
      <c r="J381">
        <f>SUMIFS($F$1:F380,$A$1:A380,A381)</f>
        <v/>
      </c>
      <c r="K381">
        <f>SUMIFS($I$1:I380,$A$1:A380,A381)</f>
        <v/>
      </c>
      <c r="L381">
        <f>IFERROR(VLOOKUP(A381,Opening!$A:$C,3,0),0)</f>
        <v/>
      </c>
      <c r="M381">
        <f>IF(I381=0,0,MAX(0,MIN(INDEX(Month!H$2:H$13,MATCH($A381,Month!$A$2:$A$13,0))-K381,I381)))</f>
        <v/>
      </c>
      <c r="N381">
        <f>IF(I381=0,0,MAX(0,MIN(INDEX(Month!I$2:I$13,MATCH($A381,Month!$A$2:$A$13,0))-K381,I381)))</f>
        <v/>
      </c>
      <c r="O381">
        <f>IF(I381=0,0,MAX(0,MIN(INDEX(Month!J$2:J$13,MATCH($A381,Month!$A$2:$A$13,0))-K381,I381)))</f>
        <v/>
      </c>
      <c r="P381">
        <f>IF(I381=0,0,(MIN(MAX(K381,0),L381)*W381+SUMPRODUCT((Calc!$A$2:$A$1001=A381)*Calc!$G$2:$G$1001*(((K381-(L381+Calc!$J$2:$J$1001))&gt;0)*((K381-(L381+Calc!$J$2:$J$1001))&lt;Calc!$F$2:$F$1001)*(K381-(L381+Calc!$J$2:$J$1001))+((K381-(L381+Calc!$J$2:$J$1001))&gt;=Calc!$F$2:$F$1001)*Calc!$F$2:$F$1001))))</f>
        <v/>
      </c>
      <c r="Q381">
        <f>IF(I381=0,0,(MIN(MAX((K381+M381),0),L381)*W381+SUMPRODUCT((Calc!$A$2:$A$1001=A381)*Calc!$G$2:$G$1001*((((K381+M381)-(L381+Calc!$J$2:$J$1001))&gt;0)*(((K381+M381)-(L381+Calc!$J$2:$J$1001))&lt;Calc!$F$2:$F$1001)*((K381+M381)-(L381+Calc!$J$2:$J$1001))+(((K381+M381)-(L381+Calc!$J$2:$J$1001))&gt;=Calc!$F$2:$F$1001)*Calc!$F$2:$F$1001))))</f>
        <v/>
      </c>
      <c r="R381">
        <f>IF(I381=0,0,(MIN(MAX((K381+N381),0),L381)*W381+SUMPRODUCT((Calc!$A$2:$A$1001=A381)*Calc!$G$2:$G$1001*((((K381+N381)-(L381+Calc!$J$2:$J$1001))&gt;0)*(((K381+N381)-(L381+Calc!$J$2:$J$1001))&lt;Calc!$F$2:$F$1001)*((K381+N381)-(L381+Calc!$J$2:$J$1001))+(((K381+N381)-(L381+Calc!$J$2:$J$1001))&gt;=Calc!$F$2:$F$1001)*Calc!$F$2:$F$1001))))</f>
        <v/>
      </c>
      <c r="S381">
        <f>IF(I381=0,0,(MIN(MAX((K381+O381),0),L381)*W381+SUMPRODUCT((Calc!$A$2:$A$1001=A381)*Calc!$G$2:$G$1001*((((K381+O381)-(L381+Calc!$J$2:$J$1001))&gt;0)*(((K381+O381)-(L381+Calc!$J$2:$J$1001))&lt;Calc!$F$2:$F$1001)*((K381+O381)-(L381+Calc!$J$2:$J$1001))+(((K381+O381)-(L381+Calc!$J$2:$J$1001))&gt;=Calc!$F$2:$F$1001)*Calc!$F$2:$F$1001))))</f>
        <v/>
      </c>
      <c r="T381">
        <f>IF(AND(E381=1,B381="RETURN"),Transactions!E381*Transactions!G381,0)</f>
        <v/>
      </c>
      <c r="U381">
        <f>IF(AND(E381=1,B381="EXPENSE"),Transactions!J381,0)</f>
        <v/>
      </c>
      <c r="V381">
        <f>IF(AND(Transactions!A381&lt;&gt;"",E381=0),ROW(),"")</f>
        <v/>
      </c>
      <c r="W381">
        <f>IFERROR(VLOOKUP(A381,Opening!$A:$D,4,0),0)</f>
        <v/>
      </c>
    </row>
    <row r="382">
      <c r="A382">
        <f>IF(Transactions!D382="","",UPPER(TRIM(Transactions!D382)))</f>
        <v/>
      </c>
      <c r="B382">
        <f>IF(Transactions!C382="","",UPPER(TRIM(Transactions!C382)))</f>
        <v/>
      </c>
      <c r="C382">
        <f>IF(Transactions!B382="",0,YEAR(Transactions!B382)*100+MONTH(Transactions!B382))</f>
        <v/>
      </c>
      <c r="D382">
        <f>IF(Transactions!A382="",1,IF(COUNTIF(Transactions!$A$1:A381,Transactions!A382)&gt;0,1,0))</f>
        <v/>
      </c>
      <c r="E382">
        <f>IF(D382=1,0,IF(B382="RETURN",IF(COUNTIFS($A$1:A381,A382,$B$1:B381,"SALE",$E$1:E381,1)&gt;0,1,0),1))</f>
        <v/>
      </c>
      <c r="F382">
        <f>IF(E382=1,IF(B382="RECEIPT",Transactions!E382,IF(AND(B382="RETURN",LOWER(TRIM(Transactions!H382))="resellable"),Transactions!E382,0)),0)</f>
        <v/>
      </c>
      <c r="G382">
        <f>IF(F382&gt;0,IF(B382="RECEIPT",Transactions!F382,IF(_xlfn.MAXIFS($H$2:H382,$A$2:A382,A382)&gt;0,INDEX(Transactions!$F:$F,_xlfn.MAXIFS($H$2:H382,$A$2:A382,A382)),W382)),0)</f>
        <v/>
      </c>
      <c r="H382">
        <f>IF(AND(E382=1,B382="RECEIPT"),ROW(),0)</f>
        <v/>
      </c>
      <c r="I382">
        <f>IF(E382=1,IF(OR(B382="SALE",B382="WRITEOFF"),Transactions!E382,0),0)</f>
        <v/>
      </c>
      <c r="J382">
        <f>SUMIFS($F$1:F381,$A$1:A381,A382)</f>
        <v/>
      </c>
      <c r="K382">
        <f>SUMIFS($I$1:I381,$A$1:A381,A382)</f>
        <v/>
      </c>
      <c r="L382">
        <f>IFERROR(VLOOKUP(A382,Opening!$A:$C,3,0),0)</f>
        <v/>
      </c>
      <c r="M382">
        <f>IF(I382=0,0,MAX(0,MIN(INDEX(Month!H$2:H$13,MATCH($A382,Month!$A$2:$A$13,0))-K382,I382)))</f>
        <v/>
      </c>
      <c r="N382">
        <f>IF(I382=0,0,MAX(0,MIN(INDEX(Month!I$2:I$13,MATCH($A382,Month!$A$2:$A$13,0))-K382,I382)))</f>
        <v/>
      </c>
      <c r="O382">
        <f>IF(I382=0,0,MAX(0,MIN(INDEX(Month!J$2:J$13,MATCH($A382,Month!$A$2:$A$13,0))-K382,I382)))</f>
        <v/>
      </c>
      <c r="P382">
        <f>IF(I382=0,0,(MIN(MAX(K382,0),L382)*W382+SUMPRODUCT((Calc!$A$2:$A$1001=A382)*Calc!$G$2:$G$1001*(((K382-(L382+Calc!$J$2:$J$1001))&gt;0)*((K382-(L382+Calc!$J$2:$J$1001))&lt;Calc!$F$2:$F$1001)*(K382-(L382+Calc!$J$2:$J$1001))+((K382-(L382+Calc!$J$2:$J$1001))&gt;=Calc!$F$2:$F$1001)*Calc!$F$2:$F$1001))))</f>
        <v/>
      </c>
      <c r="Q382">
        <f>IF(I382=0,0,(MIN(MAX((K382+M382),0),L382)*W382+SUMPRODUCT((Calc!$A$2:$A$1001=A382)*Calc!$G$2:$G$1001*((((K382+M382)-(L382+Calc!$J$2:$J$1001))&gt;0)*(((K382+M382)-(L382+Calc!$J$2:$J$1001))&lt;Calc!$F$2:$F$1001)*((K382+M382)-(L382+Calc!$J$2:$J$1001))+(((K382+M382)-(L382+Calc!$J$2:$J$1001))&gt;=Calc!$F$2:$F$1001)*Calc!$F$2:$F$1001))))</f>
        <v/>
      </c>
      <c r="R382">
        <f>IF(I382=0,0,(MIN(MAX((K382+N382),0),L382)*W382+SUMPRODUCT((Calc!$A$2:$A$1001=A382)*Calc!$G$2:$G$1001*((((K382+N382)-(L382+Calc!$J$2:$J$1001))&gt;0)*(((K382+N382)-(L382+Calc!$J$2:$J$1001))&lt;Calc!$F$2:$F$1001)*((K382+N382)-(L382+Calc!$J$2:$J$1001))+(((K382+N382)-(L382+Calc!$J$2:$J$1001))&gt;=Calc!$F$2:$F$1001)*Calc!$F$2:$F$1001))))</f>
        <v/>
      </c>
      <c r="S382">
        <f>IF(I382=0,0,(MIN(MAX((K382+O382),0),L382)*W382+SUMPRODUCT((Calc!$A$2:$A$1001=A382)*Calc!$G$2:$G$1001*((((K382+O382)-(L382+Calc!$J$2:$J$1001))&gt;0)*(((K382+O382)-(L382+Calc!$J$2:$J$1001))&lt;Calc!$F$2:$F$1001)*((K382+O382)-(L382+Calc!$J$2:$J$1001))+(((K382+O382)-(L382+Calc!$J$2:$J$1001))&gt;=Calc!$F$2:$F$1001)*Calc!$F$2:$F$1001))))</f>
        <v/>
      </c>
      <c r="T382">
        <f>IF(AND(E382=1,B382="RETURN"),Transactions!E382*Transactions!G382,0)</f>
        <v/>
      </c>
      <c r="U382">
        <f>IF(AND(E382=1,B382="EXPENSE"),Transactions!J382,0)</f>
        <v/>
      </c>
      <c r="V382">
        <f>IF(AND(Transactions!A382&lt;&gt;"",E382=0),ROW(),"")</f>
        <v/>
      </c>
      <c r="W382">
        <f>IFERROR(VLOOKUP(A382,Opening!$A:$D,4,0),0)</f>
        <v/>
      </c>
    </row>
    <row r="383">
      <c r="A383">
        <f>IF(Transactions!D383="","",UPPER(TRIM(Transactions!D383)))</f>
        <v/>
      </c>
      <c r="B383">
        <f>IF(Transactions!C383="","",UPPER(TRIM(Transactions!C383)))</f>
        <v/>
      </c>
      <c r="C383">
        <f>IF(Transactions!B383="",0,YEAR(Transactions!B383)*100+MONTH(Transactions!B383))</f>
        <v/>
      </c>
      <c r="D383">
        <f>IF(Transactions!A383="",1,IF(COUNTIF(Transactions!$A$1:A382,Transactions!A383)&gt;0,1,0))</f>
        <v/>
      </c>
      <c r="E383">
        <f>IF(D383=1,0,IF(B383="RETURN",IF(COUNTIFS($A$1:A382,A383,$B$1:B382,"SALE",$E$1:E382,1)&gt;0,1,0),1))</f>
        <v/>
      </c>
      <c r="F383">
        <f>IF(E383=1,IF(B383="RECEIPT",Transactions!E383,IF(AND(B383="RETURN",LOWER(TRIM(Transactions!H383))="resellable"),Transactions!E383,0)),0)</f>
        <v/>
      </c>
      <c r="G383">
        <f>IF(F383&gt;0,IF(B383="RECEIPT",Transactions!F383,IF(_xlfn.MAXIFS($H$2:H383,$A$2:A383,A383)&gt;0,INDEX(Transactions!$F:$F,_xlfn.MAXIFS($H$2:H383,$A$2:A383,A383)),W383)),0)</f>
        <v/>
      </c>
      <c r="H383">
        <f>IF(AND(E383=1,B383="RECEIPT"),ROW(),0)</f>
        <v/>
      </c>
      <c r="I383">
        <f>IF(E383=1,IF(OR(B383="SALE",B383="WRITEOFF"),Transactions!E383,0),0)</f>
        <v/>
      </c>
      <c r="J383">
        <f>SUMIFS($F$1:F382,$A$1:A382,A383)</f>
        <v/>
      </c>
      <c r="K383">
        <f>SUMIFS($I$1:I382,$A$1:A382,A383)</f>
        <v/>
      </c>
      <c r="L383">
        <f>IFERROR(VLOOKUP(A383,Opening!$A:$C,3,0),0)</f>
        <v/>
      </c>
      <c r="M383">
        <f>IF(I383=0,0,MAX(0,MIN(INDEX(Month!H$2:H$13,MATCH($A383,Month!$A$2:$A$13,0))-K383,I383)))</f>
        <v/>
      </c>
      <c r="N383">
        <f>IF(I383=0,0,MAX(0,MIN(INDEX(Month!I$2:I$13,MATCH($A383,Month!$A$2:$A$13,0))-K383,I383)))</f>
        <v/>
      </c>
      <c r="O383">
        <f>IF(I383=0,0,MAX(0,MIN(INDEX(Month!J$2:J$13,MATCH($A383,Month!$A$2:$A$13,0))-K383,I383)))</f>
        <v/>
      </c>
      <c r="P383">
        <f>IF(I383=0,0,(MIN(MAX(K383,0),L383)*W383+SUMPRODUCT((Calc!$A$2:$A$1001=A383)*Calc!$G$2:$G$1001*(((K383-(L383+Calc!$J$2:$J$1001))&gt;0)*((K383-(L383+Calc!$J$2:$J$1001))&lt;Calc!$F$2:$F$1001)*(K383-(L383+Calc!$J$2:$J$1001))+((K383-(L383+Calc!$J$2:$J$1001))&gt;=Calc!$F$2:$F$1001)*Calc!$F$2:$F$1001))))</f>
        <v/>
      </c>
      <c r="Q383">
        <f>IF(I383=0,0,(MIN(MAX((K383+M383),0),L383)*W383+SUMPRODUCT((Calc!$A$2:$A$1001=A383)*Calc!$G$2:$G$1001*((((K383+M383)-(L383+Calc!$J$2:$J$1001))&gt;0)*(((K383+M383)-(L383+Calc!$J$2:$J$1001))&lt;Calc!$F$2:$F$1001)*((K383+M383)-(L383+Calc!$J$2:$J$1001))+(((K383+M383)-(L383+Calc!$J$2:$J$1001))&gt;=Calc!$F$2:$F$1001)*Calc!$F$2:$F$1001))))</f>
        <v/>
      </c>
      <c r="R383">
        <f>IF(I383=0,0,(MIN(MAX((K383+N383),0),L383)*W383+SUMPRODUCT((Calc!$A$2:$A$1001=A383)*Calc!$G$2:$G$1001*((((K383+N383)-(L383+Calc!$J$2:$J$1001))&gt;0)*(((K383+N383)-(L383+Calc!$J$2:$J$1001))&lt;Calc!$F$2:$F$1001)*((K383+N383)-(L383+Calc!$J$2:$J$1001))+(((K383+N383)-(L383+Calc!$J$2:$J$1001))&gt;=Calc!$F$2:$F$1001)*Calc!$F$2:$F$1001))))</f>
        <v/>
      </c>
      <c r="S383">
        <f>IF(I383=0,0,(MIN(MAX((K383+O383),0),L383)*W383+SUMPRODUCT((Calc!$A$2:$A$1001=A383)*Calc!$G$2:$G$1001*((((K383+O383)-(L383+Calc!$J$2:$J$1001))&gt;0)*(((K383+O383)-(L383+Calc!$J$2:$J$1001))&lt;Calc!$F$2:$F$1001)*((K383+O383)-(L383+Calc!$J$2:$J$1001))+(((K383+O383)-(L383+Calc!$J$2:$J$1001))&gt;=Calc!$F$2:$F$1001)*Calc!$F$2:$F$1001))))</f>
        <v/>
      </c>
      <c r="T383">
        <f>IF(AND(E383=1,B383="RETURN"),Transactions!E383*Transactions!G383,0)</f>
        <v/>
      </c>
      <c r="U383">
        <f>IF(AND(E383=1,B383="EXPENSE"),Transactions!J383,0)</f>
        <v/>
      </c>
      <c r="V383">
        <f>IF(AND(Transactions!A383&lt;&gt;"",E383=0),ROW(),"")</f>
        <v/>
      </c>
      <c r="W383">
        <f>IFERROR(VLOOKUP(A383,Opening!$A:$D,4,0),0)</f>
        <v/>
      </c>
    </row>
    <row r="384">
      <c r="A384">
        <f>IF(Transactions!D384="","",UPPER(TRIM(Transactions!D384)))</f>
        <v/>
      </c>
      <c r="B384">
        <f>IF(Transactions!C384="","",UPPER(TRIM(Transactions!C384)))</f>
        <v/>
      </c>
      <c r="C384">
        <f>IF(Transactions!B384="",0,YEAR(Transactions!B384)*100+MONTH(Transactions!B384))</f>
        <v/>
      </c>
      <c r="D384">
        <f>IF(Transactions!A384="",1,IF(COUNTIF(Transactions!$A$1:A383,Transactions!A384)&gt;0,1,0))</f>
        <v/>
      </c>
      <c r="E384">
        <f>IF(D384=1,0,IF(B384="RETURN",IF(COUNTIFS($A$1:A383,A384,$B$1:B383,"SALE",$E$1:E383,1)&gt;0,1,0),1))</f>
        <v/>
      </c>
      <c r="F384">
        <f>IF(E384=1,IF(B384="RECEIPT",Transactions!E384,IF(AND(B384="RETURN",LOWER(TRIM(Transactions!H384))="resellable"),Transactions!E384,0)),0)</f>
        <v/>
      </c>
      <c r="G384">
        <f>IF(F384&gt;0,IF(B384="RECEIPT",Transactions!F384,IF(_xlfn.MAXIFS($H$2:H384,$A$2:A384,A384)&gt;0,INDEX(Transactions!$F:$F,_xlfn.MAXIFS($H$2:H384,$A$2:A384,A384)),W384)),0)</f>
        <v/>
      </c>
      <c r="H384">
        <f>IF(AND(E384=1,B384="RECEIPT"),ROW(),0)</f>
        <v/>
      </c>
      <c r="I384">
        <f>IF(E384=1,IF(OR(B384="SALE",B384="WRITEOFF"),Transactions!E384,0),0)</f>
        <v/>
      </c>
      <c r="J384">
        <f>SUMIFS($F$1:F383,$A$1:A383,A384)</f>
        <v/>
      </c>
      <c r="K384">
        <f>SUMIFS($I$1:I383,$A$1:A383,A384)</f>
        <v/>
      </c>
      <c r="L384">
        <f>IFERROR(VLOOKUP(A384,Opening!$A:$C,3,0),0)</f>
        <v/>
      </c>
      <c r="M384">
        <f>IF(I384=0,0,MAX(0,MIN(INDEX(Month!H$2:H$13,MATCH($A384,Month!$A$2:$A$13,0))-K384,I384)))</f>
        <v/>
      </c>
      <c r="N384">
        <f>IF(I384=0,0,MAX(0,MIN(INDEX(Month!I$2:I$13,MATCH($A384,Month!$A$2:$A$13,0))-K384,I384)))</f>
        <v/>
      </c>
      <c r="O384">
        <f>IF(I384=0,0,MAX(0,MIN(INDEX(Month!J$2:J$13,MATCH($A384,Month!$A$2:$A$13,0))-K384,I384)))</f>
        <v/>
      </c>
      <c r="P384">
        <f>IF(I384=0,0,(MIN(MAX(K384,0),L384)*W384+SUMPRODUCT((Calc!$A$2:$A$1001=A384)*Calc!$G$2:$G$1001*(((K384-(L384+Calc!$J$2:$J$1001))&gt;0)*((K384-(L384+Calc!$J$2:$J$1001))&lt;Calc!$F$2:$F$1001)*(K384-(L384+Calc!$J$2:$J$1001))+((K384-(L384+Calc!$J$2:$J$1001))&gt;=Calc!$F$2:$F$1001)*Calc!$F$2:$F$1001))))</f>
        <v/>
      </c>
      <c r="Q384">
        <f>IF(I384=0,0,(MIN(MAX((K384+M384),0),L384)*W384+SUMPRODUCT((Calc!$A$2:$A$1001=A384)*Calc!$G$2:$G$1001*((((K384+M384)-(L384+Calc!$J$2:$J$1001))&gt;0)*(((K384+M384)-(L384+Calc!$J$2:$J$1001))&lt;Calc!$F$2:$F$1001)*((K384+M384)-(L384+Calc!$J$2:$J$1001))+(((K384+M384)-(L384+Calc!$J$2:$J$1001))&gt;=Calc!$F$2:$F$1001)*Calc!$F$2:$F$1001))))</f>
        <v/>
      </c>
      <c r="R384">
        <f>IF(I384=0,0,(MIN(MAX((K384+N384),0),L384)*W384+SUMPRODUCT((Calc!$A$2:$A$1001=A384)*Calc!$G$2:$G$1001*((((K384+N384)-(L384+Calc!$J$2:$J$1001))&gt;0)*(((K384+N384)-(L384+Calc!$J$2:$J$1001))&lt;Calc!$F$2:$F$1001)*((K384+N384)-(L384+Calc!$J$2:$J$1001))+(((K384+N384)-(L384+Calc!$J$2:$J$1001))&gt;=Calc!$F$2:$F$1001)*Calc!$F$2:$F$1001))))</f>
        <v/>
      </c>
      <c r="S384">
        <f>IF(I384=0,0,(MIN(MAX((K384+O384),0),L384)*W384+SUMPRODUCT((Calc!$A$2:$A$1001=A384)*Calc!$G$2:$G$1001*((((K384+O384)-(L384+Calc!$J$2:$J$1001))&gt;0)*(((K384+O384)-(L384+Calc!$J$2:$J$1001))&lt;Calc!$F$2:$F$1001)*((K384+O384)-(L384+Calc!$J$2:$J$1001))+(((K384+O384)-(L384+Calc!$J$2:$J$1001))&gt;=Calc!$F$2:$F$1001)*Calc!$F$2:$F$1001))))</f>
        <v/>
      </c>
      <c r="T384">
        <f>IF(AND(E384=1,B384="RETURN"),Transactions!E384*Transactions!G384,0)</f>
        <v/>
      </c>
      <c r="U384">
        <f>IF(AND(E384=1,B384="EXPENSE"),Transactions!J384,0)</f>
        <v/>
      </c>
      <c r="V384">
        <f>IF(AND(Transactions!A384&lt;&gt;"",E384=0),ROW(),"")</f>
        <v/>
      </c>
      <c r="W384">
        <f>IFERROR(VLOOKUP(A384,Opening!$A:$D,4,0),0)</f>
        <v/>
      </c>
    </row>
    <row r="385">
      <c r="A385">
        <f>IF(Transactions!D385="","",UPPER(TRIM(Transactions!D385)))</f>
        <v/>
      </c>
      <c r="B385">
        <f>IF(Transactions!C385="","",UPPER(TRIM(Transactions!C385)))</f>
        <v/>
      </c>
      <c r="C385">
        <f>IF(Transactions!B385="",0,YEAR(Transactions!B385)*100+MONTH(Transactions!B385))</f>
        <v/>
      </c>
      <c r="D385">
        <f>IF(Transactions!A385="",1,IF(COUNTIF(Transactions!$A$1:A384,Transactions!A385)&gt;0,1,0))</f>
        <v/>
      </c>
      <c r="E385">
        <f>IF(D385=1,0,IF(B385="RETURN",IF(COUNTIFS($A$1:A384,A385,$B$1:B384,"SALE",$E$1:E384,1)&gt;0,1,0),1))</f>
        <v/>
      </c>
      <c r="F385">
        <f>IF(E385=1,IF(B385="RECEIPT",Transactions!E385,IF(AND(B385="RETURN",LOWER(TRIM(Transactions!H385))="resellable"),Transactions!E385,0)),0)</f>
        <v/>
      </c>
      <c r="G385">
        <f>IF(F385&gt;0,IF(B385="RECEIPT",Transactions!F385,IF(_xlfn.MAXIFS($H$2:H385,$A$2:A385,A385)&gt;0,INDEX(Transactions!$F:$F,_xlfn.MAXIFS($H$2:H385,$A$2:A385,A385)),W385)),0)</f>
        <v/>
      </c>
      <c r="H385">
        <f>IF(AND(E385=1,B385="RECEIPT"),ROW(),0)</f>
        <v/>
      </c>
      <c r="I385">
        <f>IF(E385=1,IF(OR(B385="SALE",B385="WRITEOFF"),Transactions!E385,0),0)</f>
        <v/>
      </c>
      <c r="J385">
        <f>SUMIFS($F$1:F384,$A$1:A384,A385)</f>
        <v/>
      </c>
      <c r="K385">
        <f>SUMIFS($I$1:I384,$A$1:A384,A385)</f>
        <v/>
      </c>
      <c r="L385">
        <f>IFERROR(VLOOKUP(A385,Opening!$A:$C,3,0),0)</f>
        <v/>
      </c>
      <c r="M385">
        <f>IF(I385=0,0,MAX(0,MIN(INDEX(Month!H$2:H$13,MATCH($A385,Month!$A$2:$A$13,0))-K385,I385)))</f>
        <v/>
      </c>
      <c r="N385">
        <f>IF(I385=0,0,MAX(0,MIN(INDEX(Month!I$2:I$13,MATCH($A385,Month!$A$2:$A$13,0))-K385,I385)))</f>
        <v/>
      </c>
      <c r="O385">
        <f>IF(I385=0,0,MAX(0,MIN(INDEX(Month!J$2:J$13,MATCH($A385,Month!$A$2:$A$13,0))-K385,I385)))</f>
        <v/>
      </c>
      <c r="P385">
        <f>IF(I385=0,0,(MIN(MAX(K385,0),L385)*W385+SUMPRODUCT((Calc!$A$2:$A$1001=A385)*Calc!$G$2:$G$1001*(((K385-(L385+Calc!$J$2:$J$1001))&gt;0)*((K385-(L385+Calc!$J$2:$J$1001))&lt;Calc!$F$2:$F$1001)*(K385-(L385+Calc!$J$2:$J$1001))+((K385-(L385+Calc!$J$2:$J$1001))&gt;=Calc!$F$2:$F$1001)*Calc!$F$2:$F$1001))))</f>
        <v/>
      </c>
      <c r="Q385">
        <f>IF(I385=0,0,(MIN(MAX((K385+M385),0),L385)*W385+SUMPRODUCT((Calc!$A$2:$A$1001=A385)*Calc!$G$2:$G$1001*((((K385+M385)-(L385+Calc!$J$2:$J$1001))&gt;0)*(((K385+M385)-(L385+Calc!$J$2:$J$1001))&lt;Calc!$F$2:$F$1001)*((K385+M385)-(L385+Calc!$J$2:$J$1001))+(((K385+M385)-(L385+Calc!$J$2:$J$1001))&gt;=Calc!$F$2:$F$1001)*Calc!$F$2:$F$1001))))</f>
        <v/>
      </c>
      <c r="R385">
        <f>IF(I385=0,0,(MIN(MAX((K385+N385),0),L385)*W385+SUMPRODUCT((Calc!$A$2:$A$1001=A385)*Calc!$G$2:$G$1001*((((K385+N385)-(L385+Calc!$J$2:$J$1001))&gt;0)*(((K385+N385)-(L385+Calc!$J$2:$J$1001))&lt;Calc!$F$2:$F$1001)*((K385+N385)-(L385+Calc!$J$2:$J$1001))+(((K385+N385)-(L385+Calc!$J$2:$J$1001))&gt;=Calc!$F$2:$F$1001)*Calc!$F$2:$F$1001))))</f>
        <v/>
      </c>
      <c r="S385">
        <f>IF(I385=0,0,(MIN(MAX((K385+O385),0),L385)*W385+SUMPRODUCT((Calc!$A$2:$A$1001=A385)*Calc!$G$2:$G$1001*((((K385+O385)-(L385+Calc!$J$2:$J$1001))&gt;0)*(((K385+O385)-(L385+Calc!$J$2:$J$1001))&lt;Calc!$F$2:$F$1001)*((K385+O385)-(L385+Calc!$J$2:$J$1001))+(((K385+O385)-(L385+Calc!$J$2:$J$1001))&gt;=Calc!$F$2:$F$1001)*Calc!$F$2:$F$1001))))</f>
        <v/>
      </c>
      <c r="T385">
        <f>IF(AND(E385=1,B385="RETURN"),Transactions!E385*Transactions!G385,0)</f>
        <v/>
      </c>
      <c r="U385">
        <f>IF(AND(E385=1,B385="EXPENSE"),Transactions!J385,0)</f>
        <v/>
      </c>
      <c r="V385">
        <f>IF(AND(Transactions!A385&lt;&gt;"",E385=0),ROW(),"")</f>
        <v/>
      </c>
      <c r="W385">
        <f>IFERROR(VLOOKUP(A385,Opening!$A:$D,4,0),0)</f>
        <v/>
      </c>
    </row>
    <row r="386">
      <c r="A386">
        <f>IF(Transactions!D386="","",UPPER(TRIM(Transactions!D386)))</f>
        <v/>
      </c>
      <c r="B386">
        <f>IF(Transactions!C386="","",UPPER(TRIM(Transactions!C386)))</f>
        <v/>
      </c>
      <c r="C386">
        <f>IF(Transactions!B386="",0,YEAR(Transactions!B386)*100+MONTH(Transactions!B386))</f>
        <v/>
      </c>
      <c r="D386">
        <f>IF(Transactions!A386="",1,IF(COUNTIF(Transactions!$A$1:A385,Transactions!A386)&gt;0,1,0))</f>
        <v/>
      </c>
      <c r="E386">
        <f>IF(D386=1,0,IF(B386="RETURN",IF(COUNTIFS($A$1:A385,A386,$B$1:B385,"SALE",$E$1:E385,1)&gt;0,1,0),1))</f>
        <v/>
      </c>
      <c r="F386">
        <f>IF(E386=1,IF(B386="RECEIPT",Transactions!E386,IF(AND(B386="RETURN",LOWER(TRIM(Transactions!H386))="resellable"),Transactions!E386,0)),0)</f>
        <v/>
      </c>
      <c r="G386">
        <f>IF(F386&gt;0,IF(B386="RECEIPT",Transactions!F386,IF(_xlfn.MAXIFS($H$2:H386,$A$2:A386,A386)&gt;0,INDEX(Transactions!$F:$F,_xlfn.MAXIFS($H$2:H386,$A$2:A386,A386)),W386)),0)</f>
        <v/>
      </c>
      <c r="H386">
        <f>IF(AND(E386=1,B386="RECEIPT"),ROW(),0)</f>
        <v/>
      </c>
      <c r="I386">
        <f>IF(E386=1,IF(OR(B386="SALE",B386="WRITEOFF"),Transactions!E386,0),0)</f>
        <v/>
      </c>
      <c r="J386">
        <f>SUMIFS($F$1:F385,$A$1:A385,A386)</f>
        <v/>
      </c>
      <c r="K386">
        <f>SUMIFS($I$1:I385,$A$1:A385,A386)</f>
        <v/>
      </c>
      <c r="L386">
        <f>IFERROR(VLOOKUP(A386,Opening!$A:$C,3,0),0)</f>
        <v/>
      </c>
      <c r="M386">
        <f>IF(I386=0,0,MAX(0,MIN(INDEX(Month!H$2:H$13,MATCH($A386,Month!$A$2:$A$13,0))-K386,I386)))</f>
        <v/>
      </c>
      <c r="N386">
        <f>IF(I386=0,0,MAX(0,MIN(INDEX(Month!I$2:I$13,MATCH($A386,Month!$A$2:$A$13,0))-K386,I386)))</f>
        <v/>
      </c>
      <c r="O386">
        <f>IF(I386=0,0,MAX(0,MIN(INDEX(Month!J$2:J$13,MATCH($A386,Month!$A$2:$A$13,0))-K386,I386)))</f>
        <v/>
      </c>
      <c r="P386">
        <f>IF(I386=0,0,(MIN(MAX(K386,0),L386)*W386+SUMPRODUCT((Calc!$A$2:$A$1001=A386)*Calc!$G$2:$G$1001*(((K386-(L386+Calc!$J$2:$J$1001))&gt;0)*((K386-(L386+Calc!$J$2:$J$1001))&lt;Calc!$F$2:$F$1001)*(K386-(L386+Calc!$J$2:$J$1001))+((K386-(L386+Calc!$J$2:$J$1001))&gt;=Calc!$F$2:$F$1001)*Calc!$F$2:$F$1001))))</f>
        <v/>
      </c>
      <c r="Q386">
        <f>IF(I386=0,0,(MIN(MAX((K386+M386),0),L386)*W386+SUMPRODUCT((Calc!$A$2:$A$1001=A386)*Calc!$G$2:$G$1001*((((K386+M386)-(L386+Calc!$J$2:$J$1001))&gt;0)*(((K386+M386)-(L386+Calc!$J$2:$J$1001))&lt;Calc!$F$2:$F$1001)*((K386+M386)-(L386+Calc!$J$2:$J$1001))+(((K386+M386)-(L386+Calc!$J$2:$J$1001))&gt;=Calc!$F$2:$F$1001)*Calc!$F$2:$F$1001))))</f>
        <v/>
      </c>
      <c r="R386">
        <f>IF(I386=0,0,(MIN(MAX((K386+N386),0),L386)*W386+SUMPRODUCT((Calc!$A$2:$A$1001=A386)*Calc!$G$2:$G$1001*((((K386+N386)-(L386+Calc!$J$2:$J$1001))&gt;0)*(((K386+N386)-(L386+Calc!$J$2:$J$1001))&lt;Calc!$F$2:$F$1001)*((K386+N386)-(L386+Calc!$J$2:$J$1001))+(((K386+N386)-(L386+Calc!$J$2:$J$1001))&gt;=Calc!$F$2:$F$1001)*Calc!$F$2:$F$1001))))</f>
        <v/>
      </c>
      <c r="S386">
        <f>IF(I386=0,0,(MIN(MAX((K386+O386),0),L386)*W386+SUMPRODUCT((Calc!$A$2:$A$1001=A386)*Calc!$G$2:$G$1001*((((K386+O386)-(L386+Calc!$J$2:$J$1001))&gt;0)*(((K386+O386)-(L386+Calc!$J$2:$J$1001))&lt;Calc!$F$2:$F$1001)*((K386+O386)-(L386+Calc!$J$2:$J$1001))+(((K386+O386)-(L386+Calc!$J$2:$J$1001))&gt;=Calc!$F$2:$F$1001)*Calc!$F$2:$F$1001))))</f>
        <v/>
      </c>
      <c r="T386">
        <f>IF(AND(E386=1,B386="RETURN"),Transactions!E386*Transactions!G386,0)</f>
        <v/>
      </c>
      <c r="U386">
        <f>IF(AND(E386=1,B386="EXPENSE"),Transactions!J386,0)</f>
        <v/>
      </c>
      <c r="V386">
        <f>IF(AND(Transactions!A386&lt;&gt;"",E386=0),ROW(),"")</f>
        <v/>
      </c>
      <c r="W386">
        <f>IFERROR(VLOOKUP(A386,Opening!$A:$D,4,0),0)</f>
        <v/>
      </c>
    </row>
    <row r="387">
      <c r="A387">
        <f>IF(Transactions!D387="","",UPPER(TRIM(Transactions!D387)))</f>
        <v/>
      </c>
      <c r="B387">
        <f>IF(Transactions!C387="","",UPPER(TRIM(Transactions!C387)))</f>
        <v/>
      </c>
      <c r="C387">
        <f>IF(Transactions!B387="",0,YEAR(Transactions!B387)*100+MONTH(Transactions!B387))</f>
        <v/>
      </c>
      <c r="D387">
        <f>IF(Transactions!A387="",1,IF(COUNTIF(Transactions!$A$1:A386,Transactions!A387)&gt;0,1,0))</f>
        <v/>
      </c>
      <c r="E387">
        <f>IF(D387=1,0,IF(B387="RETURN",IF(COUNTIFS($A$1:A386,A387,$B$1:B386,"SALE",$E$1:E386,1)&gt;0,1,0),1))</f>
        <v/>
      </c>
      <c r="F387">
        <f>IF(E387=1,IF(B387="RECEIPT",Transactions!E387,IF(AND(B387="RETURN",LOWER(TRIM(Transactions!H387))="resellable"),Transactions!E387,0)),0)</f>
        <v/>
      </c>
      <c r="G387">
        <f>IF(F387&gt;0,IF(B387="RECEIPT",Transactions!F387,IF(_xlfn.MAXIFS($H$2:H387,$A$2:A387,A387)&gt;0,INDEX(Transactions!$F:$F,_xlfn.MAXIFS($H$2:H387,$A$2:A387,A387)),W387)),0)</f>
        <v/>
      </c>
      <c r="H387">
        <f>IF(AND(E387=1,B387="RECEIPT"),ROW(),0)</f>
        <v/>
      </c>
      <c r="I387">
        <f>IF(E387=1,IF(OR(B387="SALE",B387="WRITEOFF"),Transactions!E387,0),0)</f>
        <v/>
      </c>
      <c r="J387">
        <f>SUMIFS($F$1:F386,$A$1:A386,A387)</f>
        <v/>
      </c>
      <c r="K387">
        <f>SUMIFS($I$1:I386,$A$1:A386,A387)</f>
        <v/>
      </c>
      <c r="L387">
        <f>IFERROR(VLOOKUP(A387,Opening!$A:$C,3,0),0)</f>
        <v/>
      </c>
      <c r="M387">
        <f>IF(I387=0,0,MAX(0,MIN(INDEX(Month!H$2:H$13,MATCH($A387,Month!$A$2:$A$13,0))-K387,I387)))</f>
        <v/>
      </c>
      <c r="N387">
        <f>IF(I387=0,0,MAX(0,MIN(INDEX(Month!I$2:I$13,MATCH($A387,Month!$A$2:$A$13,0))-K387,I387)))</f>
        <v/>
      </c>
      <c r="O387">
        <f>IF(I387=0,0,MAX(0,MIN(INDEX(Month!J$2:J$13,MATCH($A387,Month!$A$2:$A$13,0))-K387,I387)))</f>
        <v/>
      </c>
      <c r="P387">
        <f>IF(I387=0,0,(MIN(MAX(K387,0),L387)*W387+SUMPRODUCT((Calc!$A$2:$A$1001=A387)*Calc!$G$2:$G$1001*(((K387-(L387+Calc!$J$2:$J$1001))&gt;0)*((K387-(L387+Calc!$J$2:$J$1001))&lt;Calc!$F$2:$F$1001)*(K387-(L387+Calc!$J$2:$J$1001))+((K387-(L387+Calc!$J$2:$J$1001))&gt;=Calc!$F$2:$F$1001)*Calc!$F$2:$F$1001))))</f>
        <v/>
      </c>
      <c r="Q387">
        <f>IF(I387=0,0,(MIN(MAX((K387+M387),0),L387)*W387+SUMPRODUCT((Calc!$A$2:$A$1001=A387)*Calc!$G$2:$G$1001*((((K387+M387)-(L387+Calc!$J$2:$J$1001))&gt;0)*(((K387+M387)-(L387+Calc!$J$2:$J$1001))&lt;Calc!$F$2:$F$1001)*((K387+M387)-(L387+Calc!$J$2:$J$1001))+(((K387+M387)-(L387+Calc!$J$2:$J$1001))&gt;=Calc!$F$2:$F$1001)*Calc!$F$2:$F$1001))))</f>
        <v/>
      </c>
      <c r="R387">
        <f>IF(I387=0,0,(MIN(MAX((K387+N387),0),L387)*W387+SUMPRODUCT((Calc!$A$2:$A$1001=A387)*Calc!$G$2:$G$1001*((((K387+N387)-(L387+Calc!$J$2:$J$1001))&gt;0)*(((K387+N387)-(L387+Calc!$J$2:$J$1001))&lt;Calc!$F$2:$F$1001)*((K387+N387)-(L387+Calc!$J$2:$J$1001))+(((K387+N387)-(L387+Calc!$J$2:$J$1001))&gt;=Calc!$F$2:$F$1001)*Calc!$F$2:$F$1001))))</f>
        <v/>
      </c>
      <c r="S387">
        <f>IF(I387=0,0,(MIN(MAX((K387+O387),0),L387)*W387+SUMPRODUCT((Calc!$A$2:$A$1001=A387)*Calc!$G$2:$G$1001*((((K387+O387)-(L387+Calc!$J$2:$J$1001))&gt;0)*(((K387+O387)-(L387+Calc!$J$2:$J$1001))&lt;Calc!$F$2:$F$1001)*((K387+O387)-(L387+Calc!$J$2:$J$1001))+(((K387+O387)-(L387+Calc!$J$2:$J$1001))&gt;=Calc!$F$2:$F$1001)*Calc!$F$2:$F$1001))))</f>
        <v/>
      </c>
      <c r="T387">
        <f>IF(AND(E387=1,B387="RETURN"),Transactions!E387*Transactions!G387,0)</f>
        <v/>
      </c>
      <c r="U387">
        <f>IF(AND(E387=1,B387="EXPENSE"),Transactions!J387,0)</f>
        <v/>
      </c>
      <c r="V387">
        <f>IF(AND(Transactions!A387&lt;&gt;"",E387=0),ROW(),"")</f>
        <v/>
      </c>
      <c r="W387">
        <f>IFERROR(VLOOKUP(A387,Opening!$A:$D,4,0),0)</f>
        <v/>
      </c>
    </row>
    <row r="388">
      <c r="A388">
        <f>IF(Transactions!D388="","",UPPER(TRIM(Transactions!D388)))</f>
        <v/>
      </c>
      <c r="B388">
        <f>IF(Transactions!C388="","",UPPER(TRIM(Transactions!C388)))</f>
        <v/>
      </c>
      <c r="C388">
        <f>IF(Transactions!B388="",0,YEAR(Transactions!B388)*100+MONTH(Transactions!B388))</f>
        <v/>
      </c>
      <c r="D388">
        <f>IF(Transactions!A388="",1,IF(COUNTIF(Transactions!$A$1:A387,Transactions!A388)&gt;0,1,0))</f>
        <v/>
      </c>
      <c r="E388">
        <f>IF(D388=1,0,IF(B388="RETURN",IF(COUNTIFS($A$1:A387,A388,$B$1:B387,"SALE",$E$1:E387,1)&gt;0,1,0),1))</f>
        <v/>
      </c>
      <c r="F388">
        <f>IF(E388=1,IF(B388="RECEIPT",Transactions!E388,IF(AND(B388="RETURN",LOWER(TRIM(Transactions!H388))="resellable"),Transactions!E388,0)),0)</f>
        <v/>
      </c>
      <c r="G388">
        <f>IF(F388&gt;0,IF(B388="RECEIPT",Transactions!F388,IF(_xlfn.MAXIFS($H$2:H388,$A$2:A388,A388)&gt;0,INDEX(Transactions!$F:$F,_xlfn.MAXIFS($H$2:H388,$A$2:A388,A388)),W388)),0)</f>
        <v/>
      </c>
      <c r="H388">
        <f>IF(AND(E388=1,B388="RECEIPT"),ROW(),0)</f>
        <v/>
      </c>
      <c r="I388">
        <f>IF(E388=1,IF(OR(B388="SALE",B388="WRITEOFF"),Transactions!E388,0),0)</f>
        <v/>
      </c>
      <c r="J388">
        <f>SUMIFS($F$1:F387,$A$1:A387,A388)</f>
        <v/>
      </c>
      <c r="K388">
        <f>SUMIFS($I$1:I387,$A$1:A387,A388)</f>
        <v/>
      </c>
      <c r="L388">
        <f>IFERROR(VLOOKUP(A388,Opening!$A:$C,3,0),0)</f>
        <v/>
      </c>
      <c r="M388">
        <f>IF(I388=0,0,MAX(0,MIN(INDEX(Month!H$2:H$13,MATCH($A388,Month!$A$2:$A$13,0))-K388,I388)))</f>
        <v/>
      </c>
      <c r="N388">
        <f>IF(I388=0,0,MAX(0,MIN(INDEX(Month!I$2:I$13,MATCH($A388,Month!$A$2:$A$13,0))-K388,I388)))</f>
        <v/>
      </c>
      <c r="O388">
        <f>IF(I388=0,0,MAX(0,MIN(INDEX(Month!J$2:J$13,MATCH($A388,Month!$A$2:$A$13,0))-K388,I388)))</f>
        <v/>
      </c>
      <c r="P388">
        <f>IF(I388=0,0,(MIN(MAX(K388,0),L388)*W388+SUMPRODUCT((Calc!$A$2:$A$1001=A388)*Calc!$G$2:$G$1001*(((K388-(L388+Calc!$J$2:$J$1001))&gt;0)*((K388-(L388+Calc!$J$2:$J$1001))&lt;Calc!$F$2:$F$1001)*(K388-(L388+Calc!$J$2:$J$1001))+((K388-(L388+Calc!$J$2:$J$1001))&gt;=Calc!$F$2:$F$1001)*Calc!$F$2:$F$1001))))</f>
        <v/>
      </c>
      <c r="Q388">
        <f>IF(I388=0,0,(MIN(MAX((K388+M388),0),L388)*W388+SUMPRODUCT((Calc!$A$2:$A$1001=A388)*Calc!$G$2:$G$1001*((((K388+M388)-(L388+Calc!$J$2:$J$1001))&gt;0)*(((K388+M388)-(L388+Calc!$J$2:$J$1001))&lt;Calc!$F$2:$F$1001)*((K388+M388)-(L388+Calc!$J$2:$J$1001))+(((K388+M388)-(L388+Calc!$J$2:$J$1001))&gt;=Calc!$F$2:$F$1001)*Calc!$F$2:$F$1001))))</f>
        <v/>
      </c>
      <c r="R388">
        <f>IF(I388=0,0,(MIN(MAX((K388+N388),0),L388)*W388+SUMPRODUCT((Calc!$A$2:$A$1001=A388)*Calc!$G$2:$G$1001*((((K388+N388)-(L388+Calc!$J$2:$J$1001))&gt;0)*(((K388+N388)-(L388+Calc!$J$2:$J$1001))&lt;Calc!$F$2:$F$1001)*((K388+N388)-(L388+Calc!$J$2:$J$1001))+(((K388+N388)-(L388+Calc!$J$2:$J$1001))&gt;=Calc!$F$2:$F$1001)*Calc!$F$2:$F$1001))))</f>
        <v/>
      </c>
      <c r="S388">
        <f>IF(I388=0,0,(MIN(MAX((K388+O388),0),L388)*W388+SUMPRODUCT((Calc!$A$2:$A$1001=A388)*Calc!$G$2:$G$1001*((((K388+O388)-(L388+Calc!$J$2:$J$1001))&gt;0)*(((K388+O388)-(L388+Calc!$J$2:$J$1001))&lt;Calc!$F$2:$F$1001)*((K388+O388)-(L388+Calc!$J$2:$J$1001))+(((K388+O388)-(L388+Calc!$J$2:$J$1001))&gt;=Calc!$F$2:$F$1001)*Calc!$F$2:$F$1001))))</f>
        <v/>
      </c>
      <c r="T388">
        <f>IF(AND(E388=1,B388="RETURN"),Transactions!E388*Transactions!G388,0)</f>
        <v/>
      </c>
      <c r="U388">
        <f>IF(AND(E388=1,B388="EXPENSE"),Transactions!J388,0)</f>
        <v/>
      </c>
      <c r="V388">
        <f>IF(AND(Transactions!A388&lt;&gt;"",E388=0),ROW(),"")</f>
        <v/>
      </c>
      <c r="W388">
        <f>IFERROR(VLOOKUP(A388,Opening!$A:$D,4,0),0)</f>
        <v/>
      </c>
    </row>
    <row r="389">
      <c r="A389">
        <f>IF(Transactions!D389="","",UPPER(TRIM(Transactions!D389)))</f>
        <v/>
      </c>
      <c r="B389">
        <f>IF(Transactions!C389="","",UPPER(TRIM(Transactions!C389)))</f>
        <v/>
      </c>
      <c r="C389">
        <f>IF(Transactions!B389="",0,YEAR(Transactions!B389)*100+MONTH(Transactions!B389))</f>
        <v/>
      </c>
      <c r="D389">
        <f>IF(Transactions!A389="",1,IF(COUNTIF(Transactions!$A$1:A388,Transactions!A389)&gt;0,1,0))</f>
        <v/>
      </c>
      <c r="E389">
        <f>IF(D389=1,0,IF(B389="RETURN",IF(COUNTIFS($A$1:A388,A389,$B$1:B388,"SALE",$E$1:E388,1)&gt;0,1,0),1))</f>
        <v/>
      </c>
      <c r="F389">
        <f>IF(E389=1,IF(B389="RECEIPT",Transactions!E389,IF(AND(B389="RETURN",LOWER(TRIM(Transactions!H389))="resellable"),Transactions!E389,0)),0)</f>
        <v/>
      </c>
      <c r="G389">
        <f>IF(F389&gt;0,IF(B389="RECEIPT",Transactions!F389,IF(_xlfn.MAXIFS($H$2:H389,$A$2:A389,A389)&gt;0,INDEX(Transactions!$F:$F,_xlfn.MAXIFS($H$2:H389,$A$2:A389,A389)),W389)),0)</f>
        <v/>
      </c>
      <c r="H389">
        <f>IF(AND(E389=1,B389="RECEIPT"),ROW(),0)</f>
        <v/>
      </c>
      <c r="I389">
        <f>IF(E389=1,IF(OR(B389="SALE",B389="WRITEOFF"),Transactions!E389,0),0)</f>
        <v/>
      </c>
      <c r="J389">
        <f>SUMIFS($F$1:F388,$A$1:A388,A389)</f>
        <v/>
      </c>
      <c r="K389">
        <f>SUMIFS($I$1:I388,$A$1:A388,A389)</f>
        <v/>
      </c>
      <c r="L389">
        <f>IFERROR(VLOOKUP(A389,Opening!$A:$C,3,0),0)</f>
        <v/>
      </c>
      <c r="M389">
        <f>IF(I389=0,0,MAX(0,MIN(INDEX(Month!H$2:H$13,MATCH($A389,Month!$A$2:$A$13,0))-K389,I389)))</f>
        <v/>
      </c>
      <c r="N389">
        <f>IF(I389=0,0,MAX(0,MIN(INDEX(Month!I$2:I$13,MATCH($A389,Month!$A$2:$A$13,0))-K389,I389)))</f>
        <v/>
      </c>
      <c r="O389">
        <f>IF(I389=0,0,MAX(0,MIN(INDEX(Month!J$2:J$13,MATCH($A389,Month!$A$2:$A$13,0))-K389,I389)))</f>
        <v/>
      </c>
      <c r="P389">
        <f>IF(I389=0,0,(MIN(MAX(K389,0),L389)*W389+SUMPRODUCT((Calc!$A$2:$A$1001=A389)*Calc!$G$2:$G$1001*(((K389-(L389+Calc!$J$2:$J$1001))&gt;0)*((K389-(L389+Calc!$J$2:$J$1001))&lt;Calc!$F$2:$F$1001)*(K389-(L389+Calc!$J$2:$J$1001))+((K389-(L389+Calc!$J$2:$J$1001))&gt;=Calc!$F$2:$F$1001)*Calc!$F$2:$F$1001))))</f>
        <v/>
      </c>
      <c r="Q389">
        <f>IF(I389=0,0,(MIN(MAX((K389+M389),0),L389)*W389+SUMPRODUCT((Calc!$A$2:$A$1001=A389)*Calc!$G$2:$G$1001*((((K389+M389)-(L389+Calc!$J$2:$J$1001))&gt;0)*(((K389+M389)-(L389+Calc!$J$2:$J$1001))&lt;Calc!$F$2:$F$1001)*((K389+M389)-(L389+Calc!$J$2:$J$1001))+(((K389+M389)-(L389+Calc!$J$2:$J$1001))&gt;=Calc!$F$2:$F$1001)*Calc!$F$2:$F$1001))))</f>
        <v/>
      </c>
      <c r="R389">
        <f>IF(I389=0,0,(MIN(MAX((K389+N389),0),L389)*W389+SUMPRODUCT((Calc!$A$2:$A$1001=A389)*Calc!$G$2:$G$1001*((((K389+N389)-(L389+Calc!$J$2:$J$1001))&gt;0)*(((K389+N389)-(L389+Calc!$J$2:$J$1001))&lt;Calc!$F$2:$F$1001)*((K389+N389)-(L389+Calc!$J$2:$J$1001))+(((K389+N389)-(L389+Calc!$J$2:$J$1001))&gt;=Calc!$F$2:$F$1001)*Calc!$F$2:$F$1001))))</f>
        <v/>
      </c>
      <c r="S389">
        <f>IF(I389=0,0,(MIN(MAX((K389+O389),0),L389)*W389+SUMPRODUCT((Calc!$A$2:$A$1001=A389)*Calc!$G$2:$G$1001*((((K389+O389)-(L389+Calc!$J$2:$J$1001))&gt;0)*(((K389+O389)-(L389+Calc!$J$2:$J$1001))&lt;Calc!$F$2:$F$1001)*((K389+O389)-(L389+Calc!$J$2:$J$1001))+(((K389+O389)-(L389+Calc!$J$2:$J$1001))&gt;=Calc!$F$2:$F$1001)*Calc!$F$2:$F$1001))))</f>
        <v/>
      </c>
      <c r="T389">
        <f>IF(AND(E389=1,B389="RETURN"),Transactions!E389*Transactions!G389,0)</f>
        <v/>
      </c>
      <c r="U389">
        <f>IF(AND(E389=1,B389="EXPENSE"),Transactions!J389,0)</f>
        <v/>
      </c>
      <c r="V389">
        <f>IF(AND(Transactions!A389&lt;&gt;"",E389=0),ROW(),"")</f>
        <v/>
      </c>
      <c r="W389">
        <f>IFERROR(VLOOKUP(A389,Opening!$A:$D,4,0),0)</f>
        <v/>
      </c>
    </row>
    <row r="390">
      <c r="A390">
        <f>IF(Transactions!D390="","",UPPER(TRIM(Transactions!D390)))</f>
        <v/>
      </c>
      <c r="B390">
        <f>IF(Transactions!C390="","",UPPER(TRIM(Transactions!C390)))</f>
        <v/>
      </c>
      <c r="C390">
        <f>IF(Transactions!B390="",0,YEAR(Transactions!B390)*100+MONTH(Transactions!B390))</f>
        <v/>
      </c>
      <c r="D390">
        <f>IF(Transactions!A390="",1,IF(COUNTIF(Transactions!$A$1:A389,Transactions!A390)&gt;0,1,0))</f>
        <v/>
      </c>
      <c r="E390">
        <f>IF(D390=1,0,IF(B390="RETURN",IF(COUNTIFS($A$1:A389,A390,$B$1:B389,"SALE",$E$1:E389,1)&gt;0,1,0),1))</f>
        <v/>
      </c>
      <c r="F390">
        <f>IF(E390=1,IF(B390="RECEIPT",Transactions!E390,IF(AND(B390="RETURN",LOWER(TRIM(Transactions!H390))="resellable"),Transactions!E390,0)),0)</f>
        <v/>
      </c>
      <c r="G390">
        <f>IF(F390&gt;0,IF(B390="RECEIPT",Transactions!F390,IF(_xlfn.MAXIFS($H$2:H390,$A$2:A390,A390)&gt;0,INDEX(Transactions!$F:$F,_xlfn.MAXIFS($H$2:H390,$A$2:A390,A390)),W390)),0)</f>
        <v/>
      </c>
      <c r="H390">
        <f>IF(AND(E390=1,B390="RECEIPT"),ROW(),0)</f>
        <v/>
      </c>
      <c r="I390">
        <f>IF(E390=1,IF(OR(B390="SALE",B390="WRITEOFF"),Transactions!E390,0),0)</f>
        <v/>
      </c>
      <c r="J390">
        <f>SUMIFS($F$1:F389,$A$1:A389,A390)</f>
        <v/>
      </c>
      <c r="K390">
        <f>SUMIFS($I$1:I389,$A$1:A389,A390)</f>
        <v/>
      </c>
      <c r="L390">
        <f>IFERROR(VLOOKUP(A390,Opening!$A:$C,3,0),0)</f>
        <v/>
      </c>
      <c r="M390">
        <f>IF(I390=0,0,MAX(0,MIN(INDEX(Month!H$2:H$13,MATCH($A390,Month!$A$2:$A$13,0))-K390,I390)))</f>
        <v/>
      </c>
      <c r="N390">
        <f>IF(I390=0,0,MAX(0,MIN(INDEX(Month!I$2:I$13,MATCH($A390,Month!$A$2:$A$13,0))-K390,I390)))</f>
        <v/>
      </c>
      <c r="O390">
        <f>IF(I390=0,0,MAX(0,MIN(INDEX(Month!J$2:J$13,MATCH($A390,Month!$A$2:$A$13,0))-K390,I390)))</f>
        <v/>
      </c>
      <c r="P390">
        <f>IF(I390=0,0,(MIN(MAX(K390,0),L390)*W390+SUMPRODUCT((Calc!$A$2:$A$1001=A390)*Calc!$G$2:$G$1001*(((K390-(L390+Calc!$J$2:$J$1001))&gt;0)*((K390-(L390+Calc!$J$2:$J$1001))&lt;Calc!$F$2:$F$1001)*(K390-(L390+Calc!$J$2:$J$1001))+((K390-(L390+Calc!$J$2:$J$1001))&gt;=Calc!$F$2:$F$1001)*Calc!$F$2:$F$1001))))</f>
        <v/>
      </c>
      <c r="Q390">
        <f>IF(I390=0,0,(MIN(MAX((K390+M390),0),L390)*W390+SUMPRODUCT((Calc!$A$2:$A$1001=A390)*Calc!$G$2:$G$1001*((((K390+M390)-(L390+Calc!$J$2:$J$1001))&gt;0)*(((K390+M390)-(L390+Calc!$J$2:$J$1001))&lt;Calc!$F$2:$F$1001)*((K390+M390)-(L390+Calc!$J$2:$J$1001))+(((K390+M390)-(L390+Calc!$J$2:$J$1001))&gt;=Calc!$F$2:$F$1001)*Calc!$F$2:$F$1001))))</f>
        <v/>
      </c>
      <c r="R390">
        <f>IF(I390=0,0,(MIN(MAX((K390+N390),0),L390)*W390+SUMPRODUCT((Calc!$A$2:$A$1001=A390)*Calc!$G$2:$G$1001*((((K390+N390)-(L390+Calc!$J$2:$J$1001))&gt;0)*(((K390+N390)-(L390+Calc!$J$2:$J$1001))&lt;Calc!$F$2:$F$1001)*((K390+N390)-(L390+Calc!$J$2:$J$1001))+(((K390+N390)-(L390+Calc!$J$2:$J$1001))&gt;=Calc!$F$2:$F$1001)*Calc!$F$2:$F$1001))))</f>
        <v/>
      </c>
      <c r="S390">
        <f>IF(I390=0,0,(MIN(MAX((K390+O390),0),L390)*W390+SUMPRODUCT((Calc!$A$2:$A$1001=A390)*Calc!$G$2:$G$1001*((((K390+O390)-(L390+Calc!$J$2:$J$1001))&gt;0)*(((K390+O390)-(L390+Calc!$J$2:$J$1001))&lt;Calc!$F$2:$F$1001)*((K390+O390)-(L390+Calc!$J$2:$J$1001))+(((K390+O390)-(L390+Calc!$J$2:$J$1001))&gt;=Calc!$F$2:$F$1001)*Calc!$F$2:$F$1001))))</f>
        <v/>
      </c>
      <c r="T390">
        <f>IF(AND(E390=1,B390="RETURN"),Transactions!E390*Transactions!G390,0)</f>
        <v/>
      </c>
      <c r="U390">
        <f>IF(AND(E390=1,B390="EXPENSE"),Transactions!J390,0)</f>
        <v/>
      </c>
      <c r="V390">
        <f>IF(AND(Transactions!A390&lt;&gt;"",E390=0),ROW(),"")</f>
        <v/>
      </c>
      <c r="W390">
        <f>IFERROR(VLOOKUP(A390,Opening!$A:$D,4,0),0)</f>
        <v/>
      </c>
    </row>
    <row r="391">
      <c r="A391">
        <f>IF(Transactions!D391="","",UPPER(TRIM(Transactions!D391)))</f>
        <v/>
      </c>
      <c r="B391">
        <f>IF(Transactions!C391="","",UPPER(TRIM(Transactions!C391)))</f>
        <v/>
      </c>
      <c r="C391">
        <f>IF(Transactions!B391="",0,YEAR(Transactions!B391)*100+MONTH(Transactions!B391))</f>
        <v/>
      </c>
      <c r="D391">
        <f>IF(Transactions!A391="",1,IF(COUNTIF(Transactions!$A$1:A390,Transactions!A391)&gt;0,1,0))</f>
        <v/>
      </c>
      <c r="E391">
        <f>IF(D391=1,0,IF(B391="RETURN",IF(COUNTIFS($A$1:A390,A391,$B$1:B390,"SALE",$E$1:E390,1)&gt;0,1,0),1))</f>
        <v/>
      </c>
      <c r="F391">
        <f>IF(E391=1,IF(B391="RECEIPT",Transactions!E391,IF(AND(B391="RETURN",LOWER(TRIM(Transactions!H391))="resellable"),Transactions!E391,0)),0)</f>
        <v/>
      </c>
      <c r="G391">
        <f>IF(F391&gt;0,IF(B391="RECEIPT",Transactions!F391,IF(_xlfn.MAXIFS($H$2:H391,$A$2:A391,A391)&gt;0,INDEX(Transactions!$F:$F,_xlfn.MAXIFS($H$2:H391,$A$2:A391,A391)),W391)),0)</f>
        <v/>
      </c>
      <c r="H391">
        <f>IF(AND(E391=1,B391="RECEIPT"),ROW(),0)</f>
        <v/>
      </c>
      <c r="I391">
        <f>IF(E391=1,IF(OR(B391="SALE",B391="WRITEOFF"),Transactions!E391,0),0)</f>
        <v/>
      </c>
      <c r="J391">
        <f>SUMIFS($F$1:F390,$A$1:A390,A391)</f>
        <v/>
      </c>
      <c r="K391">
        <f>SUMIFS($I$1:I390,$A$1:A390,A391)</f>
        <v/>
      </c>
      <c r="L391">
        <f>IFERROR(VLOOKUP(A391,Opening!$A:$C,3,0),0)</f>
        <v/>
      </c>
      <c r="M391">
        <f>IF(I391=0,0,MAX(0,MIN(INDEX(Month!H$2:H$13,MATCH($A391,Month!$A$2:$A$13,0))-K391,I391)))</f>
        <v/>
      </c>
      <c r="N391">
        <f>IF(I391=0,0,MAX(0,MIN(INDEX(Month!I$2:I$13,MATCH($A391,Month!$A$2:$A$13,0))-K391,I391)))</f>
        <v/>
      </c>
      <c r="O391">
        <f>IF(I391=0,0,MAX(0,MIN(INDEX(Month!J$2:J$13,MATCH($A391,Month!$A$2:$A$13,0))-K391,I391)))</f>
        <v/>
      </c>
      <c r="P391">
        <f>IF(I391=0,0,(MIN(MAX(K391,0),L391)*W391+SUMPRODUCT((Calc!$A$2:$A$1001=A391)*Calc!$G$2:$G$1001*(((K391-(L391+Calc!$J$2:$J$1001))&gt;0)*((K391-(L391+Calc!$J$2:$J$1001))&lt;Calc!$F$2:$F$1001)*(K391-(L391+Calc!$J$2:$J$1001))+((K391-(L391+Calc!$J$2:$J$1001))&gt;=Calc!$F$2:$F$1001)*Calc!$F$2:$F$1001))))</f>
        <v/>
      </c>
      <c r="Q391">
        <f>IF(I391=0,0,(MIN(MAX((K391+M391),0),L391)*W391+SUMPRODUCT((Calc!$A$2:$A$1001=A391)*Calc!$G$2:$G$1001*((((K391+M391)-(L391+Calc!$J$2:$J$1001))&gt;0)*(((K391+M391)-(L391+Calc!$J$2:$J$1001))&lt;Calc!$F$2:$F$1001)*((K391+M391)-(L391+Calc!$J$2:$J$1001))+(((K391+M391)-(L391+Calc!$J$2:$J$1001))&gt;=Calc!$F$2:$F$1001)*Calc!$F$2:$F$1001))))</f>
        <v/>
      </c>
      <c r="R391">
        <f>IF(I391=0,0,(MIN(MAX((K391+N391),0),L391)*W391+SUMPRODUCT((Calc!$A$2:$A$1001=A391)*Calc!$G$2:$G$1001*((((K391+N391)-(L391+Calc!$J$2:$J$1001))&gt;0)*(((K391+N391)-(L391+Calc!$J$2:$J$1001))&lt;Calc!$F$2:$F$1001)*((K391+N391)-(L391+Calc!$J$2:$J$1001))+(((K391+N391)-(L391+Calc!$J$2:$J$1001))&gt;=Calc!$F$2:$F$1001)*Calc!$F$2:$F$1001))))</f>
        <v/>
      </c>
      <c r="S391">
        <f>IF(I391=0,0,(MIN(MAX((K391+O391),0),L391)*W391+SUMPRODUCT((Calc!$A$2:$A$1001=A391)*Calc!$G$2:$G$1001*((((K391+O391)-(L391+Calc!$J$2:$J$1001))&gt;0)*(((K391+O391)-(L391+Calc!$J$2:$J$1001))&lt;Calc!$F$2:$F$1001)*((K391+O391)-(L391+Calc!$J$2:$J$1001))+(((K391+O391)-(L391+Calc!$J$2:$J$1001))&gt;=Calc!$F$2:$F$1001)*Calc!$F$2:$F$1001))))</f>
        <v/>
      </c>
      <c r="T391">
        <f>IF(AND(E391=1,B391="RETURN"),Transactions!E391*Transactions!G391,0)</f>
        <v/>
      </c>
      <c r="U391">
        <f>IF(AND(E391=1,B391="EXPENSE"),Transactions!J391,0)</f>
        <v/>
      </c>
      <c r="V391">
        <f>IF(AND(Transactions!A391&lt;&gt;"",E391=0),ROW(),"")</f>
        <v/>
      </c>
      <c r="W391">
        <f>IFERROR(VLOOKUP(A391,Opening!$A:$D,4,0),0)</f>
        <v/>
      </c>
    </row>
    <row r="392">
      <c r="A392">
        <f>IF(Transactions!D392="","",UPPER(TRIM(Transactions!D392)))</f>
        <v/>
      </c>
      <c r="B392">
        <f>IF(Transactions!C392="","",UPPER(TRIM(Transactions!C392)))</f>
        <v/>
      </c>
      <c r="C392">
        <f>IF(Transactions!B392="",0,YEAR(Transactions!B392)*100+MONTH(Transactions!B392))</f>
        <v/>
      </c>
      <c r="D392">
        <f>IF(Transactions!A392="",1,IF(COUNTIF(Transactions!$A$1:A391,Transactions!A392)&gt;0,1,0))</f>
        <v/>
      </c>
      <c r="E392">
        <f>IF(D392=1,0,IF(B392="RETURN",IF(COUNTIFS($A$1:A391,A392,$B$1:B391,"SALE",$E$1:E391,1)&gt;0,1,0),1))</f>
        <v/>
      </c>
      <c r="F392">
        <f>IF(E392=1,IF(B392="RECEIPT",Transactions!E392,IF(AND(B392="RETURN",LOWER(TRIM(Transactions!H392))="resellable"),Transactions!E392,0)),0)</f>
        <v/>
      </c>
      <c r="G392">
        <f>IF(F392&gt;0,IF(B392="RECEIPT",Transactions!F392,IF(_xlfn.MAXIFS($H$2:H392,$A$2:A392,A392)&gt;0,INDEX(Transactions!$F:$F,_xlfn.MAXIFS($H$2:H392,$A$2:A392,A392)),W392)),0)</f>
        <v/>
      </c>
      <c r="H392">
        <f>IF(AND(E392=1,B392="RECEIPT"),ROW(),0)</f>
        <v/>
      </c>
      <c r="I392">
        <f>IF(E392=1,IF(OR(B392="SALE",B392="WRITEOFF"),Transactions!E392,0),0)</f>
        <v/>
      </c>
      <c r="J392">
        <f>SUMIFS($F$1:F391,$A$1:A391,A392)</f>
        <v/>
      </c>
      <c r="K392">
        <f>SUMIFS($I$1:I391,$A$1:A391,A392)</f>
        <v/>
      </c>
      <c r="L392">
        <f>IFERROR(VLOOKUP(A392,Opening!$A:$C,3,0),0)</f>
        <v/>
      </c>
      <c r="M392">
        <f>IF(I392=0,0,MAX(0,MIN(INDEX(Month!H$2:H$13,MATCH($A392,Month!$A$2:$A$13,0))-K392,I392)))</f>
        <v/>
      </c>
      <c r="N392">
        <f>IF(I392=0,0,MAX(0,MIN(INDEX(Month!I$2:I$13,MATCH($A392,Month!$A$2:$A$13,0))-K392,I392)))</f>
        <v/>
      </c>
      <c r="O392">
        <f>IF(I392=0,0,MAX(0,MIN(INDEX(Month!J$2:J$13,MATCH($A392,Month!$A$2:$A$13,0))-K392,I392)))</f>
        <v/>
      </c>
      <c r="P392">
        <f>IF(I392=0,0,(MIN(MAX(K392,0),L392)*W392+SUMPRODUCT((Calc!$A$2:$A$1001=A392)*Calc!$G$2:$G$1001*(((K392-(L392+Calc!$J$2:$J$1001))&gt;0)*((K392-(L392+Calc!$J$2:$J$1001))&lt;Calc!$F$2:$F$1001)*(K392-(L392+Calc!$J$2:$J$1001))+((K392-(L392+Calc!$J$2:$J$1001))&gt;=Calc!$F$2:$F$1001)*Calc!$F$2:$F$1001))))</f>
        <v/>
      </c>
      <c r="Q392">
        <f>IF(I392=0,0,(MIN(MAX((K392+M392),0),L392)*W392+SUMPRODUCT((Calc!$A$2:$A$1001=A392)*Calc!$G$2:$G$1001*((((K392+M392)-(L392+Calc!$J$2:$J$1001))&gt;0)*(((K392+M392)-(L392+Calc!$J$2:$J$1001))&lt;Calc!$F$2:$F$1001)*((K392+M392)-(L392+Calc!$J$2:$J$1001))+(((K392+M392)-(L392+Calc!$J$2:$J$1001))&gt;=Calc!$F$2:$F$1001)*Calc!$F$2:$F$1001))))</f>
        <v/>
      </c>
      <c r="R392">
        <f>IF(I392=0,0,(MIN(MAX((K392+N392),0),L392)*W392+SUMPRODUCT((Calc!$A$2:$A$1001=A392)*Calc!$G$2:$G$1001*((((K392+N392)-(L392+Calc!$J$2:$J$1001))&gt;0)*(((K392+N392)-(L392+Calc!$J$2:$J$1001))&lt;Calc!$F$2:$F$1001)*((K392+N392)-(L392+Calc!$J$2:$J$1001))+(((K392+N392)-(L392+Calc!$J$2:$J$1001))&gt;=Calc!$F$2:$F$1001)*Calc!$F$2:$F$1001))))</f>
        <v/>
      </c>
      <c r="S392">
        <f>IF(I392=0,0,(MIN(MAX((K392+O392),0),L392)*W392+SUMPRODUCT((Calc!$A$2:$A$1001=A392)*Calc!$G$2:$G$1001*((((K392+O392)-(L392+Calc!$J$2:$J$1001))&gt;0)*(((K392+O392)-(L392+Calc!$J$2:$J$1001))&lt;Calc!$F$2:$F$1001)*((K392+O392)-(L392+Calc!$J$2:$J$1001))+(((K392+O392)-(L392+Calc!$J$2:$J$1001))&gt;=Calc!$F$2:$F$1001)*Calc!$F$2:$F$1001))))</f>
        <v/>
      </c>
      <c r="T392">
        <f>IF(AND(E392=1,B392="RETURN"),Transactions!E392*Transactions!G392,0)</f>
        <v/>
      </c>
      <c r="U392">
        <f>IF(AND(E392=1,B392="EXPENSE"),Transactions!J392,0)</f>
        <v/>
      </c>
      <c r="V392">
        <f>IF(AND(Transactions!A392&lt;&gt;"",E392=0),ROW(),"")</f>
        <v/>
      </c>
      <c r="W392">
        <f>IFERROR(VLOOKUP(A392,Opening!$A:$D,4,0),0)</f>
        <v/>
      </c>
    </row>
    <row r="393">
      <c r="A393">
        <f>IF(Transactions!D393="","",UPPER(TRIM(Transactions!D393)))</f>
        <v/>
      </c>
      <c r="B393">
        <f>IF(Transactions!C393="","",UPPER(TRIM(Transactions!C393)))</f>
        <v/>
      </c>
      <c r="C393">
        <f>IF(Transactions!B393="",0,YEAR(Transactions!B393)*100+MONTH(Transactions!B393))</f>
        <v/>
      </c>
      <c r="D393">
        <f>IF(Transactions!A393="",1,IF(COUNTIF(Transactions!$A$1:A392,Transactions!A393)&gt;0,1,0))</f>
        <v/>
      </c>
      <c r="E393">
        <f>IF(D393=1,0,IF(B393="RETURN",IF(COUNTIFS($A$1:A392,A393,$B$1:B392,"SALE",$E$1:E392,1)&gt;0,1,0),1))</f>
        <v/>
      </c>
      <c r="F393">
        <f>IF(E393=1,IF(B393="RECEIPT",Transactions!E393,IF(AND(B393="RETURN",LOWER(TRIM(Transactions!H393))="resellable"),Transactions!E393,0)),0)</f>
        <v/>
      </c>
      <c r="G393">
        <f>IF(F393&gt;0,IF(B393="RECEIPT",Transactions!F393,IF(_xlfn.MAXIFS($H$2:H393,$A$2:A393,A393)&gt;0,INDEX(Transactions!$F:$F,_xlfn.MAXIFS($H$2:H393,$A$2:A393,A393)),W393)),0)</f>
        <v/>
      </c>
      <c r="H393">
        <f>IF(AND(E393=1,B393="RECEIPT"),ROW(),0)</f>
        <v/>
      </c>
      <c r="I393">
        <f>IF(E393=1,IF(OR(B393="SALE",B393="WRITEOFF"),Transactions!E393,0),0)</f>
        <v/>
      </c>
      <c r="J393">
        <f>SUMIFS($F$1:F392,$A$1:A392,A393)</f>
        <v/>
      </c>
      <c r="K393">
        <f>SUMIFS($I$1:I392,$A$1:A392,A393)</f>
        <v/>
      </c>
      <c r="L393">
        <f>IFERROR(VLOOKUP(A393,Opening!$A:$C,3,0),0)</f>
        <v/>
      </c>
      <c r="M393">
        <f>IF(I393=0,0,MAX(0,MIN(INDEX(Month!H$2:H$13,MATCH($A393,Month!$A$2:$A$13,0))-K393,I393)))</f>
        <v/>
      </c>
      <c r="N393">
        <f>IF(I393=0,0,MAX(0,MIN(INDEX(Month!I$2:I$13,MATCH($A393,Month!$A$2:$A$13,0))-K393,I393)))</f>
        <v/>
      </c>
      <c r="O393">
        <f>IF(I393=0,0,MAX(0,MIN(INDEX(Month!J$2:J$13,MATCH($A393,Month!$A$2:$A$13,0))-K393,I393)))</f>
        <v/>
      </c>
      <c r="P393">
        <f>IF(I393=0,0,(MIN(MAX(K393,0),L393)*W393+SUMPRODUCT((Calc!$A$2:$A$1001=A393)*Calc!$G$2:$G$1001*(((K393-(L393+Calc!$J$2:$J$1001))&gt;0)*((K393-(L393+Calc!$J$2:$J$1001))&lt;Calc!$F$2:$F$1001)*(K393-(L393+Calc!$J$2:$J$1001))+((K393-(L393+Calc!$J$2:$J$1001))&gt;=Calc!$F$2:$F$1001)*Calc!$F$2:$F$1001))))</f>
        <v/>
      </c>
      <c r="Q393">
        <f>IF(I393=0,0,(MIN(MAX((K393+M393),0),L393)*W393+SUMPRODUCT((Calc!$A$2:$A$1001=A393)*Calc!$G$2:$G$1001*((((K393+M393)-(L393+Calc!$J$2:$J$1001))&gt;0)*(((K393+M393)-(L393+Calc!$J$2:$J$1001))&lt;Calc!$F$2:$F$1001)*((K393+M393)-(L393+Calc!$J$2:$J$1001))+(((K393+M393)-(L393+Calc!$J$2:$J$1001))&gt;=Calc!$F$2:$F$1001)*Calc!$F$2:$F$1001))))</f>
        <v/>
      </c>
      <c r="R393">
        <f>IF(I393=0,0,(MIN(MAX((K393+N393),0),L393)*W393+SUMPRODUCT((Calc!$A$2:$A$1001=A393)*Calc!$G$2:$G$1001*((((K393+N393)-(L393+Calc!$J$2:$J$1001))&gt;0)*(((K393+N393)-(L393+Calc!$J$2:$J$1001))&lt;Calc!$F$2:$F$1001)*((K393+N393)-(L393+Calc!$J$2:$J$1001))+(((K393+N393)-(L393+Calc!$J$2:$J$1001))&gt;=Calc!$F$2:$F$1001)*Calc!$F$2:$F$1001))))</f>
        <v/>
      </c>
      <c r="S393">
        <f>IF(I393=0,0,(MIN(MAX((K393+O393),0),L393)*W393+SUMPRODUCT((Calc!$A$2:$A$1001=A393)*Calc!$G$2:$G$1001*((((K393+O393)-(L393+Calc!$J$2:$J$1001))&gt;0)*(((K393+O393)-(L393+Calc!$J$2:$J$1001))&lt;Calc!$F$2:$F$1001)*((K393+O393)-(L393+Calc!$J$2:$J$1001))+(((K393+O393)-(L393+Calc!$J$2:$J$1001))&gt;=Calc!$F$2:$F$1001)*Calc!$F$2:$F$1001))))</f>
        <v/>
      </c>
      <c r="T393">
        <f>IF(AND(E393=1,B393="RETURN"),Transactions!E393*Transactions!G393,0)</f>
        <v/>
      </c>
      <c r="U393">
        <f>IF(AND(E393=1,B393="EXPENSE"),Transactions!J393,0)</f>
        <v/>
      </c>
      <c r="V393">
        <f>IF(AND(Transactions!A393&lt;&gt;"",E393=0),ROW(),"")</f>
        <v/>
      </c>
      <c r="W393">
        <f>IFERROR(VLOOKUP(A393,Opening!$A:$D,4,0),0)</f>
        <v/>
      </c>
    </row>
    <row r="394">
      <c r="A394">
        <f>IF(Transactions!D394="","",UPPER(TRIM(Transactions!D394)))</f>
        <v/>
      </c>
      <c r="B394">
        <f>IF(Transactions!C394="","",UPPER(TRIM(Transactions!C394)))</f>
        <v/>
      </c>
      <c r="C394">
        <f>IF(Transactions!B394="",0,YEAR(Transactions!B394)*100+MONTH(Transactions!B394))</f>
        <v/>
      </c>
      <c r="D394">
        <f>IF(Transactions!A394="",1,IF(COUNTIF(Transactions!$A$1:A393,Transactions!A394)&gt;0,1,0))</f>
        <v/>
      </c>
      <c r="E394">
        <f>IF(D394=1,0,IF(B394="RETURN",IF(COUNTIFS($A$1:A393,A394,$B$1:B393,"SALE",$E$1:E393,1)&gt;0,1,0),1))</f>
        <v/>
      </c>
      <c r="F394">
        <f>IF(E394=1,IF(B394="RECEIPT",Transactions!E394,IF(AND(B394="RETURN",LOWER(TRIM(Transactions!H394))="resellable"),Transactions!E394,0)),0)</f>
        <v/>
      </c>
      <c r="G394">
        <f>IF(F394&gt;0,IF(B394="RECEIPT",Transactions!F394,IF(_xlfn.MAXIFS($H$2:H394,$A$2:A394,A394)&gt;0,INDEX(Transactions!$F:$F,_xlfn.MAXIFS($H$2:H394,$A$2:A394,A394)),W394)),0)</f>
        <v/>
      </c>
      <c r="H394">
        <f>IF(AND(E394=1,B394="RECEIPT"),ROW(),0)</f>
        <v/>
      </c>
      <c r="I394">
        <f>IF(E394=1,IF(OR(B394="SALE",B394="WRITEOFF"),Transactions!E394,0),0)</f>
        <v/>
      </c>
      <c r="J394">
        <f>SUMIFS($F$1:F393,$A$1:A393,A394)</f>
        <v/>
      </c>
      <c r="K394">
        <f>SUMIFS($I$1:I393,$A$1:A393,A394)</f>
        <v/>
      </c>
      <c r="L394">
        <f>IFERROR(VLOOKUP(A394,Opening!$A:$C,3,0),0)</f>
        <v/>
      </c>
      <c r="M394">
        <f>IF(I394=0,0,MAX(0,MIN(INDEX(Month!H$2:H$13,MATCH($A394,Month!$A$2:$A$13,0))-K394,I394)))</f>
        <v/>
      </c>
      <c r="N394">
        <f>IF(I394=0,0,MAX(0,MIN(INDEX(Month!I$2:I$13,MATCH($A394,Month!$A$2:$A$13,0))-K394,I394)))</f>
        <v/>
      </c>
      <c r="O394">
        <f>IF(I394=0,0,MAX(0,MIN(INDEX(Month!J$2:J$13,MATCH($A394,Month!$A$2:$A$13,0))-K394,I394)))</f>
        <v/>
      </c>
      <c r="P394">
        <f>IF(I394=0,0,(MIN(MAX(K394,0),L394)*W394+SUMPRODUCT((Calc!$A$2:$A$1001=A394)*Calc!$G$2:$G$1001*(((K394-(L394+Calc!$J$2:$J$1001))&gt;0)*((K394-(L394+Calc!$J$2:$J$1001))&lt;Calc!$F$2:$F$1001)*(K394-(L394+Calc!$J$2:$J$1001))+((K394-(L394+Calc!$J$2:$J$1001))&gt;=Calc!$F$2:$F$1001)*Calc!$F$2:$F$1001))))</f>
        <v/>
      </c>
      <c r="Q394">
        <f>IF(I394=0,0,(MIN(MAX((K394+M394),0),L394)*W394+SUMPRODUCT((Calc!$A$2:$A$1001=A394)*Calc!$G$2:$G$1001*((((K394+M394)-(L394+Calc!$J$2:$J$1001))&gt;0)*(((K394+M394)-(L394+Calc!$J$2:$J$1001))&lt;Calc!$F$2:$F$1001)*((K394+M394)-(L394+Calc!$J$2:$J$1001))+(((K394+M394)-(L394+Calc!$J$2:$J$1001))&gt;=Calc!$F$2:$F$1001)*Calc!$F$2:$F$1001))))</f>
        <v/>
      </c>
      <c r="R394">
        <f>IF(I394=0,0,(MIN(MAX((K394+N394),0),L394)*W394+SUMPRODUCT((Calc!$A$2:$A$1001=A394)*Calc!$G$2:$G$1001*((((K394+N394)-(L394+Calc!$J$2:$J$1001))&gt;0)*(((K394+N394)-(L394+Calc!$J$2:$J$1001))&lt;Calc!$F$2:$F$1001)*((K394+N394)-(L394+Calc!$J$2:$J$1001))+(((K394+N394)-(L394+Calc!$J$2:$J$1001))&gt;=Calc!$F$2:$F$1001)*Calc!$F$2:$F$1001))))</f>
        <v/>
      </c>
      <c r="S394">
        <f>IF(I394=0,0,(MIN(MAX((K394+O394),0),L394)*W394+SUMPRODUCT((Calc!$A$2:$A$1001=A394)*Calc!$G$2:$G$1001*((((K394+O394)-(L394+Calc!$J$2:$J$1001))&gt;0)*(((K394+O394)-(L394+Calc!$J$2:$J$1001))&lt;Calc!$F$2:$F$1001)*((K394+O394)-(L394+Calc!$J$2:$J$1001))+(((K394+O394)-(L394+Calc!$J$2:$J$1001))&gt;=Calc!$F$2:$F$1001)*Calc!$F$2:$F$1001))))</f>
        <v/>
      </c>
      <c r="T394">
        <f>IF(AND(E394=1,B394="RETURN"),Transactions!E394*Transactions!G394,0)</f>
        <v/>
      </c>
      <c r="U394">
        <f>IF(AND(E394=1,B394="EXPENSE"),Transactions!J394,0)</f>
        <v/>
      </c>
      <c r="V394">
        <f>IF(AND(Transactions!A394&lt;&gt;"",E394=0),ROW(),"")</f>
        <v/>
      </c>
      <c r="W394">
        <f>IFERROR(VLOOKUP(A394,Opening!$A:$D,4,0),0)</f>
        <v/>
      </c>
    </row>
    <row r="395">
      <c r="A395">
        <f>IF(Transactions!D395="","",UPPER(TRIM(Transactions!D395)))</f>
        <v/>
      </c>
      <c r="B395">
        <f>IF(Transactions!C395="","",UPPER(TRIM(Transactions!C395)))</f>
        <v/>
      </c>
      <c r="C395">
        <f>IF(Transactions!B395="",0,YEAR(Transactions!B395)*100+MONTH(Transactions!B395))</f>
        <v/>
      </c>
      <c r="D395">
        <f>IF(Transactions!A395="",1,IF(COUNTIF(Transactions!$A$1:A394,Transactions!A395)&gt;0,1,0))</f>
        <v/>
      </c>
      <c r="E395">
        <f>IF(D395=1,0,IF(B395="RETURN",IF(COUNTIFS($A$1:A394,A395,$B$1:B394,"SALE",$E$1:E394,1)&gt;0,1,0),1))</f>
        <v/>
      </c>
      <c r="F395">
        <f>IF(E395=1,IF(B395="RECEIPT",Transactions!E395,IF(AND(B395="RETURN",LOWER(TRIM(Transactions!H395))="resellable"),Transactions!E395,0)),0)</f>
        <v/>
      </c>
      <c r="G395">
        <f>IF(F395&gt;0,IF(B395="RECEIPT",Transactions!F395,IF(_xlfn.MAXIFS($H$2:H395,$A$2:A395,A395)&gt;0,INDEX(Transactions!$F:$F,_xlfn.MAXIFS($H$2:H395,$A$2:A395,A395)),W395)),0)</f>
        <v/>
      </c>
      <c r="H395">
        <f>IF(AND(E395=1,B395="RECEIPT"),ROW(),0)</f>
        <v/>
      </c>
      <c r="I395">
        <f>IF(E395=1,IF(OR(B395="SALE",B395="WRITEOFF"),Transactions!E395,0),0)</f>
        <v/>
      </c>
      <c r="J395">
        <f>SUMIFS($F$1:F394,$A$1:A394,A395)</f>
        <v/>
      </c>
      <c r="K395">
        <f>SUMIFS($I$1:I394,$A$1:A394,A395)</f>
        <v/>
      </c>
      <c r="L395">
        <f>IFERROR(VLOOKUP(A395,Opening!$A:$C,3,0),0)</f>
        <v/>
      </c>
      <c r="M395">
        <f>IF(I395=0,0,MAX(0,MIN(INDEX(Month!H$2:H$13,MATCH($A395,Month!$A$2:$A$13,0))-K395,I395)))</f>
        <v/>
      </c>
      <c r="N395">
        <f>IF(I395=0,0,MAX(0,MIN(INDEX(Month!I$2:I$13,MATCH($A395,Month!$A$2:$A$13,0))-K395,I395)))</f>
        <v/>
      </c>
      <c r="O395">
        <f>IF(I395=0,0,MAX(0,MIN(INDEX(Month!J$2:J$13,MATCH($A395,Month!$A$2:$A$13,0))-K395,I395)))</f>
        <v/>
      </c>
      <c r="P395">
        <f>IF(I395=0,0,(MIN(MAX(K395,0),L395)*W395+SUMPRODUCT((Calc!$A$2:$A$1001=A395)*Calc!$G$2:$G$1001*(((K395-(L395+Calc!$J$2:$J$1001))&gt;0)*((K395-(L395+Calc!$J$2:$J$1001))&lt;Calc!$F$2:$F$1001)*(K395-(L395+Calc!$J$2:$J$1001))+((K395-(L395+Calc!$J$2:$J$1001))&gt;=Calc!$F$2:$F$1001)*Calc!$F$2:$F$1001))))</f>
        <v/>
      </c>
      <c r="Q395">
        <f>IF(I395=0,0,(MIN(MAX((K395+M395),0),L395)*W395+SUMPRODUCT((Calc!$A$2:$A$1001=A395)*Calc!$G$2:$G$1001*((((K395+M395)-(L395+Calc!$J$2:$J$1001))&gt;0)*(((K395+M395)-(L395+Calc!$J$2:$J$1001))&lt;Calc!$F$2:$F$1001)*((K395+M395)-(L395+Calc!$J$2:$J$1001))+(((K395+M395)-(L395+Calc!$J$2:$J$1001))&gt;=Calc!$F$2:$F$1001)*Calc!$F$2:$F$1001))))</f>
        <v/>
      </c>
      <c r="R395">
        <f>IF(I395=0,0,(MIN(MAX((K395+N395),0),L395)*W395+SUMPRODUCT((Calc!$A$2:$A$1001=A395)*Calc!$G$2:$G$1001*((((K395+N395)-(L395+Calc!$J$2:$J$1001))&gt;0)*(((K395+N395)-(L395+Calc!$J$2:$J$1001))&lt;Calc!$F$2:$F$1001)*((K395+N395)-(L395+Calc!$J$2:$J$1001))+(((K395+N395)-(L395+Calc!$J$2:$J$1001))&gt;=Calc!$F$2:$F$1001)*Calc!$F$2:$F$1001))))</f>
        <v/>
      </c>
      <c r="S395">
        <f>IF(I395=0,0,(MIN(MAX((K395+O395),0),L395)*W395+SUMPRODUCT((Calc!$A$2:$A$1001=A395)*Calc!$G$2:$G$1001*((((K395+O395)-(L395+Calc!$J$2:$J$1001))&gt;0)*(((K395+O395)-(L395+Calc!$J$2:$J$1001))&lt;Calc!$F$2:$F$1001)*((K395+O395)-(L395+Calc!$J$2:$J$1001))+(((K395+O395)-(L395+Calc!$J$2:$J$1001))&gt;=Calc!$F$2:$F$1001)*Calc!$F$2:$F$1001))))</f>
        <v/>
      </c>
      <c r="T395">
        <f>IF(AND(E395=1,B395="RETURN"),Transactions!E395*Transactions!G395,0)</f>
        <v/>
      </c>
      <c r="U395">
        <f>IF(AND(E395=1,B395="EXPENSE"),Transactions!J395,0)</f>
        <v/>
      </c>
      <c r="V395">
        <f>IF(AND(Transactions!A395&lt;&gt;"",E395=0),ROW(),"")</f>
        <v/>
      </c>
      <c r="W395">
        <f>IFERROR(VLOOKUP(A395,Opening!$A:$D,4,0),0)</f>
        <v/>
      </c>
    </row>
    <row r="396">
      <c r="A396">
        <f>IF(Transactions!D396="","",UPPER(TRIM(Transactions!D396)))</f>
        <v/>
      </c>
      <c r="B396">
        <f>IF(Transactions!C396="","",UPPER(TRIM(Transactions!C396)))</f>
        <v/>
      </c>
      <c r="C396">
        <f>IF(Transactions!B396="",0,YEAR(Transactions!B396)*100+MONTH(Transactions!B396))</f>
        <v/>
      </c>
      <c r="D396">
        <f>IF(Transactions!A396="",1,IF(COUNTIF(Transactions!$A$1:A395,Transactions!A396)&gt;0,1,0))</f>
        <v/>
      </c>
      <c r="E396">
        <f>IF(D396=1,0,IF(B396="RETURN",IF(COUNTIFS($A$1:A395,A396,$B$1:B395,"SALE",$E$1:E395,1)&gt;0,1,0),1))</f>
        <v/>
      </c>
      <c r="F396">
        <f>IF(E396=1,IF(B396="RECEIPT",Transactions!E396,IF(AND(B396="RETURN",LOWER(TRIM(Transactions!H396))="resellable"),Transactions!E396,0)),0)</f>
        <v/>
      </c>
      <c r="G396">
        <f>IF(F396&gt;0,IF(B396="RECEIPT",Transactions!F396,IF(_xlfn.MAXIFS($H$2:H396,$A$2:A396,A396)&gt;0,INDEX(Transactions!$F:$F,_xlfn.MAXIFS($H$2:H396,$A$2:A396,A396)),W396)),0)</f>
        <v/>
      </c>
      <c r="H396">
        <f>IF(AND(E396=1,B396="RECEIPT"),ROW(),0)</f>
        <v/>
      </c>
      <c r="I396">
        <f>IF(E396=1,IF(OR(B396="SALE",B396="WRITEOFF"),Transactions!E396,0),0)</f>
        <v/>
      </c>
      <c r="J396">
        <f>SUMIFS($F$1:F395,$A$1:A395,A396)</f>
        <v/>
      </c>
      <c r="K396">
        <f>SUMIFS($I$1:I395,$A$1:A395,A396)</f>
        <v/>
      </c>
      <c r="L396">
        <f>IFERROR(VLOOKUP(A396,Opening!$A:$C,3,0),0)</f>
        <v/>
      </c>
      <c r="M396">
        <f>IF(I396=0,0,MAX(0,MIN(INDEX(Month!H$2:H$13,MATCH($A396,Month!$A$2:$A$13,0))-K396,I396)))</f>
        <v/>
      </c>
      <c r="N396">
        <f>IF(I396=0,0,MAX(0,MIN(INDEX(Month!I$2:I$13,MATCH($A396,Month!$A$2:$A$13,0))-K396,I396)))</f>
        <v/>
      </c>
      <c r="O396">
        <f>IF(I396=0,0,MAX(0,MIN(INDEX(Month!J$2:J$13,MATCH($A396,Month!$A$2:$A$13,0))-K396,I396)))</f>
        <v/>
      </c>
      <c r="P396">
        <f>IF(I396=0,0,(MIN(MAX(K396,0),L396)*W396+SUMPRODUCT((Calc!$A$2:$A$1001=A396)*Calc!$G$2:$G$1001*(((K396-(L396+Calc!$J$2:$J$1001))&gt;0)*((K396-(L396+Calc!$J$2:$J$1001))&lt;Calc!$F$2:$F$1001)*(K396-(L396+Calc!$J$2:$J$1001))+((K396-(L396+Calc!$J$2:$J$1001))&gt;=Calc!$F$2:$F$1001)*Calc!$F$2:$F$1001))))</f>
        <v/>
      </c>
      <c r="Q396">
        <f>IF(I396=0,0,(MIN(MAX((K396+M396),0),L396)*W396+SUMPRODUCT((Calc!$A$2:$A$1001=A396)*Calc!$G$2:$G$1001*((((K396+M396)-(L396+Calc!$J$2:$J$1001))&gt;0)*(((K396+M396)-(L396+Calc!$J$2:$J$1001))&lt;Calc!$F$2:$F$1001)*((K396+M396)-(L396+Calc!$J$2:$J$1001))+(((K396+M396)-(L396+Calc!$J$2:$J$1001))&gt;=Calc!$F$2:$F$1001)*Calc!$F$2:$F$1001))))</f>
        <v/>
      </c>
      <c r="R396">
        <f>IF(I396=0,0,(MIN(MAX((K396+N396),0),L396)*W396+SUMPRODUCT((Calc!$A$2:$A$1001=A396)*Calc!$G$2:$G$1001*((((K396+N396)-(L396+Calc!$J$2:$J$1001))&gt;0)*(((K396+N396)-(L396+Calc!$J$2:$J$1001))&lt;Calc!$F$2:$F$1001)*((K396+N396)-(L396+Calc!$J$2:$J$1001))+(((K396+N396)-(L396+Calc!$J$2:$J$1001))&gt;=Calc!$F$2:$F$1001)*Calc!$F$2:$F$1001))))</f>
        <v/>
      </c>
      <c r="S396">
        <f>IF(I396=0,0,(MIN(MAX((K396+O396),0),L396)*W396+SUMPRODUCT((Calc!$A$2:$A$1001=A396)*Calc!$G$2:$G$1001*((((K396+O396)-(L396+Calc!$J$2:$J$1001))&gt;0)*(((K396+O396)-(L396+Calc!$J$2:$J$1001))&lt;Calc!$F$2:$F$1001)*((K396+O396)-(L396+Calc!$J$2:$J$1001))+(((K396+O396)-(L396+Calc!$J$2:$J$1001))&gt;=Calc!$F$2:$F$1001)*Calc!$F$2:$F$1001))))</f>
        <v/>
      </c>
      <c r="T396">
        <f>IF(AND(E396=1,B396="RETURN"),Transactions!E396*Transactions!G396,0)</f>
        <v/>
      </c>
      <c r="U396">
        <f>IF(AND(E396=1,B396="EXPENSE"),Transactions!J396,0)</f>
        <v/>
      </c>
      <c r="V396">
        <f>IF(AND(Transactions!A396&lt;&gt;"",E396=0),ROW(),"")</f>
        <v/>
      </c>
      <c r="W396">
        <f>IFERROR(VLOOKUP(A396,Opening!$A:$D,4,0),0)</f>
        <v/>
      </c>
    </row>
    <row r="397">
      <c r="A397">
        <f>IF(Transactions!D397="","",UPPER(TRIM(Transactions!D397)))</f>
        <v/>
      </c>
      <c r="B397">
        <f>IF(Transactions!C397="","",UPPER(TRIM(Transactions!C397)))</f>
        <v/>
      </c>
      <c r="C397">
        <f>IF(Transactions!B397="",0,YEAR(Transactions!B397)*100+MONTH(Transactions!B397))</f>
        <v/>
      </c>
      <c r="D397">
        <f>IF(Transactions!A397="",1,IF(COUNTIF(Transactions!$A$1:A396,Transactions!A397)&gt;0,1,0))</f>
        <v/>
      </c>
      <c r="E397">
        <f>IF(D397=1,0,IF(B397="RETURN",IF(COUNTIFS($A$1:A396,A397,$B$1:B396,"SALE",$E$1:E396,1)&gt;0,1,0),1))</f>
        <v/>
      </c>
      <c r="F397">
        <f>IF(E397=1,IF(B397="RECEIPT",Transactions!E397,IF(AND(B397="RETURN",LOWER(TRIM(Transactions!H397))="resellable"),Transactions!E397,0)),0)</f>
        <v/>
      </c>
      <c r="G397">
        <f>IF(F397&gt;0,IF(B397="RECEIPT",Transactions!F397,IF(_xlfn.MAXIFS($H$2:H397,$A$2:A397,A397)&gt;0,INDEX(Transactions!$F:$F,_xlfn.MAXIFS($H$2:H397,$A$2:A397,A397)),W397)),0)</f>
        <v/>
      </c>
      <c r="H397">
        <f>IF(AND(E397=1,B397="RECEIPT"),ROW(),0)</f>
        <v/>
      </c>
      <c r="I397">
        <f>IF(E397=1,IF(OR(B397="SALE",B397="WRITEOFF"),Transactions!E397,0),0)</f>
        <v/>
      </c>
      <c r="J397">
        <f>SUMIFS($F$1:F396,$A$1:A396,A397)</f>
        <v/>
      </c>
      <c r="K397">
        <f>SUMIFS($I$1:I396,$A$1:A396,A397)</f>
        <v/>
      </c>
      <c r="L397">
        <f>IFERROR(VLOOKUP(A397,Opening!$A:$C,3,0),0)</f>
        <v/>
      </c>
      <c r="M397">
        <f>IF(I397=0,0,MAX(0,MIN(INDEX(Month!H$2:H$13,MATCH($A397,Month!$A$2:$A$13,0))-K397,I397)))</f>
        <v/>
      </c>
      <c r="N397">
        <f>IF(I397=0,0,MAX(0,MIN(INDEX(Month!I$2:I$13,MATCH($A397,Month!$A$2:$A$13,0))-K397,I397)))</f>
        <v/>
      </c>
      <c r="O397">
        <f>IF(I397=0,0,MAX(0,MIN(INDEX(Month!J$2:J$13,MATCH($A397,Month!$A$2:$A$13,0))-K397,I397)))</f>
        <v/>
      </c>
      <c r="P397">
        <f>IF(I397=0,0,(MIN(MAX(K397,0),L397)*W397+SUMPRODUCT((Calc!$A$2:$A$1001=A397)*Calc!$G$2:$G$1001*(((K397-(L397+Calc!$J$2:$J$1001))&gt;0)*((K397-(L397+Calc!$J$2:$J$1001))&lt;Calc!$F$2:$F$1001)*(K397-(L397+Calc!$J$2:$J$1001))+((K397-(L397+Calc!$J$2:$J$1001))&gt;=Calc!$F$2:$F$1001)*Calc!$F$2:$F$1001))))</f>
        <v/>
      </c>
      <c r="Q397">
        <f>IF(I397=0,0,(MIN(MAX((K397+M397),0),L397)*W397+SUMPRODUCT((Calc!$A$2:$A$1001=A397)*Calc!$G$2:$G$1001*((((K397+M397)-(L397+Calc!$J$2:$J$1001))&gt;0)*(((K397+M397)-(L397+Calc!$J$2:$J$1001))&lt;Calc!$F$2:$F$1001)*((K397+M397)-(L397+Calc!$J$2:$J$1001))+(((K397+M397)-(L397+Calc!$J$2:$J$1001))&gt;=Calc!$F$2:$F$1001)*Calc!$F$2:$F$1001))))</f>
        <v/>
      </c>
      <c r="R397">
        <f>IF(I397=0,0,(MIN(MAX((K397+N397),0),L397)*W397+SUMPRODUCT((Calc!$A$2:$A$1001=A397)*Calc!$G$2:$G$1001*((((K397+N397)-(L397+Calc!$J$2:$J$1001))&gt;0)*(((K397+N397)-(L397+Calc!$J$2:$J$1001))&lt;Calc!$F$2:$F$1001)*((K397+N397)-(L397+Calc!$J$2:$J$1001))+(((K397+N397)-(L397+Calc!$J$2:$J$1001))&gt;=Calc!$F$2:$F$1001)*Calc!$F$2:$F$1001))))</f>
        <v/>
      </c>
      <c r="S397">
        <f>IF(I397=0,0,(MIN(MAX((K397+O397),0),L397)*W397+SUMPRODUCT((Calc!$A$2:$A$1001=A397)*Calc!$G$2:$G$1001*((((K397+O397)-(L397+Calc!$J$2:$J$1001))&gt;0)*(((K397+O397)-(L397+Calc!$J$2:$J$1001))&lt;Calc!$F$2:$F$1001)*((K397+O397)-(L397+Calc!$J$2:$J$1001))+(((K397+O397)-(L397+Calc!$J$2:$J$1001))&gt;=Calc!$F$2:$F$1001)*Calc!$F$2:$F$1001))))</f>
        <v/>
      </c>
      <c r="T397">
        <f>IF(AND(E397=1,B397="RETURN"),Transactions!E397*Transactions!G397,0)</f>
        <v/>
      </c>
      <c r="U397">
        <f>IF(AND(E397=1,B397="EXPENSE"),Transactions!J397,0)</f>
        <v/>
      </c>
      <c r="V397">
        <f>IF(AND(Transactions!A397&lt;&gt;"",E397=0),ROW(),"")</f>
        <v/>
      </c>
      <c r="W397">
        <f>IFERROR(VLOOKUP(A397,Opening!$A:$D,4,0),0)</f>
        <v/>
      </c>
    </row>
    <row r="398">
      <c r="A398">
        <f>IF(Transactions!D398="","",UPPER(TRIM(Transactions!D398)))</f>
        <v/>
      </c>
      <c r="B398">
        <f>IF(Transactions!C398="","",UPPER(TRIM(Transactions!C398)))</f>
        <v/>
      </c>
      <c r="C398">
        <f>IF(Transactions!B398="",0,YEAR(Transactions!B398)*100+MONTH(Transactions!B398))</f>
        <v/>
      </c>
      <c r="D398">
        <f>IF(Transactions!A398="",1,IF(COUNTIF(Transactions!$A$1:A397,Transactions!A398)&gt;0,1,0))</f>
        <v/>
      </c>
      <c r="E398">
        <f>IF(D398=1,0,IF(B398="RETURN",IF(COUNTIFS($A$1:A397,A398,$B$1:B397,"SALE",$E$1:E397,1)&gt;0,1,0),1))</f>
        <v/>
      </c>
      <c r="F398">
        <f>IF(E398=1,IF(B398="RECEIPT",Transactions!E398,IF(AND(B398="RETURN",LOWER(TRIM(Transactions!H398))="resellable"),Transactions!E398,0)),0)</f>
        <v/>
      </c>
      <c r="G398">
        <f>IF(F398&gt;0,IF(B398="RECEIPT",Transactions!F398,IF(_xlfn.MAXIFS($H$2:H398,$A$2:A398,A398)&gt;0,INDEX(Transactions!$F:$F,_xlfn.MAXIFS($H$2:H398,$A$2:A398,A398)),W398)),0)</f>
        <v/>
      </c>
      <c r="H398">
        <f>IF(AND(E398=1,B398="RECEIPT"),ROW(),0)</f>
        <v/>
      </c>
      <c r="I398">
        <f>IF(E398=1,IF(OR(B398="SALE",B398="WRITEOFF"),Transactions!E398,0),0)</f>
        <v/>
      </c>
      <c r="J398">
        <f>SUMIFS($F$1:F397,$A$1:A397,A398)</f>
        <v/>
      </c>
      <c r="K398">
        <f>SUMIFS($I$1:I397,$A$1:A397,A398)</f>
        <v/>
      </c>
      <c r="L398">
        <f>IFERROR(VLOOKUP(A398,Opening!$A:$C,3,0),0)</f>
        <v/>
      </c>
      <c r="M398">
        <f>IF(I398=0,0,MAX(0,MIN(INDEX(Month!H$2:H$13,MATCH($A398,Month!$A$2:$A$13,0))-K398,I398)))</f>
        <v/>
      </c>
      <c r="N398">
        <f>IF(I398=0,0,MAX(0,MIN(INDEX(Month!I$2:I$13,MATCH($A398,Month!$A$2:$A$13,0))-K398,I398)))</f>
        <v/>
      </c>
      <c r="O398">
        <f>IF(I398=0,0,MAX(0,MIN(INDEX(Month!J$2:J$13,MATCH($A398,Month!$A$2:$A$13,0))-K398,I398)))</f>
        <v/>
      </c>
      <c r="P398">
        <f>IF(I398=0,0,(MIN(MAX(K398,0),L398)*W398+SUMPRODUCT((Calc!$A$2:$A$1001=A398)*Calc!$G$2:$G$1001*(((K398-(L398+Calc!$J$2:$J$1001))&gt;0)*((K398-(L398+Calc!$J$2:$J$1001))&lt;Calc!$F$2:$F$1001)*(K398-(L398+Calc!$J$2:$J$1001))+((K398-(L398+Calc!$J$2:$J$1001))&gt;=Calc!$F$2:$F$1001)*Calc!$F$2:$F$1001))))</f>
        <v/>
      </c>
      <c r="Q398">
        <f>IF(I398=0,0,(MIN(MAX((K398+M398),0),L398)*W398+SUMPRODUCT((Calc!$A$2:$A$1001=A398)*Calc!$G$2:$G$1001*((((K398+M398)-(L398+Calc!$J$2:$J$1001))&gt;0)*(((K398+M398)-(L398+Calc!$J$2:$J$1001))&lt;Calc!$F$2:$F$1001)*((K398+M398)-(L398+Calc!$J$2:$J$1001))+(((K398+M398)-(L398+Calc!$J$2:$J$1001))&gt;=Calc!$F$2:$F$1001)*Calc!$F$2:$F$1001))))</f>
        <v/>
      </c>
      <c r="R398">
        <f>IF(I398=0,0,(MIN(MAX((K398+N398),0),L398)*W398+SUMPRODUCT((Calc!$A$2:$A$1001=A398)*Calc!$G$2:$G$1001*((((K398+N398)-(L398+Calc!$J$2:$J$1001))&gt;0)*(((K398+N398)-(L398+Calc!$J$2:$J$1001))&lt;Calc!$F$2:$F$1001)*((K398+N398)-(L398+Calc!$J$2:$J$1001))+(((K398+N398)-(L398+Calc!$J$2:$J$1001))&gt;=Calc!$F$2:$F$1001)*Calc!$F$2:$F$1001))))</f>
        <v/>
      </c>
      <c r="S398">
        <f>IF(I398=0,0,(MIN(MAX((K398+O398),0),L398)*W398+SUMPRODUCT((Calc!$A$2:$A$1001=A398)*Calc!$G$2:$G$1001*((((K398+O398)-(L398+Calc!$J$2:$J$1001))&gt;0)*(((K398+O398)-(L398+Calc!$J$2:$J$1001))&lt;Calc!$F$2:$F$1001)*((K398+O398)-(L398+Calc!$J$2:$J$1001))+(((K398+O398)-(L398+Calc!$J$2:$J$1001))&gt;=Calc!$F$2:$F$1001)*Calc!$F$2:$F$1001))))</f>
        <v/>
      </c>
      <c r="T398">
        <f>IF(AND(E398=1,B398="RETURN"),Transactions!E398*Transactions!G398,0)</f>
        <v/>
      </c>
      <c r="U398">
        <f>IF(AND(E398=1,B398="EXPENSE"),Transactions!J398,0)</f>
        <v/>
      </c>
      <c r="V398">
        <f>IF(AND(Transactions!A398&lt;&gt;"",E398=0),ROW(),"")</f>
        <v/>
      </c>
      <c r="W398">
        <f>IFERROR(VLOOKUP(A398,Opening!$A:$D,4,0),0)</f>
        <v/>
      </c>
    </row>
    <row r="399">
      <c r="A399">
        <f>IF(Transactions!D399="","",UPPER(TRIM(Transactions!D399)))</f>
        <v/>
      </c>
      <c r="B399">
        <f>IF(Transactions!C399="","",UPPER(TRIM(Transactions!C399)))</f>
        <v/>
      </c>
      <c r="C399">
        <f>IF(Transactions!B399="",0,YEAR(Transactions!B399)*100+MONTH(Transactions!B399))</f>
        <v/>
      </c>
      <c r="D399">
        <f>IF(Transactions!A399="",1,IF(COUNTIF(Transactions!$A$1:A398,Transactions!A399)&gt;0,1,0))</f>
        <v/>
      </c>
      <c r="E399">
        <f>IF(D399=1,0,IF(B399="RETURN",IF(COUNTIFS($A$1:A398,A399,$B$1:B398,"SALE",$E$1:E398,1)&gt;0,1,0),1))</f>
        <v/>
      </c>
      <c r="F399">
        <f>IF(E399=1,IF(B399="RECEIPT",Transactions!E399,IF(AND(B399="RETURN",LOWER(TRIM(Transactions!H399))="resellable"),Transactions!E399,0)),0)</f>
        <v/>
      </c>
      <c r="G399">
        <f>IF(F399&gt;0,IF(B399="RECEIPT",Transactions!F399,IF(_xlfn.MAXIFS($H$2:H399,$A$2:A399,A399)&gt;0,INDEX(Transactions!$F:$F,_xlfn.MAXIFS($H$2:H399,$A$2:A399,A399)),W399)),0)</f>
        <v/>
      </c>
      <c r="H399">
        <f>IF(AND(E399=1,B399="RECEIPT"),ROW(),0)</f>
        <v/>
      </c>
      <c r="I399">
        <f>IF(E399=1,IF(OR(B399="SALE",B399="WRITEOFF"),Transactions!E399,0),0)</f>
        <v/>
      </c>
      <c r="J399">
        <f>SUMIFS($F$1:F398,$A$1:A398,A399)</f>
        <v/>
      </c>
      <c r="K399">
        <f>SUMIFS($I$1:I398,$A$1:A398,A399)</f>
        <v/>
      </c>
      <c r="L399">
        <f>IFERROR(VLOOKUP(A399,Opening!$A:$C,3,0),0)</f>
        <v/>
      </c>
      <c r="M399">
        <f>IF(I399=0,0,MAX(0,MIN(INDEX(Month!H$2:H$13,MATCH($A399,Month!$A$2:$A$13,0))-K399,I399)))</f>
        <v/>
      </c>
      <c r="N399">
        <f>IF(I399=0,0,MAX(0,MIN(INDEX(Month!I$2:I$13,MATCH($A399,Month!$A$2:$A$13,0))-K399,I399)))</f>
        <v/>
      </c>
      <c r="O399">
        <f>IF(I399=0,0,MAX(0,MIN(INDEX(Month!J$2:J$13,MATCH($A399,Month!$A$2:$A$13,0))-K399,I399)))</f>
        <v/>
      </c>
      <c r="P399">
        <f>IF(I399=0,0,(MIN(MAX(K399,0),L399)*W399+SUMPRODUCT((Calc!$A$2:$A$1001=A399)*Calc!$G$2:$G$1001*(((K399-(L399+Calc!$J$2:$J$1001))&gt;0)*((K399-(L399+Calc!$J$2:$J$1001))&lt;Calc!$F$2:$F$1001)*(K399-(L399+Calc!$J$2:$J$1001))+((K399-(L399+Calc!$J$2:$J$1001))&gt;=Calc!$F$2:$F$1001)*Calc!$F$2:$F$1001))))</f>
        <v/>
      </c>
      <c r="Q399">
        <f>IF(I399=0,0,(MIN(MAX((K399+M399),0),L399)*W399+SUMPRODUCT((Calc!$A$2:$A$1001=A399)*Calc!$G$2:$G$1001*((((K399+M399)-(L399+Calc!$J$2:$J$1001))&gt;0)*(((K399+M399)-(L399+Calc!$J$2:$J$1001))&lt;Calc!$F$2:$F$1001)*((K399+M399)-(L399+Calc!$J$2:$J$1001))+(((K399+M399)-(L399+Calc!$J$2:$J$1001))&gt;=Calc!$F$2:$F$1001)*Calc!$F$2:$F$1001))))</f>
        <v/>
      </c>
      <c r="R399">
        <f>IF(I399=0,0,(MIN(MAX((K399+N399),0),L399)*W399+SUMPRODUCT((Calc!$A$2:$A$1001=A399)*Calc!$G$2:$G$1001*((((K399+N399)-(L399+Calc!$J$2:$J$1001))&gt;0)*(((K399+N399)-(L399+Calc!$J$2:$J$1001))&lt;Calc!$F$2:$F$1001)*((K399+N399)-(L399+Calc!$J$2:$J$1001))+(((K399+N399)-(L399+Calc!$J$2:$J$1001))&gt;=Calc!$F$2:$F$1001)*Calc!$F$2:$F$1001))))</f>
        <v/>
      </c>
      <c r="S399">
        <f>IF(I399=0,0,(MIN(MAX((K399+O399),0),L399)*W399+SUMPRODUCT((Calc!$A$2:$A$1001=A399)*Calc!$G$2:$G$1001*((((K399+O399)-(L399+Calc!$J$2:$J$1001))&gt;0)*(((K399+O399)-(L399+Calc!$J$2:$J$1001))&lt;Calc!$F$2:$F$1001)*((K399+O399)-(L399+Calc!$J$2:$J$1001))+(((K399+O399)-(L399+Calc!$J$2:$J$1001))&gt;=Calc!$F$2:$F$1001)*Calc!$F$2:$F$1001))))</f>
        <v/>
      </c>
      <c r="T399">
        <f>IF(AND(E399=1,B399="RETURN"),Transactions!E399*Transactions!G399,0)</f>
        <v/>
      </c>
      <c r="U399">
        <f>IF(AND(E399=1,B399="EXPENSE"),Transactions!J399,0)</f>
        <v/>
      </c>
      <c r="V399">
        <f>IF(AND(Transactions!A399&lt;&gt;"",E399=0),ROW(),"")</f>
        <v/>
      </c>
      <c r="W399">
        <f>IFERROR(VLOOKUP(A399,Opening!$A:$D,4,0),0)</f>
        <v/>
      </c>
    </row>
    <row r="400">
      <c r="A400">
        <f>IF(Transactions!D400="","",UPPER(TRIM(Transactions!D400)))</f>
        <v/>
      </c>
      <c r="B400">
        <f>IF(Transactions!C400="","",UPPER(TRIM(Transactions!C400)))</f>
        <v/>
      </c>
      <c r="C400">
        <f>IF(Transactions!B400="",0,YEAR(Transactions!B400)*100+MONTH(Transactions!B400))</f>
        <v/>
      </c>
      <c r="D400">
        <f>IF(Transactions!A400="",1,IF(COUNTIF(Transactions!$A$1:A399,Transactions!A400)&gt;0,1,0))</f>
        <v/>
      </c>
      <c r="E400">
        <f>IF(D400=1,0,IF(B400="RETURN",IF(COUNTIFS($A$1:A399,A400,$B$1:B399,"SALE",$E$1:E399,1)&gt;0,1,0),1))</f>
        <v/>
      </c>
      <c r="F400">
        <f>IF(E400=1,IF(B400="RECEIPT",Transactions!E400,IF(AND(B400="RETURN",LOWER(TRIM(Transactions!H400))="resellable"),Transactions!E400,0)),0)</f>
        <v/>
      </c>
      <c r="G400">
        <f>IF(F400&gt;0,IF(B400="RECEIPT",Transactions!F400,IF(_xlfn.MAXIFS($H$2:H400,$A$2:A400,A400)&gt;0,INDEX(Transactions!$F:$F,_xlfn.MAXIFS($H$2:H400,$A$2:A400,A400)),W400)),0)</f>
        <v/>
      </c>
      <c r="H400">
        <f>IF(AND(E400=1,B400="RECEIPT"),ROW(),0)</f>
        <v/>
      </c>
      <c r="I400">
        <f>IF(E400=1,IF(OR(B400="SALE",B400="WRITEOFF"),Transactions!E400,0),0)</f>
        <v/>
      </c>
      <c r="J400">
        <f>SUMIFS($F$1:F399,$A$1:A399,A400)</f>
        <v/>
      </c>
      <c r="K400">
        <f>SUMIFS($I$1:I399,$A$1:A399,A400)</f>
        <v/>
      </c>
      <c r="L400">
        <f>IFERROR(VLOOKUP(A400,Opening!$A:$C,3,0),0)</f>
        <v/>
      </c>
      <c r="M400">
        <f>IF(I400=0,0,MAX(0,MIN(INDEX(Month!H$2:H$13,MATCH($A400,Month!$A$2:$A$13,0))-K400,I400)))</f>
        <v/>
      </c>
      <c r="N400">
        <f>IF(I400=0,0,MAX(0,MIN(INDEX(Month!I$2:I$13,MATCH($A400,Month!$A$2:$A$13,0))-K400,I400)))</f>
        <v/>
      </c>
      <c r="O400">
        <f>IF(I400=0,0,MAX(0,MIN(INDEX(Month!J$2:J$13,MATCH($A400,Month!$A$2:$A$13,0))-K400,I400)))</f>
        <v/>
      </c>
      <c r="P400">
        <f>IF(I400=0,0,(MIN(MAX(K400,0),L400)*W400+SUMPRODUCT((Calc!$A$2:$A$1001=A400)*Calc!$G$2:$G$1001*(((K400-(L400+Calc!$J$2:$J$1001))&gt;0)*((K400-(L400+Calc!$J$2:$J$1001))&lt;Calc!$F$2:$F$1001)*(K400-(L400+Calc!$J$2:$J$1001))+((K400-(L400+Calc!$J$2:$J$1001))&gt;=Calc!$F$2:$F$1001)*Calc!$F$2:$F$1001))))</f>
        <v/>
      </c>
      <c r="Q400">
        <f>IF(I400=0,0,(MIN(MAX((K400+M400),0),L400)*W400+SUMPRODUCT((Calc!$A$2:$A$1001=A400)*Calc!$G$2:$G$1001*((((K400+M400)-(L400+Calc!$J$2:$J$1001))&gt;0)*(((K400+M400)-(L400+Calc!$J$2:$J$1001))&lt;Calc!$F$2:$F$1001)*((K400+M400)-(L400+Calc!$J$2:$J$1001))+(((K400+M400)-(L400+Calc!$J$2:$J$1001))&gt;=Calc!$F$2:$F$1001)*Calc!$F$2:$F$1001))))</f>
        <v/>
      </c>
      <c r="R400">
        <f>IF(I400=0,0,(MIN(MAX((K400+N400),0),L400)*W400+SUMPRODUCT((Calc!$A$2:$A$1001=A400)*Calc!$G$2:$G$1001*((((K400+N400)-(L400+Calc!$J$2:$J$1001))&gt;0)*(((K400+N400)-(L400+Calc!$J$2:$J$1001))&lt;Calc!$F$2:$F$1001)*((K400+N400)-(L400+Calc!$J$2:$J$1001))+(((K400+N400)-(L400+Calc!$J$2:$J$1001))&gt;=Calc!$F$2:$F$1001)*Calc!$F$2:$F$1001))))</f>
        <v/>
      </c>
      <c r="S400">
        <f>IF(I400=0,0,(MIN(MAX((K400+O400),0),L400)*W400+SUMPRODUCT((Calc!$A$2:$A$1001=A400)*Calc!$G$2:$G$1001*((((K400+O400)-(L400+Calc!$J$2:$J$1001))&gt;0)*(((K400+O400)-(L400+Calc!$J$2:$J$1001))&lt;Calc!$F$2:$F$1001)*((K400+O400)-(L400+Calc!$J$2:$J$1001))+(((K400+O400)-(L400+Calc!$J$2:$J$1001))&gt;=Calc!$F$2:$F$1001)*Calc!$F$2:$F$1001))))</f>
        <v/>
      </c>
      <c r="T400">
        <f>IF(AND(E400=1,B400="RETURN"),Transactions!E400*Transactions!G400,0)</f>
        <v/>
      </c>
      <c r="U400">
        <f>IF(AND(E400=1,B400="EXPENSE"),Transactions!J400,0)</f>
        <v/>
      </c>
      <c r="V400">
        <f>IF(AND(Transactions!A400&lt;&gt;"",E400=0),ROW(),"")</f>
        <v/>
      </c>
      <c r="W400">
        <f>IFERROR(VLOOKUP(A400,Opening!$A:$D,4,0),0)</f>
        <v/>
      </c>
    </row>
    <row r="401">
      <c r="A401">
        <f>IF(Transactions!D401="","",UPPER(TRIM(Transactions!D401)))</f>
        <v/>
      </c>
      <c r="B401">
        <f>IF(Transactions!C401="","",UPPER(TRIM(Transactions!C401)))</f>
        <v/>
      </c>
      <c r="C401">
        <f>IF(Transactions!B401="",0,YEAR(Transactions!B401)*100+MONTH(Transactions!B401))</f>
        <v/>
      </c>
      <c r="D401">
        <f>IF(Transactions!A401="",1,IF(COUNTIF(Transactions!$A$1:A400,Transactions!A401)&gt;0,1,0))</f>
        <v/>
      </c>
      <c r="E401">
        <f>IF(D401=1,0,IF(B401="RETURN",IF(COUNTIFS($A$1:A400,A401,$B$1:B400,"SALE",$E$1:E400,1)&gt;0,1,0),1))</f>
        <v/>
      </c>
      <c r="F401">
        <f>IF(E401=1,IF(B401="RECEIPT",Transactions!E401,IF(AND(B401="RETURN",LOWER(TRIM(Transactions!H401))="resellable"),Transactions!E401,0)),0)</f>
        <v/>
      </c>
      <c r="G401">
        <f>IF(F401&gt;0,IF(B401="RECEIPT",Transactions!F401,IF(_xlfn.MAXIFS($H$2:H401,$A$2:A401,A401)&gt;0,INDEX(Transactions!$F:$F,_xlfn.MAXIFS($H$2:H401,$A$2:A401,A401)),W401)),0)</f>
        <v/>
      </c>
      <c r="H401">
        <f>IF(AND(E401=1,B401="RECEIPT"),ROW(),0)</f>
        <v/>
      </c>
      <c r="I401">
        <f>IF(E401=1,IF(OR(B401="SALE",B401="WRITEOFF"),Transactions!E401,0),0)</f>
        <v/>
      </c>
      <c r="J401">
        <f>SUMIFS($F$1:F400,$A$1:A400,A401)</f>
        <v/>
      </c>
      <c r="K401">
        <f>SUMIFS($I$1:I400,$A$1:A400,A401)</f>
        <v/>
      </c>
      <c r="L401">
        <f>IFERROR(VLOOKUP(A401,Opening!$A:$C,3,0),0)</f>
        <v/>
      </c>
      <c r="M401">
        <f>IF(I401=0,0,MAX(0,MIN(INDEX(Month!H$2:H$13,MATCH($A401,Month!$A$2:$A$13,0))-K401,I401)))</f>
        <v/>
      </c>
      <c r="N401">
        <f>IF(I401=0,0,MAX(0,MIN(INDEX(Month!I$2:I$13,MATCH($A401,Month!$A$2:$A$13,0))-K401,I401)))</f>
        <v/>
      </c>
      <c r="O401">
        <f>IF(I401=0,0,MAX(0,MIN(INDEX(Month!J$2:J$13,MATCH($A401,Month!$A$2:$A$13,0))-K401,I401)))</f>
        <v/>
      </c>
      <c r="P401">
        <f>IF(I401=0,0,(MIN(MAX(K401,0),L401)*W401+SUMPRODUCT((Calc!$A$2:$A$1001=A401)*Calc!$G$2:$G$1001*(((K401-(L401+Calc!$J$2:$J$1001))&gt;0)*((K401-(L401+Calc!$J$2:$J$1001))&lt;Calc!$F$2:$F$1001)*(K401-(L401+Calc!$J$2:$J$1001))+((K401-(L401+Calc!$J$2:$J$1001))&gt;=Calc!$F$2:$F$1001)*Calc!$F$2:$F$1001))))</f>
        <v/>
      </c>
      <c r="Q401">
        <f>IF(I401=0,0,(MIN(MAX((K401+M401),0),L401)*W401+SUMPRODUCT((Calc!$A$2:$A$1001=A401)*Calc!$G$2:$G$1001*((((K401+M401)-(L401+Calc!$J$2:$J$1001))&gt;0)*(((K401+M401)-(L401+Calc!$J$2:$J$1001))&lt;Calc!$F$2:$F$1001)*((K401+M401)-(L401+Calc!$J$2:$J$1001))+(((K401+M401)-(L401+Calc!$J$2:$J$1001))&gt;=Calc!$F$2:$F$1001)*Calc!$F$2:$F$1001))))</f>
        <v/>
      </c>
      <c r="R401">
        <f>IF(I401=0,0,(MIN(MAX((K401+N401),0),L401)*W401+SUMPRODUCT((Calc!$A$2:$A$1001=A401)*Calc!$G$2:$G$1001*((((K401+N401)-(L401+Calc!$J$2:$J$1001))&gt;0)*(((K401+N401)-(L401+Calc!$J$2:$J$1001))&lt;Calc!$F$2:$F$1001)*((K401+N401)-(L401+Calc!$J$2:$J$1001))+(((K401+N401)-(L401+Calc!$J$2:$J$1001))&gt;=Calc!$F$2:$F$1001)*Calc!$F$2:$F$1001))))</f>
        <v/>
      </c>
      <c r="S401">
        <f>IF(I401=0,0,(MIN(MAX((K401+O401),0),L401)*W401+SUMPRODUCT((Calc!$A$2:$A$1001=A401)*Calc!$G$2:$G$1001*((((K401+O401)-(L401+Calc!$J$2:$J$1001))&gt;0)*(((K401+O401)-(L401+Calc!$J$2:$J$1001))&lt;Calc!$F$2:$F$1001)*((K401+O401)-(L401+Calc!$J$2:$J$1001))+(((K401+O401)-(L401+Calc!$J$2:$J$1001))&gt;=Calc!$F$2:$F$1001)*Calc!$F$2:$F$1001))))</f>
        <v/>
      </c>
      <c r="T401">
        <f>IF(AND(E401=1,B401="RETURN"),Transactions!E401*Transactions!G401,0)</f>
        <v/>
      </c>
      <c r="U401">
        <f>IF(AND(E401=1,B401="EXPENSE"),Transactions!J401,0)</f>
        <v/>
      </c>
      <c r="V401">
        <f>IF(AND(Transactions!A401&lt;&gt;"",E401=0),ROW(),"")</f>
        <v/>
      </c>
      <c r="W401">
        <f>IFERROR(VLOOKUP(A401,Opening!$A:$D,4,0),0)</f>
        <v/>
      </c>
    </row>
    <row r="402">
      <c r="A402">
        <f>IF(Transactions!D402="","",UPPER(TRIM(Transactions!D402)))</f>
        <v/>
      </c>
      <c r="B402">
        <f>IF(Transactions!C402="","",UPPER(TRIM(Transactions!C402)))</f>
        <v/>
      </c>
      <c r="C402">
        <f>IF(Transactions!B402="",0,YEAR(Transactions!B402)*100+MONTH(Transactions!B402))</f>
        <v/>
      </c>
      <c r="D402">
        <f>IF(Transactions!A402="",1,IF(COUNTIF(Transactions!$A$1:A401,Transactions!A402)&gt;0,1,0))</f>
        <v/>
      </c>
      <c r="E402">
        <f>IF(D402=1,0,IF(B402="RETURN",IF(COUNTIFS($A$1:A401,A402,$B$1:B401,"SALE",$E$1:E401,1)&gt;0,1,0),1))</f>
        <v/>
      </c>
      <c r="F402">
        <f>IF(E402=1,IF(B402="RECEIPT",Transactions!E402,IF(AND(B402="RETURN",LOWER(TRIM(Transactions!H402))="resellable"),Transactions!E402,0)),0)</f>
        <v/>
      </c>
      <c r="G402">
        <f>IF(F402&gt;0,IF(B402="RECEIPT",Transactions!F402,IF(_xlfn.MAXIFS($H$2:H402,$A$2:A402,A402)&gt;0,INDEX(Transactions!$F:$F,_xlfn.MAXIFS($H$2:H402,$A$2:A402,A402)),W402)),0)</f>
        <v/>
      </c>
      <c r="H402">
        <f>IF(AND(E402=1,B402="RECEIPT"),ROW(),0)</f>
        <v/>
      </c>
      <c r="I402">
        <f>IF(E402=1,IF(OR(B402="SALE",B402="WRITEOFF"),Transactions!E402,0),0)</f>
        <v/>
      </c>
      <c r="J402">
        <f>SUMIFS($F$1:F401,$A$1:A401,A402)</f>
        <v/>
      </c>
      <c r="K402">
        <f>SUMIFS($I$1:I401,$A$1:A401,A402)</f>
        <v/>
      </c>
      <c r="L402">
        <f>IFERROR(VLOOKUP(A402,Opening!$A:$C,3,0),0)</f>
        <v/>
      </c>
      <c r="M402">
        <f>IF(I402=0,0,MAX(0,MIN(INDEX(Month!H$2:H$13,MATCH($A402,Month!$A$2:$A$13,0))-K402,I402)))</f>
        <v/>
      </c>
      <c r="N402">
        <f>IF(I402=0,0,MAX(0,MIN(INDEX(Month!I$2:I$13,MATCH($A402,Month!$A$2:$A$13,0))-K402,I402)))</f>
        <v/>
      </c>
      <c r="O402">
        <f>IF(I402=0,0,MAX(0,MIN(INDEX(Month!J$2:J$13,MATCH($A402,Month!$A$2:$A$13,0))-K402,I402)))</f>
        <v/>
      </c>
      <c r="P402">
        <f>IF(I402=0,0,(MIN(MAX(K402,0),L402)*W402+SUMPRODUCT((Calc!$A$2:$A$1001=A402)*Calc!$G$2:$G$1001*(((K402-(L402+Calc!$J$2:$J$1001))&gt;0)*((K402-(L402+Calc!$J$2:$J$1001))&lt;Calc!$F$2:$F$1001)*(K402-(L402+Calc!$J$2:$J$1001))+((K402-(L402+Calc!$J$2:$J$1001))&gt;=Calc!$F$2:$F$1001)*Calc!$F$2:$F$1001))))</f>
        <v/>
      </c>
      <c r="Q402">
        <f>IF(I402=0,0,(MIN(MAX((K402+M402),0),L402)*W402+SUMPRODUCT((Calc!$A$2:$A$1001=A402)*Calc!$G$2:$G$1001*((((K402+M402)-(L402+Calc!$J$2:$J$1001))&gt;0)*(((K402+M402)-(L402+Calc!$J$2:$J$1001))&lt;Calc!$F$2:$F$1001)*((K402+M402)-(L402+Calc!$J$2:$J$1001))+(((K402+M402)-(L402+Calc!$J$2:$J$1001))&gt;=Calc!$F$2:$F$1001)*Calc!$F$2:$F$1001))))</f>
        <v/>
      </c>
      <c r="R402">
        <f>IF(I402=0,0,(MIN(MAX((K402+N402),0),L402)*W402+SUMPRODUCT((Calc!$A$2:$A$1001=A402)*Calc!$G$2:$G$1001*((((K402+N402)-(L402+Calc!$J$2:$J$1001))&gt;0)*(((K402+N402)-(L402+Calc!$J$2:$J$1001))&lt;Calc!$F$2:$F$1001)*((K402+N402)-(L402+Calc!$J$2:$J$1001))+(((K402+N402)-(L402+Calc!$J$2:$J$1001))&gt;=Calc!$F$2:$F$1001)*Calc!$F$2:$F$1001))))</f>
        <v/>
      </c>
      <c r="S402">
        <f>IF(I402=0,0,(MIN(MAX((K402+O402),0),L402)*W402+SUMPRODUCT((Calc!$A$2:$A$1001=A402)*Calc!$G$2:$G$1001*((((K402+O402)-(L402+Calc!$J$2:$J$1001))&gt;0)*(((K402+O402)-(L402+Calc!$J$2:$J$1001))&lt;Calc!$F$2:$F$1001)*((K402+O402)-(L402+Calc!$J$2:$J$1001))+(((K402+O402)-(L402+Calc!$J$2:$J$1001))&gt;=Calc!$F$2:$F$1001)*Calc!$F$2:$F$1001))))</f>
        <v/>
      </c>
      <c r="T402">
        <f>IF(AND(E402=1,B402="RETURN"),Transactions!E402*Transactions!G402,0)</f>
        <v/>
      </c>
      <c r="U402">
        <f>IF(AND(E402=1,B402="EXPENSE"),Transactions!J402,0)</f>
        <v/>
      </c>
      <c r="V402">
        <f>IF(AND(Transactions!A402&lt;&gt;"",E402=0),ROW(),"")</f>
        <v/>
      </c>
      <c r="W402">
        <f>IFERROR(VLOOKUP(A402,Opening!$A:$D,4,0),0)</f>
        <v/>
      </c>
    </row>
    <row r="403">
      <c r="A403">
        <f>IF(Transactions!D403="","",UPPER(TRIM(Transactions!D403)))</f>
        <v/>
      </c>
      <c r="B403">
        <f>IF(Transactions!C403="","",UPPER(TRIM(Transactions!C403)))</f>
        <v/>
      </c>
      <c r="C403">
        <f>IF(Transactions!B403="",0,YEAR(Transactions!B403)*100+MONTH(Transactions!B403))</f>
        <v/>
      </c>
      <c r="D403">
        <f>IF(Transactions!A403="",1,IF(COUNTIF(Transactions!$A$1:A402,Transactions!A403)&gt;0,1,0))</f>
        <v/>
      </c>
      <c r="E403">
        <f>IF(D403=1,0,IF(B403="RETURN",IF(COUNTIFS($A$1:A402,A403,$B$1:B402,"SALE",$E$1:E402,1)&gt;0,1,0),1))</f>
        <v/>
      </c>
      <c r="F403">
        <f>IF(E403=1,IF(B403="RECEIPT",Transactions!E403,IF(AND(B403="RETURN",LOWER(TRIM(Transactions!H403))="resellable"),Transactions!E403,0)),0)</f>
        <v/>
      </c>
      <c r="G403">
        <f>IF(F403&gt;0,IF(B403="RECEIPT",Transactions!F403,IF(_xlfn.MAXIFS($H$2:H403,$A$2:A403,A403)&gt;0,INDEX(Transactions!$F:$F,_xlfn.MAXIFS($H$2:H403,$A$2:A403,A403)),W403)),0)</f>
        <v/>
      </c>
      <c r="H403">
        <f>IF(AND(E403=1,B403="RECEIPT"),ROW(),0)</f>
        <v/>
      </c>
      <c r="I403">
        <f>IF(E403=1,IF(OR(B403="SALE",B403="WRITEOFF"),Transactions!E403,0),0)</f>
        <v/>
      </c>
      <c r="J403">
        <f>SUMIFS($F$1:F402,$A$1:A402,A403)</f>
        <v/>
      </c>
      <c r="K403">
        <f>SUMIFS($I$1:I402,$A$1:A402,A403)</f>
        <v/>
      </c>
      <c r="L403">
        <f>IFERROR(VLOOKUP(A403,Opening!$A:$C,3,0),0)</f>
        <v/>
      </c>
      <c r="M403">
        <f>IF(I403=0,0,MAX(0,MIN(INDEX(Month!H$2:H$13,MATCH($A403,Month!$A$2:$A$13,0))-K403,I403)))</f>
        <v/>
      </c>
      <c r="N403">
        <f>IF(I403=0,0,MAX(0,MIN(INDEX(Month!I$2:I$13,MATCH($A403,Month!$A$2:$A$13,0))-K403,I403)))</f>
        <v/>
      </c>
      <c r="O403">
        <f>IF(I403=0,0,MAX(0,MIN(INDEX(Month!J$2:J$13,MATCH($A403,Month!$A$2:$A$13,0))-K403,I403)))</f>
        <v/>
      </c>
      <c r="P403">
        <f>IF(I403=0,0,(MIN(MAX(K403,0),L403)*W403+SUMPRODUCT((Calc!$A$2:$A$1001=A403)*Calc!$G$2:$G$1001*(((K403-(L403+Calc!$J$2:$J$1001))&gt;0)*((K403-(L403+Calc!$J$2:$J$1001))&lt;Calc!$F$2:$F$1001)*(K403-(L403+Calc!$J$2:$J$1001))+((K403-(L403+Calc!$J$2:$J$1001))&gt;=Calc!$F$2:$F$1001)*Calc!$F$2:$F$1001))))</f>
        <v/>
      </c>
      <c r="Q403">
        <f>IF(I403=0,0,(MIN(MAX((K403+M403),0),L403)*W403+SUMPRODUCT((Calc!$A$2:$A$1001=A403)*Calc!$G$2:$G$1001*((((K403+M403)-(L403+Calc!$J$2:$J$1001))&gt;0)*(((K403+M403)-(L403+Calc!$J$2:$J$1001))&lt;Calc!$F$2:$F$1001)*((K403+M403)-(L403+Calc!$J$2:$J$1001))+(((K403+M403)-(L403+Calc!$J$2:$J$1001))&gt;=Calc!$F$2:$F$1001)*Calc!$F$2:$F$1001))))</f>
        <v/>
      </c>
      <c r="R403">
        <f>IF(I403=0,0,(MIN(MAX((K403+N403),0),L403)*W403+SUMPRODUCT((Calc!$A$2:$A$1001=A403)*Calc!$G$2:$G$1001*((((K403+N403)-(L403+Calc!$J$2:$J$1001))&gt;0)*(((K403+N403)-(L403+Calc!$J$2:$J$1001))&lt;Calc!$F$2:$F$1001)*((K403+N403)-(L403+Calc!$J$2:$J$1001))+(((K403+N403)-(L403+Calc!$J$2:$J$1001))&gt;=Calc!$F$2:$F$1001)*Calc!$F$2:$F$1001))))</f>
        <v/>
      </c>
      <c r="S403">
        <f>IF(I403=0,0,(MIN(MAX((K403+O403),0),L403)*W403+SUMPRODUCT((Calc!$A$2:$A$1001=A403)*Calc!$G$2:$G$1001*((((K403+O403)-(L403+Calc!$J$2:$J$1001))&gt;0)*(((K403+O403)-(L403+Calc!$J$2:$J$1001))&lt;Calc!$F$2:$F$1001)*((K403+O403)-(L403+Calc!$J$2:$J$1001))+(((K403+O403)-(L403+Calc!$J$2:$J$1001))&gt;=Calc!$F$2:$F$1001)*Calc!$F$2:$F$1001))))</f>
        <v/>
      </c>
      <c r="T403">
        <f>IF(AND(E403=1,B403="RETURN"),Transactions!E403*Transactions!G403,0)</f>
        <v/>
      </c>
      <c r="U403">
        <f>IF(AND(E403=1,B403="EXPENSE"),Transactions!J403,0)</f>
        <v/>
      </c>
      <c r="V403">
        <f>IF(AND(Transactions!A403&lt;&gt;"",E403=0),ROW(),"")</f>
        <v/>
      </c>
      <c r="W403">
        <f>IFERROR(VLOOKUP(A403,Opening!$A:$D,4,0),0)</f>
        <v/>
      </c>
    </row>
    <row r="404">
      <c r="A404">
        <f>IF(Transactions!D404="","",UPPER(TRIM(Transactions!D404)))</f>
        <v/>
      </c>
      <c r="B404">
        <f>IF(Transactions!C404="","",UPPER(TRIM(Transactions!C404)))</f>
        <v/>
      </c>
      <c r="C404">
        <f>IF(Transactions!B404="",0,YEAR(Transactions!B404)*100+MONTH(Transactions!B404))</f>
        <v/>
      </c>
      <c r="D404">
        <f>IF(Transactions!A404="",1,IF(COUNTIF(Transactions!$A$1:A403,Transactions!A404)&gt;0,1,0))</f>
        <v/>
      </c>
      <c r="E404">
        <f>IF(D404=1,0,IF(B404="RETURN",IF(COUNTIFS($A$1:A403,A404,$B$1:B403,"SALE",$E$1:E403,1)&gt;0,1,0),1))</f>
        <v/>
      </c>
      <c r="F404">
        <f>IF(E404=1,IF(B404="RECEIPT",Transactions!E404,IF(AND(B404="RETURN",LOWER(TRIM(Transactions!H404))="resellable"),Transactions!E404,0)),0)</f>
        <v/>
      </c>
      <c r="G404">
        <f>IF(F404&gt;0,IF(B404="RECEIPT",Transactions!F404,IF(_xlfn.MAXIFS($H$2:H404,$A$2:A404,A404)&gt;0,INDEX(Transactions!$F:$F,_xlfn.MAXIFS($H$2:H404,$A$2:A404,A404)),W404)),0)</f>
        <v/>
      </c>
      <c r="H404">
        <f>IF(AND(E404=1,B404="RECEIPT"),ROW(),0)</f>
        <v/>
      </c>
      <c r="I404">
        <f>IF(E404=1,IF(OR(B404="SALE",B404="WRITEOFF"),Transactions!E404,0),0)</f>
        <v/>
      </c>
      <c r="J404">
        <f>SUMIFS($F$1:F403,$A$1:A403,A404)</f>
        <v/>
      </c>
      <c r="K404">
        <f>SUMIFS($I$1:I403,$A$1:A403,A404)</f>
        <v/>
      </c>
      <c r="L404">
        <f>IFERROR(VLOOKUP(A404,Opening!$A:$C,3,0),0)</f>
        <v/>
      </c>
      <c r="M404">
        <f>IF(I404=0,0,MAX(0,MIN(INDEX(Month!H$2:H$13,MATCH($A404,Month!$A$2:$A$13,0))-K404,I404)))</f>
        <v/>
      </c>
      <c r="N404">
        <f>IF(I404=0,0,MAX(0,MIN(INDEX(Month!I$2:I$13,MATCH($A404,Month!$A$2:$A$13,0))-K404,I404)))</f>
        <v/>
      </c>
      <c r="O404">
        <f>IF(I404=0,0,MAX(0,MIN(INDEX(Month!J$2:J$13,MATCH($A404,Month!$A$2:$A$13,0))-K404,I404)))</f>
        <v/>
      </c>
      <c r="P404">
        <f>IF(I404=0,0,(MIN(MAX(K404,0),L404)*W404+SUMPRODUCT((Calc!$A$2:$A$1001=A404)*Calc!$G$2:$G$1001*(((K404-(L404+Calc!$J$2:$J$1001))&gt;0)*((K404-(L404+Calc!$J$2:$J$1001))&lt;Calc!$F$2:$F$1001)*(K404-(L404+Calc!$J$2:$J$1001))+((K404-(L404+Calc!$J$2:$J$1001))&gt;=Calc!$F$2:$F$1001)*Calc!$F$2:$F$1001))))</f>
        <v/>
      </c>
      <c r="Q404">
        <f>IF(I404=0,0,(MIN(MAX((K404+M404),0),L404)*W404+SUMPRODUCT((Calc!$A$2:$A$1001=A404)*Calc!$G$2:$G$1001*((((K404+M404)-(L404+Calc!$J$2:$J$1001))&gt;0)*(((K404+M404)-(L404+Calc!$J$2:$J$1001))&lt;Calc!$F$2:$F$1001)*((K404+M404)-(L404+Calc!$J$2:$J$1001))+(((K404+M404)-(L404+Calc!$J$2:$J$1001))&gt;=Calc!$F$2:$F$1001)*Calc!$F$2:$F$1001))))</f>
        <v/>
      </c>
      <c r="R404">
        <f>IF(I404=0,0,(MIN(MAX((K404+N404),0),L404)*W404+SUMPRODUCT((Calc!$A$2:$A$1001=A404)*Calc!$G$2:$G$1001*((((K404+N404)-(L404+Calc!$J$2:$J$1001))&gt;0)*(((K404+N404)-(L404+Calc!$J$2:$J$1001))&lt;Calc!$F$2:$F$1001)*((K404+N404)-(L404+Calc!$J$2:$J$1001))+(((K404+N404)-(L404+Calc!$J$2:$J$1001))&gt;=Calc!$F$2:$F$1001)*Calc!$F$2:$F$1001))))</f>
        <v/>
      </c>
      <c r="S404">
        <f>IF(I404=0,0,(MIN(MAX((K404+O404),0),L404)*W404+SUMPRODUCT((Calc!$A$2:$A$1001=A404)*Calc!$G$2:$G$1001*((((K404+O404)-(L404+Calc!$J$2:$J$1001))&gt;0)*(((K404+O404)-(L404+Calc!$J$2:$J$1001))&lt;Calc!$F$2:$F$1001)*((K404+O404)-(L404+Calc!$J$2:$J$1001))+(((K404+O404)-(L404+Calc!$J$2:$J$1001))&gt;=Calc!$F$2:$F$1001)*Calc!$F$2:$F$1001))))</f>
        <v/>
      </c>
      <c r="T404">
        <f>IF(AND(E404=1,B404="RETURN"),Transactions!E404*Transactions!G404,0)</f>
        <v/>
      </c>
      <c r="U404">
        <f>IF(AND(E404=1,B404="EXPENSE"),Transactions!J404,0)</f>
        <v/>
      </c>
      <c r="V404">
        <f>IF(AND(Transactions!A404&lt;&gt;"",E404=0),ROW(),"")</f>
        <v/>
      </c>
      <c r="W404">
        <f>IFERROR(VLOOKUP(A404,Opening!$A:$D,4,0),0)</f>
        <v/>
      </c>
    </row>
    <row r="405">
      <c r="A405">
        <f>IF(Transactions!D405="","",UPPER(TRIM(Transactions!D405)))</f>
        <v/>
      </c>
      <c r="B405">
        <f>IF(Transactions!C405="","",UPPER(TRIM(Transactions!C405)))</f>
        <v/>
      </c>
      <c r="C405">
        <f>IF(Transactions!B405="",0,YEAR(Transactions!B405)*100+MONTH(Transactions!B405))</f>
        <v/>
      </c>
      <c r="D405">
        <f>IF(Transactions!A405="",1,IF(COUNTIF(Transactions!$A$1:A404,Transactions!A405)&gt;0,1,0))</f>
        <v/>
      </c>
      <c r="E405">
        <f>IF(D405=1,0,IF(B405="RETURN",IF(COUNTIFS($A$1:A404,A405,$B$1:B404,"SALE",$E$1:E404,1)&gt;0,1,0),1))</f>
        <v/>
      </c>
      <c r="F405">
        <f>IF(E405=1,IF(B405="RECEIPT",Transactions!E405,IF(AND(B405="RETURN",LOWER(TRIM(Transactions!H405))="resellable"),Transactions!E405,0)),0)</f>
        <v/>
      </c>
      <c r="G405">
        <f>IF(F405&gt;0,IF(B405="RECEIPT",Transactions!F405,IF(_xlfn.MAXIFS($H$2:H405,$A$2:A405,A405)&gt;0,INDEX(Transactions!$F:$F,_xlfn.MAXIFS($H$2:H405,$A$2:A405,A405)),W405)),0)</f>
        <v/>
      </c>
      <c r="H405">
        <f>IF(AND(E405=1,B405="RECEIPT"),ROW(),0)</f>
        <v/>
      </c>
      <c r="I405">
        <f>IF(E405=1,IF(OR(B405="SALE",B405="WRITEOFF"),Transactions!E405,0),0)</f>
        <v/>
      </c>
      <c r="J405">
        <f>SUMIFS($F$1:F404,$A$1:A404,A405)</f>
        <v/>
      </c>
      <c r="K405">
        <f>SUMIFS($I$1:I404,$A$1:A404,A405)</f>
        <v/>
      </c>
      <c r="L405">
        <f>IFERROR(VLOOKUP(A405,Opening!$A:$C,3,0),0)</f>
        <v/>
      </c>
      <c r="M405">
        <f>IF(I405=0,0,MAX(0,MIN(INDEX(Month!H$2:H$13,MATCH($A405,Month!$A$2:$A$13,0))-K405,I405)))</f>
        <v/>
      </c>
      <c r="N405">
        <f>IF(I405=0,0,MAX(0,MIN(INDEX(Month!I$2:I$13,MATCH($A405,Month!$A$2:$A$13,0))-K405,I405)))</f>
        <v/>
      </c>
      <c r="O405">
        <f>IF(I405=0,0,MAX(0,MIN(INDEX(Month!J$2:J$13,MATCH($A405,Month!$A$2:$A$13,0))-K405,I405)))</f>
        <v/>
      </c>
      <c r="P405">
        <f>IF(I405=0,0,(MIN(MAX(K405,0),L405)*W405+SUMPRODUCT((Calc!$A$2:$A$1001=A405)*Calc!$G$2:$G$1001*(((K405-(L405+Calc!$J$2:$J$1001))&gt;0)*((K405-(L405+Calc!$J$2:$J$1001))&lt;Calc!$F$2:$F$1001)*(K405-(L405+Calc!$J$2:$J$1001))+((K405-(L405+Calc!$J$2:$J$1001))&gt;=Calc!$F$2:$F$1001)*Calc!$F$2:$F$1001))))</f>
        <v/>
      </c>
      <c r="Q405">
        <f>IF(I405=0,0,(MIN(MAX((K405+M405),0),L405)*W405+SUMPRODUCT((Calc!$A$2:$A$1001=A405)*Calc!$G$2:$G$1001*((((K405+M405)-(L405+Calc!$J$2:$J$1001))&gt;0)*(((K405+M405)-(L405+Calc!$J$2:$J$1001))&lt;Calc!$F$2:$F$1001)*((K405+M405)-(L405+Calc!$J$2:$J$1001))+(((K405+M405)-(L405+Calc!$J$2:$J$1001))&gt;=Calc!$F$2:$F$1001)*Calc!$F$2:$F$1001))))</f>
        <v/>
      </c>
      <c r="R405">
        <f>IF(I405=0,0,(MIN(MAX((K405+N405),0),L405)*W405+SUMPRODUCT((Calc!$A$2:$A$1001=A405)*Calc!$G$2:$G$1001*((((K405+N405)-(L405+Calc!$J$2:$J$1001))&gt;0)*(((K405+N405)-(L405+Calc!$J$2:$J$1001))&lt;Calc!$F$2:$F$1001)*((K405+N405)-(L405+Calc!$J$2:$J$1001))+(((K405+N405)-(L405+Calc!$J$2:$J$1001))&gt;=Calc!$F$2:$F$1001)*Calc!$F$2:$F$1001))))</f>
        <v/>
      </c>
      <c r="S405">
        <f>IF(I405=0,0,(MIN(MAX((K405+O405),0),L405)*W405+SUMPRODUCT((Calc!$A$2:$A$1001=A405)*Calc!$G$2:$G$1001*((((K405+O405)-(L405+Calc!$J$2:$J$1001))&gt;0)*(((K405+O405)-(L405+Calc!$J$2:$J$1001))&lt;Calc!$F$2:$F$1001)*((K405+O405)-(L405+Calc!$J$2:$J$1001))+(((K405+O405)-(L405+Calc!$J$2:$J$1001))&gt;=Calc!$F$2:$F$1001)*Calc!$F$2:$F$1001))))</f>
        <v/>
      </c>
      <c r="T405">
        <f>IF(AND(E405=1,B405="RETURN"),Transactions!E405*Transactions!G405,0)</f>
        <v/>
      </c>
      <c r="U405">
        <f>IF(AND(E405=1,B405="EXPENSE"),Transactions!J405,0)</f>
        <v/>
      </c>
      <c r="V405">
        <f>IF(AND(Transactions!A405&lt;&gt;"",E405=0),ROW(),"")</f>
        <v/>
      </c>
      <c r="W405">
        <f>IFERROR(VLOOKUP(A405,Opening!$A:$D,4,0),0)</f>
        <v/>
      </c>
    </row>
    <row r="406">
      <c r="A406">
        <f>IF(Transactions!D406="","",UPPER(TRIM(Transactions!D406)))</f>
        <v/>
      </c>
      <c r="B406">
        <f>IF(Transactions!C406="","",UPPER(TRIM(Transactions!C406)))</f>
        <v/>
      </c>
      <c r="C406">
        <f>IF(Transactions!B406="",0,YEAR(Transactions!B406)*100+MONTH(Transactions!B406))</f>
        <v/>
      </c>
      <c r="D406">
        <f>IF(Transactions!A406="",1,IF(COUNTIF(Transactions!$A$1:A405,Transactions!A406)&gt;0,1,0))</f>
        <v/>
      </c>
      <c r="E406">
        <f>IF(D406=1,0,IF(B406="RETURN",IF(COUNTIFS($A$1:A405,A406,$B$1:B405,"SALE",$E$1:E405,1)&gt;0,1,0),1))</f>
        <v/>
      </c>
      <c r="F406">
        <f>IF(E406=1,IF(B406="RECEIPT",Transactions!E406,IF(AND(B406="RETURN",LOWER(TRIM(Transactions!H406))="resellable"),Transactions!E406,0)),0)</f>
        <v/>
      </c>
      <c r="G406">
        <f>IF(F406&gt;0,IF(B406="RECEIPT",Transactions!F406,IF(_xlfn.MAXIFS($H$2:H406,$A$2:A406,A406)&gt;0,INDEX(Transactions!$F:$F,_xlfn.MAXIFS($H$2:H406,$A$2:A406,A406)),W406)),0)</f>
        <v/>
      </c>
      <c r="H406">
        <f>IF(AND(E406=1,B406="RECEIPT"),ROW(),0)</f>
        <v/>
      </c>
      <c r="I406">
        <f>IF(E406=1,IF(OR(B406="SALE",B406="WRITEOFF"),Transactions!E406,0),0)</f>
        <v/>
      </c>
      <c r="J406">
        <f>SUMIFS($F$1:F405,$A$1:A405,A406)</f>
        <v/>
      </c>
      <c r="K406">
        <f>SUMIFS($I$1:I405,$A$1:A405,A406)</f>
        <v/>
      </c>
      <c r="L406">
        <f>IFERROR(VLOOKUP(A406,Opening!$A:$C,3,0),0)</f>
        <v/>
      </c>
      <c r="M406">
        <f>IF(I406=0,0,MAX(0,MIN(INDEX(Month!H$2:H$13,MATCH($A406,Month!$A$2:$A$13,0))-K406,I406)))</f>
        <v/>
      </c>
      <c r="N406">
        <f>IF(I406=0,0,MAX(0,MIN(INDEX(Month!I$2:I$13,MATCH($A406,Month!$A$2:$A$13,0))-K406,I406)))</f>
        <v/>
      </c>
      <c r="O406">
        <f>IF(I406=0,0,MAX(0,MIN(INDEX(Month!J$2:J$13,MATCH($A406,Month!$A$2:$A$13,0))-K406,I406)))</f>
        <v/>
      </c>
      <c r="P406">
        <f>IF(I406=0,0,(MIN(MAX(K406,0),L406)*W406+SUMPRODUCT((Calc!$A$2:$A$1001=A406)*Calc!$G$2:$G$1001*(((K406-(L406+Calc!$J$2:$J$1001))&gt;0)*((K406-(L406+Calc!$J$2:$J$1001))&lt;Calc!$F$2:$F$1001)*(K406-(L406+Calc!$J$2:$J$1001))+((K406-(L406+Calc!$J$2:$J$1001))&gt;=Calc!$F$2:$F$1001)*Calc!$F$2:$F$1001))))</f>
        <v/>
      </c>
      <c r="Q406">
        <f>IF(I406=0,0,(MIN(MAX((K406+M406),0),L406)*W406+SUMPRODUCT((Calc!$A$2:$A$1001=A406)*Calc!$G$2:$G$1001*((((K406+M406)-(L406+Calc!$J$2:$J$1001))&gt;0)*(((K406+M406)-(L406+Calc!$J$2:$J$1001))&lt;Calc!$F$2:$F$1001)*((K406+M406)-(L406+Calc!$J$2:$J$1001))+(((K406+M406)-(L406+Calc!$J$2:$J$1001))&gt;=Calc!$F$2:$F$1001)*Calc!$F$2:$F$1001))))</f>
        <v/>
      </c>
      <c r="R406">
        <f>IF(I406=0,0,(MIN(MAX((K406+N406),0),L406)*W406+SUMPRODUCT((Calc!$A$2:$A$1001=A406)*Calc!$G$2:$G$1001*((((K406+N406)-(L406+Calc!$J$2:$J$1001))&gt;0)*(((K406+N406)-(L406+Calc!$J$2:$J$1001))&lt;Calc!$F$2:$F$1001)*((K406+N406)-(L406+Calc!$J$2:$J$1001))+(((K406+N406)-(L406+Calc!$J$2:$J$1001))&gt;=Calc!$F$2:$F$1001)*Calc!$F$2:$F$1001))))</f>
        <v/>
      </c>
      <c r="S406">
        <f>IF(I406=0,0,(MIN(MAX((K406+O406),0),L406)*W406+SUMPRODUCT((Calc!$A$2:$A$1001=A406)*Calc!$G$2:$G$1001*((((K406+O406)-(L406+Calc!$J$2:$J$1001))&gt;0)*(((K406+O406)-(L406+Calc!$J$2:$J$1001))&lt;Calc!$F$2:$F$1001)*((K406+O406)-(L406+Calc!$J$2:$J$1001))+(((K406+O406)-(L406+Calc!$J$2:$J$1001))&gt;=Calc!$F$2:$F$1001)*Calc!$F$2:$F$1001))))</f>
        <v/>
      </c>
      <c r="T406">
        <f>IF(AND(E406=1,B406="RETURN"),Transactions!E406*Transactions!G406,0)</f>
        <v/>
      </c>
      <c r="U406">
        <f>IF(AND(E406=1,B406="EXPENSE"),Transactions!J406,0)</f>
        <v/>
      </c>
      <c r="V406">
        <f>IF(AND(Transactions!A406&lt;&gt;"",E406=0),ROW(),"")</f>
        <v/>
      </c>
      <c r="W406">
        <f>IFERROR(VLOOKUP(A406,Opening!$A:$D,4,0),0)</f>
        <v/>
      </c>
    </row>
    <row r="407">
      <c r="A407">
        <f>IF(Transactions!D407="","",UPPER(TRIM(Transactions!D407)))</f>
        <v/>
      </c>
      <c r="B407">
        <f>IF(Transactions!C407="","",UPPER(TRIM(Transactions!C407)))</f>
        <v/>
      </c>
      <c r="C407">
        <f>IF(Transactions!B407="",0,YEAR(Transactions!B407)*100+MONTH(Transactions!B407))</f>
        <v/>
      </c>
      <c r="D407">
        <f>IF(Transactions!A407="",1,IF(COUNTIF(Transactions!$A$1:A406,Transactions!A407)&gt;0,1,0))</f>
        <v/>
      </c>
      <c r="E407">
        <f>IF(D407=1,0,IF(B407="RETURN",IF(COUNTIFS($A$1:A406,A407,$B$1:B406,"SALE",$E$1:E406,1)&gt;0,1,0),1))</f>
        <v/>
      </c>
      <c r="F407">
        <f>IF(E407=1,IF(B407="RECEIPT",Transactions!E407,IF(AND(B407="RETURN",LOWER(TRIM(Transactions!H407))="resellable"),Transactions!E407,0)),0)</f>
        <v/>
      </c>
      <c r="G407">
        <f>IF(F407&gt;0,IF(B407="RECEIPT",Transactions!F407,IF(_xlfn.MAXIFS($H$2:H407,$A$2:A407,A407)&gt;0,INDEX(Transactions!$F:$F,_xlfn.MAXIFS($H$2:H407,$A$2:A407,A407)),W407)),0)</f>
        <v/>
      </c>
      <c r="H407">
        <f>IF(AND(E407=1,B407="RECEIPT"),ROW(),0)</f>
        <v/>
      </c>
      <c r="I407">
        <f>IF(E407=1,IF(OR(B407="SALE",B407="WRITEOFF"),Transactions!E407,0),0)</f>
        <v/>
      </c>
      <c r="J407">
        <f>SUMIFS($F$1:F406,$A$1:A406,A407)</f>
        <v/>
      </c>
      <c r="K407">
        <f>SUMIFS($I$1:I406,$A$1:A406,A407)</f>
        <v/>
      </c>
      <c r="L407">
        <f>IFERROR(VLOOKUP(A407,Opening!$A:$C,3,0),0)</f>
        <v/>
      </c>
      <c r="M407">
        <f>IF(I407=0,0,MAX(0,MIN(INDEX(Month!H$2:H$13,MATCH($A407,Month!$A$2:$A$13,0))-K407,I407)))</f>
        <v/>
      </c>
      <c r="N407">
        <f>IF(I407=0,0,MAX(0,MIN(INDEX(Month!I$2:I$13,MATCH($A407,Month!$A$2:$A$13,0))-K407,I407)))</f>
        <v/>
      </c>
      <c r="O407">
        <f>IF(I407=0,0,MAX(0,MIN(INDEX(Month!J$2:J$13,MATCH($A407,Month!$A$2:$A$13,0))-K407,I407)))</f>
        <v/>
      </c>
      <c r="P407">
        <f>IF(I407=0,0,(MIN(MAX(K407,0),L407)*W407+SUMPRODUCT((Calc!$A$2:$A$1001=A407)*Calc!$G$2:$G$1001*(((K407-(L407+Calc!$J$2:$J$1001))&gt;0)*((K407-(L407+Calc!$J$2:$J$1001))&lt;Calc!$F$2:$F$1001)*(K407-(L407+Calc!$J$2:$J$1001))+((K407-(L407+Calc!$J$2:$J$1001))&gt;=Calc!$F$2:$F$1001)*Calc!$F$2:$F$1001))))</f>
        <v/>
      </c>
      <c r="Q407">
        <f>IF(I407=0,0,(MIN(MAX((K407+M407),0),L407)*W407+SUMPRODUCT((Calc!$A$2:$A$1001=A407)*Calc!$G$2:$G$1001*((((K407+M407)-(L407+Calc!$J$2:$J$1001))&gt;0)*(((K407+M407)-(L407+Calc!$J$2:$J$1001))&lt;Calc!$F$2:$F$1001)*((K407+M407)-(L407+Calc!$J$2:$J$1001))+(((K407+M407)-(L407+Calc!$J$2:$J$1001))&gt;=Calc!$F$2:$F$1001)*Calc!$F$2:$F$1001))))</f>
        <v/>
      </c>
      <c r="R407">
        <f>IF(I407=0,0,(MIN(MAX((K407+N407),0),L407)*W407+SUMPRODUCT((Calc!$A$2:$A$1001=A407)*Calc!$G$2:$G$1001*((((K407+N407)-(L407+Calc!$J$2:$J$1001))&gt;0)*(((K407+N407)-(L407+Calc!$J$2:$J$1001))&lt;Calc!$F$2:$F$1001)*((K407+N407)-(L407+Calc!$J$2:$J$1001))+(((K407+N407)-(L407+Calc!$J$2:$J$1001))&gt;=Calc!$F$2:$F$1001)*Calc!$F$2:$F$1001))))</f>
        <v/>
      </c>
      <c r="S407">
        <f>IF(I407=0,0,(MIN(MAX((K407+O407),0),L407)*W407+SUMPRODUCT((Calc!$A$2:$A$1001=A407)*Calc!$G$2:$G$1001*((((K407+O407)-(L407+Calc!$J$2:$J$1001))&gt;0)*(((K407+O407)-(L407+Calc!$J$2:$J$1001))&lt;Calc!$F$2:$F$1001)*((K407+O407)-(L407+Calc!$J$2:$J$1001))+(((K407+O407)-(L407+Calc!$J$2:$J$1001))&gt;=Calc!$F$2:$F$1001)*Calc!$F$2:$F$1001))))</f>
        <v/>
      </c>
      <c r="T407">
        <f>IF(AND(E407=1,B407="RETURN"),Transactions!E407*Transactions!G407,0)</f>
        <v/>
      </c>
      <c r="U407">
        <f>IF(AND(E407=1,B407="EXPENSE"),Transactions!J407,0)</f>
        <v/>
      </c>
      <c r="V407">
        <f>IF(AND(Transactions!A407&lt;&gt;"",E407=0),ROW(),"")</f>
        <v/>
      </c>
      <c r="W407">
        <f>IFERROR(VLOOKUP(A407,Opening!$A:$D,4,0),0)</f>
        <v/>
      </c>
    </row>
    <row r="408">
      <c r="A408">
        <f>IF(Transactions!D408="","",UPPER(TRIM(Transactions!D408)))</f>
        <v/>
      </c>
      <c r="B408">
        <f>IF(Transactions!C408="","",UPPER(TRIM(Transactions!C408)))</f>
        <v/>
      </c>
      <c r="C408">
        <f>IF(Transactions!B408="",0,YEAR(Transactions!B408)*100+MONTH(Transactions!B408))</f>
        <v/>
      </c>
      <c r="D408">
        <f>IF(Transactions!A408="",1,IF(COUNTIF(Transactions!$A$1:A407,Transactions!A408)&gt;0,1,0))</f>
        <v/>
      </c>
      <c r="E408">
        <f>IF(D408=1,0,IF(B408="RETURN",IF(COUNTIFS($A$1:A407,A408,$B$1:B407,"SALE",$E$1:E407,1)&gt;0,1,0),1))</f>
        <v/>
      </c>
      <c r="F408">
        <f>IF(E408=1,IF(B408="RECEIPT",Transactions!E408,IF(AND(B408="RETURN",LOWER(TRIM(Transactions!H408))="resellable"),Transactions!E408,0)),0)</f>
        <v/>
      </c>
      <c r="G408">
        <f>IF(F408&gt;0,IF(B408="RECEIPT",Transactions!F408,IF(_xlfn.MAXIFS($H$2:H408,$A$2:A408,A408)&gt;0,INDEX(Transactions!$F:$F,_xlfn.MAXIFS($H$2:H408,$A$2:A408,A408)),W408)),0)</f>
        <v/>
      </c>
      <c r="H408">
        <f>IF(AND(E408=1,B408="RECEIPT"),ROW(),0)</f>
        <v/>
      </c>
      <c r="I408">
        <f>IF(E408=1,IF(OR(B408="SALE",B408="WRITEOFF"),Transactions!E408,0),0)</f>
        <v/>
      </c>
      <c r="J408">
        <f>SUMIFS($F$1:F407,$A$1:A407,A408)</f>
        <v/>
      </c>
      <c r="K408">
        <f>SUMIFS($I$1:I407,$A$1:A407,A408)</f>
        <v/>
      </c>
      <c r="L408">
        <f>IFERROR(VLOOKUP(A408,Opening!$A:$C,3,0),0)</f>
        <v/>
      </c>
      <c r="M408">
        <f>IF(I408=0,0,MAX(0,MIN(INDEX(Month!H$2:H$13,MATCH($A408,Month!$A$2:$A$13,0))-K408,I408)))</f>
        <v/>
      </c>
      <c r="N408">
        <f>IF(I408=0,0,MAX(0,MIN(INDEX(Month!I$2:I$13,MATCH($A408,Month!$A$2:$A$13,0))-K408,I408)))</f>
        <v/>
      </c>
      <c r="O408">
        <f>IF(I408=0,0,MAX(0,MIN(INDEX(Month!J$2:J$13,MATCH($A408,Month!$A$2:$A$13,0))-K408,I408)))</f>
        <v/>
      </c>
      <c r="P408">
        <f>IF(I408=0,0,(MIN(MAX(K408,0),L408)*W408+SUMPRODUCT((Calc!$A$2:$A$1001=A408)*Calc!$G$2:$G$1001*(((K408-(L408+Calc!$J$2:$J$1001))&gt;0)*((K408-(L408+Calc!$J$2:$J$1001))&lt;Calc!$F$2:$F$1001)*(K408-(L408+Calc!$J$2:$J$1001))+((K408-(L408+Calc!$J$2:$J$1001))&gt;=Calc!$F$2:$F$1001)*Calc!$F$2:$F$1001))))</f>
        <v/>
      </c>
      <c r="Q408">
        <f>IF(I408=0,0,(MIN(MAX((K408+M408),0),L408)*W408+SUMPRODUCT((Calc!$A$2:$A$1001=A408)*Calc!$G$2:$G$1001*((((K408+M408)-(L408+Calc!$J$2:$J$1001))&gt;0)*(((K408+M408)-(L408+Calc!$J$2:$J$1001))&lt;Calc!$F$2:$F$1001)*((K408+M408)-(L408+Calc!$J$2:$J$1001))+(((K408+M408)-(L408+Calc!$J$2:$J$1001))&gt;=Calc!$F$2:$F$1001)*Calc!$F$2:$F$1001))))</f>
        <v/>
      </c>
      <c r="R408">
        <f>IF(I408=0,0,(MIN(MAX((K408+N408),0),L408)*W408+SUMPRODUCT((Calc!$A$2:$A$1001=A408)*Calc!$G$2:$G$1001*((((K408+N408)-(L408+Calc!$J$2:$J$1001))&gt;0)*(((K408+N408)-(L408+Calc!$J$2:$J$1001))&lt;Calc!$F$2:$F$1001)*((K408+N408)-(L408+Calc!$J$2:$J$1001))+(((K408+N408)-(L408+Calc!$J$2:$J$1001))&gt;=Calc!$F$2:$F$1001)*Calc!$F$2:$F$1001))))</f>
        <v/>
      </c>
      <c r="S408">
        <f>IF(I408=0,0,(MIN(MAX((K408+O408),0),L408)*W408+SUMPRODUCT((Calc!$A$2:$A$1001=A408)*Calc!$G$2:$G$1001*((((K408+O408)-(L408+Calc!$J$2:$J$1001))&gt;0)*(((K408+O408)-(L408+Calc!$J$2:$J$1001))&lt;Calc!$F$2:$F$1001)*((K408+O408)-(L408+Calc!$J$2:$J$1001))+(((K408+O408)-(L408+Calc!$J$2:$J$1001))&gt;=Calc!$F$2:$F$1001)*Calc!$F$2:$F$1001))))</f>
        <v/>
      </c>
      <c r="T408">
        <f>IF(AND(E408=1,B408="RETURN"),Transactions!E408*Transactions!G408,0)</f>
        <v/>
      </c>
      <c r="U408">
        <f>IF(AND(E408=1,B408="EXPENSE"),Transactions!J408,0)</f>
        <v/>
      </c>
      <c r="V408">
        <f>IF(AND(Transactions!A408&lt;&gt;"",E408=0),ROW(),"")</f>
        <v/>
      </c>
      <c r="W408">
        <f>IFERROR(VLOOKUP(A408,Opening!$A:$D,4,0),0)</f>
        <v/>
      </c>
    </row>
    <row r="409">
      <c r="A409">
        <f>IF(Transactions!D409="","",UPPER(TRIM(Transactions!D409)))</f>
        <v/>
      </c>
      <c r="B409">
        <f>IF(Transactions!C409="","",UPPER(TRIM(Transactions!C409)))</f>
        <v/>
      </c>
      <c r="C409">
        <f>IF(Transactions!B409="",0,YEAR(Transactions!B409)*100+MONTH(Transactions!B409))</f>
        <v/>
      </c>
      <c r="D409">
        <f>IF(Transactions!A409="",1,IF(COUNTIF(Transactions!$A$1:A408,Transactions!A409)&gt;0,1,0))</f>
        <v/>
      </c>
      <c r="E409">
        <f>IF(D409=1,0,IF(B409="RETURN",IF(COUNTIFS($A$1:A408,A409,$B$1:B408,"SALE",$E$1:E408,1)&gt;0,1,0),1))</f>
        <v/>
      </c>
      <c r="F409">
        <f>IF(E409=1,IF(B409="RECEIPT",Transactions!E409,IF(AND(B409="RETURN",LOWER(TRIM(Transactions!H409))="resellable"),Transactions!E409,0)),0)</f>
        <v/>
      </c>
      <c r="G409">
        <f>IF(F409&gt;0,IF(B409="RECEIPT",Transactions!F409,IF(_xlfn.MAXIFS($H$2:H409,$A$2:A409,A409)&gt;0,INDEX(Transactions!$F:$F,_xlfn.MAXIFS($H$2:H409,$A$2:A409,A409)),W409)),0)</f>
        <v/>
      </c>
      <c r="H409">
        <f>IF(AND(E409=1,B409="RECEIPT"),ROW(),0)</f>
        <v/>
      </c>
      <c r="I409">
        <f>IF(E409=1,IF(OR(B409="SALE",B409="WRITEOFF"),Transactions!E409,0),0)</f>
        <v/>
      </c>
      <c r="J409">
        <f>SUMIFS($F$1:F408,$A$1:A408,A409)</f>
        <v/>
      </c>
      <c r="K409">
        <f>SUMIFS($I$1:I408,$A$1:A408,A409)</f>
        <v/>
      </c>
      <c r="L409">
        <f>IFERROR(VLOOKUP(A409,Opening!$A:$C,3,0),0)</f>
        <v/>
      </c>
      <c r="M409">
        <f>IF(I409=0,0,MAX(0,MIN(INDEX(Month!H$2:H$13,MATCH($A409,Month!$A$2:$A$13,0))-K409,I409)))</f>
        <v/>
      </c>
      <c r="N409">
        <f>IF(I409=0,0,MAX(0,MIN(INDEX(Month!I$2:I$13,MATCH($A409,Month!$A$2:$A$13,0))-K409,I409)))</f>
        <v/>
      </c>
      <c r="O409">
        <f>IF(I409=0,0,MAX(0,MIN(INDEX(Month!J$2:J$13,MATCH($A409,Month!$A$2:$A$13,0))-K409,I409)))</f>
        <v/>
      </c>
      <c r="P409">
        <f>IF(I409=0,0,(MIN(MAX(K409,0),L409)*W409+SUMPRODUCT((Calc!$A$2:$A$1001=A409)*Calc!$G$2:$G$1001*(((K409-(L409+Calc!$J$2:$J$1001))&gt;0)*((K409-(L409+Calc!$J$2:$J$1001))&lt;Calc!$F$2:$F$1001)*(K409-(L409+Calc!$J$2:$J$1001))+((K409-(L409+Calc!$J$2:$J$1001))&gt;=Calc!$F$2:$F$1001)*Calc!$F$2:$F$1001))))</f>
        <v/>
      </c>
      <c r="Q409">
        <f>IF(I409=0,0,(MIN(MAX((K409+M409),0),L409)*W409+SUMPRODUCT((Calc!$A$2:$A$1001=A409)*Calc!$G$2:$G$1001*((((K409+M409)-(L409+Calc!$J$2:$J$1001))&gt;0)*(((K409+M409)-(L409+Calc!$J$2:$J$1001))&lt;Calc!$F$2:$F$1001)*((K409+M409)-(L409+Calc!$J$2:$J$1001))+(((K409+M409)-(L409+Calc!$J$2:$J$1001))&gt;=Calc!$F$2:$F$1001)*Calc!$F$2:$F$1001))))</f>
        <v/>
      </c>
      <c r="R409">
        <f>IF(I409=0,0,(MIN(MAX((K409+N409),0),L409)*W409+SUMPRODUCT((Calc!$A$2:$A$1001=A409)*Calc!$G$2:$G$1001*((((K409+N409)-(L409+Calc!$J$2:$J$1001))&gt;0)*(((K409+N409)-(L409+Calc!$J$2:$J$1001))&lt;Calc!$F$2:$F$1001)*((K409+N409)-(L409+Calc!$J$2:$J$1001))+(((K409+N409)-(L409+Calc!$J$2:$J$1001))&gt;=Calc!$F$2:$F$1001)*Calc!$F$2:$F$1001))))</f>
        <v/>
      </c>
      <c r="S409">
        <f>IF(I409=0,0,(MIN(MAX((K409+O409),0),L409)*W409+SUMPRODUCT((Calc!$A$2:$A$1001=A409)*Calc!$G$2:$G$1001*((((K409+O409)-(L409+Calc!$J$2:$J$1001))&gt;0)*(((K409+O409)-(L409+Calc!$J$2:$J$1001))&lt;Calc!$F$2:$F$1001)*((K409+O409)-(L409+Calc!$J$2:$J$1001))+(((K409+O409)-(L409+Calc!$J$2:$J$1001))&gt;=Calc!$F$2:$F$1001)*Calc!$F$2:$F$1001))))</f>
        <v/>
      </c>
      <c r="T409">
        <f>IF(AND(E409=1,B409="RETURN"),Transactions!E409*Transactions!G409,0)</f>
        <v/>
      </c>
      <c r="U409">
        <f>IF(AND(E409=1,B409="EXPENSE"),Transactions!J409,0)</f>
        <v/>
      </c>
      <c r="V409">
        <f>IF(AND(Transactions!A409&lt;&gt;"",E409=0),ROW(),"")</f>
        <v/>
      </c>
      <c r="W409">
        <f>IFERROR(VLOOKUP(A409,Opening!$A:$D,4,0),0)</f>
        <v/>
      </c>
    </row>
    <row r="410">
      <c r="A410">
        <f>IF(Transactions!D410="","",UPPER(TRIM(Transactions!D410)))</f>
        <v/>
      </c>
      <c r="B410">
        <f>IF(Transactions!C410="","",UPPER(TRIM(Transactions!C410)))</f>
        <v/>
      </c>
      <c r="C410">
        <f>IF(Transactions!B410="",0,YEAR(Transactions!B410)*100+MONTH(Transactions!B410))</f>
        <v/>
      </c>
      <c r="D410">
        <f>IF(Transactions!A410="",1,IF(COUNTIF(Transactions!$A$1:A409,Transactions!A410)&gt;0,1,0))</f>
        <v/>
      </c>
      <c r="E410">
        <f>IF(D410=1,0,IF(B410="RETURN",IF(COUNTIFS($A$1:A409,A410,$B$1:B409,"SALE",$E$1:E409,1)&gt;0,1,0),1))</f>
        <v/>
      </c>
      <c r="F410">
        <f>IF(E410=1,IF(B410="RECEIPT",Transactions!E410,IF(AND(B410="RETURN",LOWER(TRIM(Transactions!H410))="resellable"),Transactions!E410,0)),0)</f>
        <v/>
      </c>
      <c r="G410">
        <f>IF(F410&gt;0,IF(B410="RECEIPT",Transactions!F410,IF(_xlfn.MAXIFS($H$2:H410,$A$2:A410,A410)&gt;0,INDEX(Transactions!$F:$F,_xlfn.MAXIFS($H$2:H410,$A$2:A410,A410)),W410)),0)</f>
        <v/>
      </c>
      <c r="H410">
        <f>IF(AND(E410=1,B410="RECEIPT"),ROW(),0)</f>
        <v/>
      </c>
      <c r="I410">
        <f>IF(E410=1,IF(OR(B410="SALE",B410="WRITEOFF"),Transactions!E410,0),0)</f>
        <v/>
      </c>
      <c r="J410">
        <f>SUMIFS($F$1:F409,$A$1:A409,A410)</f>
        <v/>
      </c>
      <c r="K410">
        <f>SUMIFS($I$1:I409,$A$1:A409,A410)</f>
        <v/>
      </c>
      <c r="L410">
        <f>IFERROR(VLOOKUP(A410,Opening!$A:$C,3,0),0)</f>
        <v/>
      </c>
      <c r="M410">
        <f>IF(I410=0,0,MAX(0,MIN(INDEX(Month!H$2:H$13,MATCH($A410,Month!$A$2:$A$13,0))-K410,I410)))</f>
        <v/>
      </c>
      <c r="N410">
        <f>IF(I410=0,0,MAX(0,MIN(INDEX(Month!I$2:I$13,MATCH($A410,Month!$A$2:$A$13,0))-K410,I410)))</f>
        <v/>
      </c>
      <c r="O410">
        <f>IF(I410=0,0,MAX(0,MIN(INDEX(Month!J$2:J$13,MATCH($A410,Month!$A$2:$A$13,0))-K410,I410)))</f>
        <v/>
      </c>
      <c r="P410">
        <f>IF(I410=0,0,(MIN(MAX(K410,0),L410)*W410+SUMPRODUCT((Calc!$A$2:$A$1001=A410)*Calc!$G$2:$G$1001*(((K410-(L410+Calc!$J$2:$J$1001))&gt;0)*((K410-(L410+Calc!$J$2:$J$1001))&lt;Calc!$F$2:$F$1001)*(K410-(L410+Calc!$J$2:$J$1001))+((K410-(L410+Calc!$J$2:$J$1001))&gt;=Calc!$F$2:$F$1001)*Calc!$F$2:$F$1001))))</f>
        <v/>
      </c>
      <c r="Q410">
        <f>IF(I410=0,0,(MIN(MAX((K410+M410),0),L410)*W410+SUMPRODUCT((Calc!$A$2:$A$1001=A410)*Calc!$G$2:$G$1001*((((K410+M410)-(L410+Calc!$J$2:$J$1001))&gt;0)*(((K410+M410)-(L410+Calc!$J$2:$J$1001))&lt;Calc!$F$2:$F$1001)*((K410+M410)-(L410+Calc!$J$2:$J$1001))+(((K410+M410)-(L410+Calc!$J$2:$J$1001))&gt;=Calc!$F$2:$F$1001)*Calc!$F$2:$F$1001))))</f>
        <v/>
      </c>
      <c r="R410">
        <f>IF(I410=0,0,(MIN(MAX((K410+N410),0),L410)*W410+SUMPRODUCT((Calc!$A$2:$A$1001=A410)*Calc!$G$2:$G$1001*((((K410+N410)-(L410+Calc!$J$2:$J$1001))&gt;0)*(((K410+N410)-(L410+Calc!$J$2:$J$1001))&lt;Calc!$F$2:$F$1001)*((K410+N410)-(L410+Calc!$J$2:$J$1001))+(((K410+N410)-(L410+Calc!$J$2:$J$1001))&gt;=Calc!$F$2:$F$1001)*Calc!$F$2:$F$1001))))</f>
        <v/>
      </c>
      <c r="S410">
        <f>IF(I410=0,0,(MIN(MAX((K410+O410),0),L410)*W410+SUMPRODUCT((Calc!$A$2:$A$1001=A410)*Calc!$G$2:$G$1001*((((K410+O410)-(L410+Calc!$J$2:$J$1001))&gt;0)*(((K410+O410)-(L410+Calc!$J$2:$J$1001))&lt;Calc!$F$2:$F$1001)*((K410+O410)-(L410+Calc!$J$2:$J$1001))+(((K410+O410)-(L410+Calc!$J$2:$J$1001))&gt;=Calc!$F$2:$F$1001)*Calc!$F$2:$F$1001))))</f>
        <v/>
      </c>
      <c r="T410">
        <f>IF(AND(E410=1,B410="RETURN"),Transactions!E410*Transactions!G410,0)</f>
        <v/>
      </c>
      <c r="U410">
        <f>IF(AND(E410=1,B410="EXPENSE"),Transactions!J410,0)</f>
        <v/>
      </c>
      <c r="V410">
        <f>IF(AND(Transactions!A410&lt;&gt;"",E410=0),ROW(),"")</f>
        <v/>
      </c>
      <c r="W410">
        <f>IFERROR(VLOOKUP(A410,Opening!$A:$D,4,0),0)</f>
        <v/>
      </c>
    </row>
    <row r="411">
      <c r="A411">
        <f>IF(Transactions!D411="","",UPPER(TRIM(Transactions!D411)))</f>
        <v/>
      </c>
      <c r="B411">
        <f>IF(Transactions!C411="","",UPPER(TRIM(Transactions!C411)))</f>
        <v/>
      </c>
      <c r="C411">
        <f>IF(Transactions!B411="",0,YEAR(Transactions!B411)*100+MONTH(Transactions!B411))</f>
        <v/>
      </c>
      <c r="D411">
        <f>IF(Transactions!A411="",1,IF(COUNTIF(Transactions!$A$1:A410,Transactions!A411)&gt;0,1,0))</f>
        <v/>
      </c>
      <c r="E411">
        <f>IF(D411=1,0,IF(B411="RETURN",IF(COUNTIFS($A$1:A410,A411,$B$1:B410,"SALE",$E$1:E410,1)&gt;0,1,0),1))</f>
        <v/>
      </c>
      <c r="F411">
        <f>IF(E411=1,IF(B411="RECEIPT",Transactions!E411,IF(AND(B411="RETURN",LOWER(TRIM(Transactions!H411))="resellable"),Transactions!E411,0)),0)</f>
        <v/>
      </c>
      <c r="G411">
        <f>IF(F411&gt;0,IF(B411="RECEIPT",Transactions!F411,IF(_xlfn.MAXIFS($H$2:H411,$A$2:A411,A411)&gt;0,INDEX(Transactions!$F:$F,_xlfn.MAXIFS($H$2:H411,$A$2:A411,A411)),W411)),0)</f>
        <v/>
      </c>
      <c r="H411">
        <f>IF(AND(E411=1,B411="RECEIPT"),ROW(),0)</f>
        <v/>
      </c>
      <c r="I411">
        <f>IF(E411=1,IF(OR(B411="SALE",B411="WRITEOFF"),Transactions!E411,0),0)</f>
        <v/>
      </c>
      <c r="J411">
        <f>SUMIFS($F$1:F410,$A$1:A410,A411)</f>
        <v/>
      </c>
      <c r="K411">
        <f>SUMIFS($I$1:I410,$A$1:A410,A411)</f>
        <v/>
      </c>
      <c r="L411">
        <f>IFERROR(VLOOKUP(A411,Opening!$A:$C,3,0),0)</f>
        <v/>
      </c>
      <c r="M411">
        <f>IF(I411=0,0,MAX(0,MIN(INDEX(Month!H$2:H$13,MATCH($A411,Month!$A$2:$A$13,0))-K411,I411)))</f>
        <v/>
      </c>
      <c r="N411">
        <f>IF(I411=0,0,MAX(0,MIN(INDEX(Month!I$2:I$13,MATCH($A411,Month!$A$2:$A$13,0))-K411,I411)))</f>
        <v/>
      </c>
      <c r="O411">
        <f>IF(I411=0,0,MAX(0,MIN(INDEX(Month!J$2:J$13,MATCH($A411,Month!$A$2:$A$13,0))-K411,I411)))</f>
        <v/>
      </c>
      <c r="P411">
        <f>IF(I411=0,0,(MIN(MAX(K411,0),L411)*W411+SUMPRODUCT((Calc!$A$2:$A$1001=A411)*Calc!$G$2:$G$1001*(((K411-(L411+Calc!$J$2:$J$1001))&gt;0)*((K411-(L411+Calc!$J$2:$J$1001))&lt;Calc!$F$2:$F$1001)*(K411-(L411+Calc!$J$2:$J$1001))+((K411-(L411+Calc!$J$2:$J$1001))&gt;=Calc!$F$2:$F$1001)*Calc!$F$2:$F$1001))))</f>
        <v/>
      </c>
      <c r="Q411">
        <f>IF(I411=0,0,(MIN(MAX((K411+M411),0),L411)*W411+SUMPRODUCT((Calc!$A$2:$A$1001=A411)*Calc!$G$2:$G$1001*((((K411+M411)-(L411+Calc!$J$2:$J$1001))&gt;0)*(((K411+M411)-(L411+Calc!$J$2:$J$1001))&lt;Calc!$F$2:$F$1001)*((K411+M411)-(L411+Calc!$J$2:$J$1001))+(((K411+M411)-(L411+Calc!$J$2:$J$1001))&gt;=Calc!$F$2:$F$1001)*Calc!$F$2:$F$1001))))</f>
        <v/>
      </c>
      <c r="R411">
        <f>IF(I411=0,0,(MIN(MAX((K411+N411),0),L411)*W411+SUMPRODUCT((Calc!$A$2:$A$1001=A411)*Calc!$G$2:$G$1001*((((K411+N411)-(L411+Calc!$J$2:$J$1001))&gt;0)*(((K411+N411)-(L411+Calc!$J$2:$J$1001))&lt;Calc!$F$2:$F$1001)*((K411+N411)-(L411+Calc!$J$2:$J$1001))+(((K411+N411)-(L411+Calc!$J$2:$J$1001))&gt;=Calc!$F$2:$F$1001)*Calc!$F$2:$F$1001))))</f>
        <v/>
      </c>
      <c r="S411">
        <f>IF(I411=0,0,(MIN(MAX((K411+O411),0),L411)*W411+SUMPRODUCT((Calc!$A$2:$A$1001=A411)*Calc!$G$2:$G$1001*((((K411+O411)-(L411+Calc!$J$2:$J$1001))&gt;0)*(((K411+O411)-(L411+Calc!$J$2:$J$1001))&lt;Calc!$F$2:$F$1001)*((K411+O411)-(L411+Calc!$J$2:$J$1001))+(((K411+O411)-(L411+Calc!$J$2:$J$1001))&gt;=Calc!$F$2:$F$1001)*Calc!$F$2:$F$1001))))</f>
        <v/>
      </c>
      <c r="T411">
        <f>IF(AND(E411=1,B411="RETURN"),Transactions!E411*Transactions!G411,0)</f>
        <v/>
      </c>
      <c r="U411">
        <f>IF(AND(E411=1,B411="EXPENSE"),Transactions!J411,0)</f>
        <v/>
      </c>
      <c r="V411">
        <f>IF(AND(Transactions!A411&lt;&gt;"",E411=0),ROW(),"")</f>
        <v/>
      </c>
      <c r="W411">
        <f>IFERROR(VLOOKUP(A411,Opening!$A:$D,4,0),0)</f>
        <v/>
      </c>
    </row>
    <row r="412">
      <c r="A412">
        <f>IF(Transactions!D412="","",UPPER(TRIM(Transactions!D412)))</f>
        <v/>
      </c>
      <c r="B412">
        <f>IF(Transactions!C412="","",UPPER(TRIM(Transactions!C412)))</f>
        <v/>
      </c>
      <c r="C412">
        <f>IF(Transactions!B412="",0,YEAR(Transactions!B412)*100+MONTH(Transactions!B412))</f>
        <v/>
      </c>
      <c r="D412">
        <f>IF(Transactions!A412="",1,IF(COUNTIF(Transactions!$A$1:A411,Transactions!A412)&gt;0,1,0))</f>
        <v/>
      </c>
      <c r="E412">
        <f>IF(D412=1,0,IF(B412="RETURN",IF(COUNTIFS($A$1:A411,A412,$B$1:B411,"SALE",$E$1:E411,1)&gt;0,1,0),1))</f>
        <v/>
      </c>
      <c r="F412">
        <f>IF(E412=1,IF(B412="RECEIPT",Transactions!E412,IF(AND(B412="RETURN",LOWER(TRIM(Transactions!H412))="resellable"),Transactions!E412,0)),0)</f>
        <v/>
      </c>
      <c r="G412">
        <f>IF(F412&gt;0,IF(B412="RECEIPT",Transactions!F412,IF(_xlfn.MAXIFS($H$2:H412,$A$2:A412,A412)&gt;0,INDEX(Transactions!$F:$F,_xlfn.MAXIFS($H$2:H412,$A$2:A412,A412)),W412)),0)</f>
        <v/>
      </c>
      <c r="H412">
        <f>IF(AND(E412=1,B412="RECEIPT"),ROW(),0)</f>
        <v/>
      </c>
      <c r="I412">
        <f>IF(E412=1,IF(OR(B412="SALE",B412="WRITEOFF"),Transactions!E412,0),0)</f>
        <v/>
      </c>
      <c r="J412">
        <f>SUMIFS($F$1:F411,$A$1:A411,A412)</f>
        <v/>
      </c>
      <c r="K412">
        <f>SUMIFS($I$1:I411,$A$1:A411,A412)</f>
        <v/>
      </c>
      <c r="L412">
        <f>IFERROR(VLOOKUP(A412,Opening!$A:$C,3,0),0)</f>
        <v/>
      </c>
      <c r="M412">
        <f>IF(I412=0,0,MAX(0,MIN(INDEX(Month!H$2:H$13,MATCH($A412,Month!$A$2:$A$13,0))-K412,I412)))</f>
        <v/>
      </c>
      <c r="N412">
        <f>IF(I412=0,0,MAX(0,MIN(INDEX(Month!I$2:I$13,MATCH($A412,Month!$A$2:$A$13,0))-K412,I412)))</f>
        <v/>
      </c>
      <c r="O412">
        <f>IF(I412=0,0,MAX(0,MIN(INDEX(Month!J$2:J$13,MATCH($A412,Month!$A$2:$A$13,0))-K412,I412)))</f>
        <v/>
      </c>
      <c r="P412">
        <f>IF(I412=0,0,(MIN(MAX(K412,0),L412)*W412+SUMPRODUCT((Calc!$A$2:$A$1001=A412)*Calc!$G$2:$G$1001*(((K412-(L412+Calc!$J$2:$J$1001))&gt;0)*((K412-(L412+Calc!$J$2:$J$1001))&lt;Calc!$F$2:$F$1001)*(K412-(L412+Calc!$J$2:$J$1001))+((K412-(L412+Calc!$J$2:$J$1001))&gt;=Calc!$F$2:$F$1001)*Calc!$F$2:$F$1001))))</f>
        <v/>
      </c>
      <c r="Q412">
        <f>IF(I412=0,0,(MIN(MAX((K412+M412),0),L412)*W412+SUMPRODUCT((Calc!$A$2:$A$1001=A412)*Calc!$G$2:$G$1001*((((K412+M412)-(L412+Calc!$J$2:$J$1001))&gt;0)*(((K412+M412)-(L412+Calc!$J$2:$J$1001))&lt;Calc!$F$2:$F$1001)*((K412+M412)-(L412+Calc!$J$2:$J$1001))+(((K412+M412)-(L412+Calc!$J$2:$J$1001))&gt;=Calc!$F$2:$F$1001)*Calc!$F$2:$F$1001))))</f>
        <v/>
      </c>
      <c r="R412">
        <f>IF(I412=0,0,(MIN(MAX((K412+N412),0),L412)*W412+SUMPRODUCT((Calc!$A$2:$A$1001=A412)*Calc!$G$2:$G$1001*((((K412+N412)-(L412+Calc!$J$2:$J$1001))&gt;0)*(((K412+N412)-(L412+Calc!$J$2:$J$1001))&lt;Calc!$F$2:$F$1001)*((K412+N412)-(L412+Calc!$J$2:$J$1001))+(((K412+N412)-(L412+Calc!$J$2:$J$1001))&gt;=Calc!$F$2:$F$1001)*Calc!$F$2:$F$1001))))</f>
        <v/>
      </c>
      <c r="S412">
        <f>IF(I412=0,0,(MIN(MAX((K412+O412),0),L412)*W412+SUMPRODUCT((Calc!$A$2:$A$1001=A412)*Calc!$G$2:$G$1001*((((K412+O412)-(L412+Calc!$J$2:$J$1001))&gt;0)*(((K412+O412)-(L412+Calc!$J$2:$J$1001))&lt;Calc!$F$2:$F$1001)*((K412+O412)-(L412+Calc!$J$2:$J$1001))+(((K412+O412)-(L412+Calc!$J$2:$J$1001))&gt;=Calc!$F$2:$F$1001)*Calc!$F$2:$F$1001))))</f>
        <v/>
      </c>
      <c r="T412">
        <f>IF(AND(E412=1,B412="RETURN"),Transactions!E412*Transactions!G412,0)</f>
        <v/>
      </c>
      <c r="U412">
        <f>IF(AND(E412=1,B412="EXPENSE"),Transactions!J412,0)</f>
        <v/>
      </c>
      <c r="V412">
        <f>IF(AND(Transactions!A412&lt;&gt;"",E412=0),ROW(),"")</f>
        <v/>
      </c>
      <c r="W412">
        <f>IFERROR(VLOOKUP(A412,Opening!$A:$D,4,0),0)</f>
        <v/>
      </c>
    </row>
    <row r="413">
      <c r="A413">
        <f>IF(Transactions!D413="","",UPPER(TRIM(Transactions!D413)))</f>
        <v/>
      </c>
      <c r="B413">
        <f>IF(Transactions!C413="","",UPPER(TRIM(Transactions!C413)))</f>
        <v/>
      </c>
      <c r="C413">
        <f>IF(Transactions!B413="",0,YEAR(Transactions!B413)*100+MONTH(Transactions!B413))</f>
        <v/>
      </c>
      <c r="D413">
        <f>IF(Transactions!A413="",1,IF(COUNTIF(Transactions!$A$1:A412,Transactions!A413)&gt;0,1,0))</f>
        <v/>
      </c>
      <c r="E413">
        <f>IF(D413=1,0,IF(B413="RETURN",IF(COUNTIFS($A$1:A412,A413,$B$1:B412,"SALE",$E$1:E412,1)&gt;0,1,0),1))</f>
        <v/>
      </c>
      <c r="F413">
        <f>IF(E413=1,IF(B413="RECEIPT",Transactions!E413,IF(AND(B413="RETURN",LOWER(TRIM(Transactions!H413))="resellable"),Transactions!E413,0)),0)</f>
        <v/>
      </c>
      <c r="G413">
        <f>IF(F413&gt;0,IF(B413="RECEIPT",Transactions!F413,IF(_xlfn.MAXIFS($H$2:H413,$A$2:A413,A413)&gt;0,INDEX(Transactions!$F:$F,_xlfn.MAXIFS($H$2:H413,$A$2:A413,A413)),W413)),0)</f>
        <v/>
      </c>
      <c r="H413">
        <f>IF(AND(E413=1,B413="RECEIPT"),ROW(),0)</f>
        <v/>
      </c>
      <c r="I413">
        <f>IF(E413=1,IF(OR(B413="SALE",B413="WRITEOFF"),Transactions!E413,0),0)</f>
        <v/>
      </c>
      <c r="J413">
        <f>SUMIFS($F$1:F412,$A$1:A412,A413)</f>
        <v/>
      </c>
      <c r="K413">
        <f>SUMIFS($I$1:I412,$A$1:A412,A413)</f>
        <v/>
      </c>
      <c r="L413">
        <f>IFERROR(VLOOKUP(A413,Opening!$A:$C,3,0),0)</f>
        <v/>
      </c>
      <c r="M413">
        <f>IF(I413=0,0,MAX(0,MIN(INDEX(Month!H$2:H$13,MATCH($A413,Month!$A$2:$A$13,0))-K413,I413)))</f>
        <v/>
      </c>
      <c r="N413">
        <f>IF(I413=0,0,MAX(0,MIN(INDEX(Month!I$2:I$13,MATCH($A413,Month!$A$2:$A$13,0))-K413,I413)))</f>
        <v/>
      </c>
      <c r="O413">
        <f>IF(I413=0,0,MAX(0,MIN(INDEX(Month!J$2:J$13,MATCH($A413,Month!$A$2:$A$13,0))-K413,I413)))</f>
        <v/>
      </c>
      <c r="P413">
        <f>IF(I413=0,0,(MIN(MAX(K413,0),L413)*W413+SUMPRODUCT((Calc!$A$2:$A$1001=A413)*Calc!$G$2:$G$1001*(((K413-(L413+Calc!$J$2:$J$1001))&gt;0)*((K413-(L413+Calc!$J$2:$J$1001))&lt;Calc!$F$2:$F$1001)*(K413-(L413+Calc!$J$2:$J$1001))+((K413-(L413+Calc!$J$2:$J$1001))&gt;=Calc!$F$2:$F$1001)*Calc!$F$2:$F$1001))))</f>
        <v/>
      </c>
      <c r="Q413">
        <f>IF(I413=0,0,(MIN(MAX((K413+M413),0),L413)*W413+SUMPRODUCT((Calc!$A$2:$A$1001=A413)*Calc!$G$2:$G$1001*((((K413+M413)-(L413+Calc!$J$2:$J$1001))&gt;0)*(((K413+M413)-(L413+Calc!$J$2:$J$1001))&lt;Calc!$F$2:$F$1001)*((K413+M413)-(L413+Calc!$J$2:$J$1001))+(((K413+M413)-(L413+Calc!$J$2:$J$1001))&gt;=Calc!$F$2:$F$1001)*Calc!$F$2:$F$1001))))</f>
        <v/>
      </c>
      <c r="R413">
        <f>IF(I413=0,0,(MIN(MAX((K413+N413),0),L413)*W413+SUMPRODUCT((Calc!$A$2:$A$1001=A413)*Calc!$G$2:$G$1001*((((K413+N413)-(L413+Calc!$J$2:$J$1001))&gt;0)*(((K413+N413)-(L413+Calc!$J$2:$J$1001))&lt;Calc!$F$2:$F$1001)*((K413+N413)-(L413+Calc!$J$2:$J$1001))+(((K413+N413)-(L413+Calc!$J$2:$J$1001))&gt;=Calc!$F$2:$F$1001)*Calc!$F$2:$F$1001))))</f>
        <v/>
      </c>
      <c r="S413">
        <f>IF(I413=0,0,(MIN(MAX((K413+O413),0),L413)*W413+SUMPRODUCT((Calc!$A$2:$A$1001=A413)*Calc!$G$2:$G$1001*((((K413+O413)-(L413+Calc!$J$2:$J$1001))&gt;0)*(((K413+O413)-(L413+Calc!$J$2:$J$1001))&lt;Calc!$F$2:$F$1001)*((K413+O413)-(L413+Calc!$J$2:$J$1001))+(((K413+O413)-(L413+Calc!$J$2:$J$1001))&gt;=Calc!$F$2:$F$1001)*Calc!$F$2:$F$1001))))</f>
        <v/>
      </c>
      <c r="T413">
        <f>IF(AND(E413=1,B413="RETURN"),Transactions!E413*Transactions!G413,0)</f>
        <v/>
      </c>
      <c r="U413">
        <f>IF(AND(E413=1,B413="EXPENSE"),Transactions!J413,0)</f>
        <v/>
      </c>
      <c r="V413">
        <f>IF(AND(Transactions!A413&lt;&gt;"",E413=0),ROW(),"")</f>
        <v/>
      </c>
      <c r="W413">
        <f>IFERROR(VLOOKUP(A413,Opening!$A:$D,4,0),0)</f>
        <v/>
      </c>
    </row>
    <row r="414">
      <c r="A414">
        <f>IF(Transactions!D414="","",UPPER(TRIM(Transactions!D414)))</f>
        <v/>
      </c>
      <c r="B414">
        <f>IF(Transactions!C414="","",UPPER(TRIM(Transactions!C414)))</f>
        <v/>
      </c>
      <c r="C414">
        <f>IF(Transactions!B414="",0,YEAR(Transactions!B414)*100+MONTH(Transactions!B414))</f>
        <v/>
      </c>
      <c r="D414">
        <f>IF(Transactions!A414="",1,IF(COUNTIF(Transactions!$A$1:A413,Transactions!A414)&gt;0,1,0))</f>
        <v/>
      </c>
      <c r="E414">
        <f>IF(D414=1,0,IF(B414="RETURN",IF(COUNTIFS($A$1:A413,A414,$B$1:B413,"SALE",$E$1:E413,1)&gt;0,1,0),1))</f>
        <v/>
      </c>
      <c r="F414">
        <f>IF(E414=1,IF(B414="RECEIPT",Transactions!E414,IF(AND(B414="RETURN",LOWER(TRIM(Transactions!H414))="resellable"),Transactions!E414,0)),0)</f>
        <v/>
      </c>
      <c r="G414">
        <f>IF(F414&gt;0,IF(B414="RECEIPT",Transactions!F414,IF(_xlfn.MAXIFS($H$2:H414,$A$2:A414,A414)&gt;0,INDEX(Transactions!$F:$F,_xlfn.MAXIFS($H$2:H414,$A$2:A414,A414)),W414)),0)</f>
        <v/>
      </c>
      <c r="H414">
        <f>IF(AND(E414=1,B414="RECEIPT"),ROW(),0)</f>
        <v/>
      </c>
      <c r="I414">
        <f>IF(E414=1,IF(OR(B414="SALE",B414="WRITEOFF"),Transactions!E414,0),0)</f>
        <v/>
      </c>
      <c r="J414">
        <f>SUMIFS($F$1:F413,$A$1:A413,A414)</f>
        <v/>
      </c>
      <c r="K414">
        <f>SUMIFS($I$1:I413,$A$1:A413,A414)</f>
        <v/>
      </c>
      <c r="L414">
        <f>IFERROR(VLOOKUP(A414,Opening!$A:$C,3,0),0)</f>
        <v/>
      </c>
      <c r="M414">
        <f>IF(I414=0,0,MAX(0,MIN(INDEX(Month!H$2:H$13,MATCH($A414,Month!$A$2:$A$13,0))-K414,I414)))</f>
        <v/>
      </c>
      <c r="N414">
        <f>IF(I414=0,0,MAX(0,MIN(INDEX(Month!I$2:I$13,MATCH($A414,Month!$A$2:$A$13,0))-K414,I414)))</f>
        <v/>
      </c>
      <c r="O414">
        <f>IF(I414=0,0,MAX(0,MIN(INDEX(Month!J$2:J$13,MATCH($A414,Month!$A$2:$A$13,0))-K414,I414)))</f>
        <v/>
      </c>
      <c r="P414">
        <f>IF(I414=0,0,(MIN(MAX(K414,0),L414)*W414+SUMPRODUCT((Calc!$A$2:$A$1001=A414)*Calc!$G$2:$G$1001*(((K414-(L414+Calc!$J$2:$J$1001))&gt;0)*((K414-(L414+Calc!$J$2:$J$1001))&lt;Calc!$F$2:$F$1001)*(K414-(L414+Calc!$J$2:$J$1001))+((K414-(L414+Calc!$J$2:$J$1001))&gt;=Calc!$F$2:$F$1001)*Calc!$F$2:$F$1001))))</f>
        <v/>
      </c>
      <c r="Q414">
        <f>IF(I414=0,0,(MIN(MAX((K414+M414),0),L414)*W414+SUMPRODUCT((Calc!$A$2:$A$1001=A414)*Calc!$G$2:$G$1001*((((K414+M414)-(L414+Calc!$J$2:$J$1001))&gt;0)*(((K414+M414)-(L414+Calc!$J$2:$J$1001))&lt;Calc!$F$2:$F$1001)*((K414+M414)-(L414+Calc!$J$2:$J$1001))+(((K414+M414)-(L414+Calc!$J$2:$J$1001))&gt;=Calc!$F$2:$F$1001)*Calc!$F$2:$F$1001))))</f>
        <v/>
      </c>
      <c r="R414">
        <f>IF(I414=0,0,(MIN(MAX((K414+N414),0),L414)*W414+SUMPRODUCT((Calc!$A$2:$A$1001=A414)*Calc!$G$2:$G$1001*((((K414+N414)-(L414+Calc!$J$2:$J$1001))&gt;0)*(((K414+N414)-(L414+Calc!$J$2:$J$1001))&lt;Calc!$F$2:$F$1001)*((K414+N414)-(L414+Calc!$J$2:$J$1001))+(((K414+N414)-(L414+Calc!$J$2:$J$1001))&gt;=Calc!$F$2:$F$1001)*Calc!$F$2:$F$1001))))</f>
        <v/>
      </c>
      <c r="S414">
        <f>IF(I414=0,0,(MIN(MAX((K414+O414),0),L414)*W414+SUMPRODUCT((Calc!$A$2:$A$1001=A414)*Calc!$G$2:$G$1001*((((K414+O414)-(L414+Calc!$J$2:$J$1001))&gt;0)*(((K414+O414)-(L414+Calc!$J$2:$J$1001))&lt;Calc!$F$2:$F$1001)*((K414+O414)-(L414+Calc!$J$2:$J$1001))+(((K414+O414)-(L414+Calc!$J$2:$J$1001))&gt;=Calc!$F$2:$F$1001)*Calc!$F$2:$F$1001))))</f>
        <v/>
      </c>
      <c r="T414">
        <f>IF(AND(E414=1,B414="RETURN"),Transactions!E414*Transactions!G414,0)</f>
        <v/>
      </c>
      <c r="U414">
        <f>IF(AND(E414=1,B414="EXPENSE"),Transactions!J414,0)</f>
        <v/>
      </c>
      <c r="V414">
        <f>IF(AND(Transactions!A414&lt;&gt;"",E414=0),ROW(),"")</f>
        <v/>
      </c>
      <c r="W414">
        <f>IFERROR(VLOOKUP(A414,Opening!$A:$D,4,0),0)</f>
        <v/>
      </c>
    </row>
    <row r="415">
      <c r="A415">
        <f>IF(Transactions!D415="","",UPPER(TRIM(Transactions!D415)))</f>
        <v/>
      </c>
      <c r="B415">
        <f>IF(Transactions!C415="","",UPPER(TRIM(Transactions!C415)))</f>
        <v/>
      </c>
      <c r="C415">
        <f>IF(Transactions!B415="",0,YEAR(Transactions!B415)*100+MONTH(Transactions!B415))</f>
        <v/>
      </c>
      <c r="D415">
        <f>IF(Transactions!A415="",1,IF(COUNTIF(Transactions!$A$1:A414,Transactions!A415)&gt;0,1,0))</f>
        <v/>
      </c>
      <c r="E415">
        <f>IF(D415=1,0,IF(B415="RETURN",IF(COUNTIFS($A$1:A414,A415,$B$1:B414,"SALE",$E$1:E414,1)&gt;0,1,0),1))</f>
        <v/>
      </c>
      <c r="F415">
        <f>IF(E415=1,IF(B415="RECEIPT",Transactions!E415,IF(AND(B415="RETURN",LOWER(TRIM(Transactions!H415))="resellable"),Transactions!E415,0)),0)</f>
        <v/>
      </c>
      <c r="G415">
        <f>IF(F415&gt;0,IF(B415="RECEIPT",Transactions!F415,IF(_xlfn.MAXIFS($H$2:H415,$A$2:A415,A415)&gt;0,INDEX(Transactions!$F:$F,_xlfn.MAXIFS($H$2:H415,$A$2:A415,A415)),W415)),0)</f>
        <v/>
      </c>
      <c r="H415">
        <f>IF(AND(E415=1,B415="RECEIPT"),ROW(),0)</f>
        <v/>
      </c>
      <c r="I415">
        <f>IF(E415=1,IF(OR(B415="SALE",B415="WRITEOFF"),Transactions!E415,0),0)</f>
        <v/>
      </c>
      <c r="J415">
        <f>SUMIFS($F$1:F414,$A$1:A414,A415)</f>
        <v/>
      </c>
      <c r="K415">
        <f>SUMIFS($I$1:I414,$A$1:A414,A415)</f>
        <v/>
      </c>
      <c r="L415">
        <f>IFERROR(VLOOKUP(A415,Opening!$A:$C,3,0),0)</f>
        <v/>
      </c>
      <c r="M415">
        <f>IF(I415=0,0,MAX(0,MIN(INDEX(Month!H$2:H$13,MATCH($A415,Month!$A$2:$A$13,0))-K415,I415)))</f>
        <v/>
      </c>
      <c r="N415">
        <f>IF(I415=0,0,MAX(0,MIN(INDEX(Month!I$2:I$13,MATCH($A415,Month!$A$2:$A$13,0))-K415,I415)))</f>
        <v/>
      </c>
      <c r="O415">
        <f>IF(I415=0,0,MAX(0,MIN(INDEX(Month!J$2:J$13,MATCH($A415,Month!$A$2:$A$13,0))-K415,I415)))</f>
        <v/>
      </c>
      <c r="P415">
        <f>IF(I415=0,0,(MIN(MAX(K415,0),L415)*W415+SUMPRODUCT((Calc!$A$2:$A$1001=A415)*Calc!$G$2:$G$1001*(((K415-(L415+Calc!$J$2:$J$1001))&gt;0)*((K415-(L415+Calc!$J$2:$J$1001))&lt;Calc!$F$2:$F$1001)*(K415-(L415+Calc!$J$2:$J$1001))+((K415-(L415+Calc!$J$2:$J$1001))&gt;=Calc!$F$2:$F$1001)*Calc!$F$2:$F$1001))))</f>
        <v/>
      </c>
      <c r="Q415">
        <f>IF(I415=0,0,(MIN(MAX((K415+M415),0),L415)*W415+SUMPRODUCT((Calc!$A$2:$A$1001=A415)*Calc!$G$2:$G$1001*((((K415+M415)-(L415+Calc!$J$2:$J$1001))&gt;0)*(((K415+M415)-(L415+Calc!$J$2:$J$1001))&lt;Calc!$F$2:$F$1001)*((K415+M415)-(L415+Calc!$J$2:$J$1001))+(((K415+M415)-(L415+Calc!$J$2:$J$1001))&gt;=Calc!$F$2:$F$1001)*Calc!$F$2:$F$1001))))</f>
        <v/>
      </c>
      <c r="R415">
        <f>IF(I415=0,0,(MIN(MAX((K415+N415),0),L415)*W415+SUMPRODUCT((Calc!$A$2:$A$1001=A415)*Calc!$G$2:$G$1001*((((K415+N415)-(L415+Calc!$J$2:$J$1001))&gt;0)*(((K415+N415)-(L415+Calc!$J$2:$J$1001))&lt;Calc!$F$2:$F$1001)*((K415+N415)-(L415+Calc!$J$2:$J$1001))+(((K415+N415)-(L415+Calc!$J$2:$J$1001))&gt;=Calc!$F$2:$F$1001)*Calc!$F$2:$F$1001))))</f>
        <v/>
      </c>
      <c r="S415">
        <f>IF(I415=0,0,(MIN(MAX((K415+O415),0),L415)*W415+SUMPRODUCT((Calc!$A$2:$A$1001=A415)*Calc!$G$2:$G$1001*((((K415+O415)-(L415+Calc!$J$2:$J$1001))&gt;0)*(((K415+O415)-(L415+Calc!$J$2:$J$1001))&lt;Calc!$F$2:$F$1001)*((K415+O415)-(L415+Calc!$J$2:$J$1001))+(((K415+O415)-(L415+Calc!$J$2:$J$1001))&gt;=Calc!$F$2:$F$1001)*Calc!$F$2:$F$1001))))</f>
        <v/>
      </c>
      <c r="T415">
        <f>IF(AND(E415=1,B415="RETURN"),Transactions!E415*Transactions!G415,0)</f>
        <v/>
      </c>
      <c r="U415">
        <f>IF(AND(E415=1,B415="EXPENSE"),Transactions!J415,0)</f>
        <v/>
      </c>
      <c r="V415">
        <f>IF(AND(Transactions!A415&lt;&gt;"",E415=0),ROW(),"")</f>
        <v/>
      </c>
      <c r="W415">
        <f>IFERROR(VLOOKUP(A415,Opening!$A:$D,4,0),0)</f>
        <v/>
      </c>
    </row>
    <row r="416">
      <c r="A416">
        <f>IF(Transactions!D416="","",UPPER(TRIM(Transactions!D416)))</f>
        <v/>
      </c>
      <c r="B416">
        <f>IF(Transactions!C416="","",UPPER(TRIM(Transactions!C416)))</f>
        <v/>
      </c>
      <c r="C416">
        <f>IF(Transactions!B416="",0,YEAR(Transactions!B416)*100+MONTH(Transactions!B416))</f>
        <v/>
      </c>
      <c r="D416">
        <f>IF(Transactions!A416="",1,IF(COUNTIF(Transactions!$A$1:A415,Transactions!A416)&gt;0,1,0))</f>
        <v/>
      </c>
      <c r="E416">
        <f>IF(D416=1,0,IF(B416="RETURN",IF(COUNTIFS($A$1:A415,A416,$B$1:B415,"SALE",$E$1:E415,1)&gt;0,1,0),1))</f>
        <v/>
      </c>
      <c r="F416">
        <f>IF(E416=1,IF(B416="RECEIPT",Transactions!E416,IF(AND(B416="RETURN",LOWER(TRIM(Transactions!H416))="resellable"),Transactions!E416,0)),0)</f>
        <v/>
      </c>
      <c r="G416">
        <f>IF(F416&gt;0,IF(B416="RECEIPT",Transactions!F416,IF(_xlfn.MAXIFS($H$2:H416,$A$2:A416,A416)&gt;0,INDEX(Transactions!$F:$F,_xlfn.MAXIFS($H$2:H416,$A$2:A416,A416)),W416)),0)</f>
        <v/>
      </c>
      <c r="H416">
        <f>IF(AND(E416=1,B416="RECEIPT"),ROW(),0)</f>
        <v/>
      </c>
      <c r="I416">
        <f>IF(E416=1,IF(OR(B416="SALE",B416="WRITEOFF"),Transactions!E416,0),0)</f>
        <v/>
      </c>
      <c r="J416">
        <f>SUMIFS($F$1:F415,$A$1:A415,A416)</f>
        <v/>
      </c>
      <c r="K416">
        <f>SUMIFS($I$1:I415,$A$1:A415,A416)</f>
        <v/>
      </c>
      <c r="L416">
        <f>IFERROR(VLOOKUP(A416,Opening!$A:$C,3,0),0)</f>
        <v/>
      </c>
      <c r="M416">
        <f>IF(I416=0,0,MAX(0,MIN(INDEX(Month!H$2:H$13,MATCH($A416,Month!$A$2:$A$13,0))-K416,I416)))</f>
        <v/>
      </c>
      <c r="N416">
        <f>IF(I416=0,0,MAX(0,MIN(INDEX(Month!I$2:I$13,MATCH($A416,Month!$A$2:$A$13,0))-K416,I416)))</f>
        <v/>
      </c>
      <c r="O416">
        <f>IF(I416=0,0,MAX(0,MIN(INDEX(Month!J$2:J$13,MATCH($A416,Month!$A$2:$A$13,0))-K416,I416)))</f>
        <v/>
      </c>
      <c r="P416">
        <f>IF(I416=0,0,(MIN(MAX(K416,0),L416)*W416+SUMPRODUCT((Calc!$A$2:$A$1001=A416)*Calc!$G$2:$G$1001*(((K416-(L416+Calc!$J$2:$J$1001))&gt;0)*((K416-(L416+Calc!$J$2:$J$1001))&lt;Calc!$F$2:$F$1001)*(K416-(L416+Calc!$J$2:$J$1001))+((K416-(L416+Calc!$J$2:$J$1001))&gt;=Calc!$F$2:$F$1001)*Calc!$F$2:$F$1001))))</f>
        <v/>
      </c>
      <c r="Q416">
        <f>IF(I416=0,0,(MIN(MAX((K416+M416),0),L416)*W416+SUMPRODUCT((Calc!$A$2:$A$1001=A416)*Calc!$G$2:$G$1001*((((K416+M416)-(L416+Calc!$J$2:$J$1001))&gt;0)*(((K416+M416)-(L416+Calc!$J$2:$J$1001))&lt;Calc!$F$2:$F$1001)*((K416+M416)-(L416+Calc!$J$2:$J$1001))+(((K416+M416)-(L416+Calc!$J$2:$J$1001))&gt;=Calc!$F$2:$F$1001)*Calc!$F$2:$F$1001))))</f>
        <v/>
      </c>
      <c r="R416">
        <f>IF(I416=0,0,(MIN(MAX((K416+N416),0),L416)*W416+SUMPRODUCT((Calc!$A$2:$A$1001=A416)*Calc!$G$2:$G$1001*((((K416+N416)-(L416+Calc!$J$2:$J$1001))&gt;0)*(((K416+N416)-(L416+Calc!$J$2:$J$1001))&lt;Calc!$F$2:$F$1001)*((K416+N416)-(L416+Calc!$J$2:$J$1001))+(((K416+N416)-(L416+Calc!$J$2:$J$1001))&gt;=Calc!$F$2:$F$1001)*Calc!$F$2:$F$1001))))</f>
        <v/>
      </c>
      <c r="S416">
        <f>IF(I416=0,0,(MIN(MAX((K416+O416),0),L416)*W416+SUMPRODUCT((Calc!$A$2:$A$1001=A416)*Calc!$G$2:$G$1001*((((K416+O416)-(L416+Calc!$J$2:$J$1001))&gt;0)*(((K416+O416)-(L416+Calc!$J$2:$J$1001))&lt;Calc!$F$2:$F$1001)*((K416+O416)-(L416+Calc!$J$2:$J$1001))+(((K416+O416)-(L416+Calc!$J$2:$J$1001))&gt;=Calc!$F$2:$F$1001)*Calc!$F$2:$F$1001))))</f>
        <v/>
      </c>
      <c r="T416">
        <f>IF(AND(E416=1,B416="RETURN"),Transactions!E416*Transactions!G416,0)</f>
        <v/>
      </c>
      <c r="U416">
        <f>IF(AND(E416=1,B416="EXPENSE"),Transactions!J416,0)</f>
        <v/>
      </c>
      <c r="V416">
        <f>IF(AND(Transactions!A416&lt;&gt;"",E416=0),ROW(),"")</f>
        <v/>
      </c>
      <c r="W416">
        <f>IFERROR(VLOOKUP(A416,Opening!$A:$D,4,0),0)</f>
        <v/>
      </c>
    </row>
    <row r="417">
      <c r="A417">
        <f>IF(Transactions!D417="","",UPPER(TRIM(Transactions!D417)))</f>
        <v/>
      </c>
      <c r="B417">
        <f>IF(Transactions!C417="","",UPPER(TRIM(Transactions!C417)))</f>
        <v/>
      </c>
      <c r="C417">
        <f>IF(Transactions!B417="",0,YEAR(Transactions!B417)*100+MONTH(Transactions!B417))</f>
        <v/>
      </c>
      <c r="D417">
        <f>IF(Transactions!A417="",1,IF(COUNTIF(Transactions!$A$1:A416,Transactions!A417)&gt;0,1,0))</f>
        <v/>
      </c>
      <c r="E417">
        <f>IF(D417=1,0,IF(B417="RETURN",IF(COUNTIFS($A$1:A416,A417,$B$1:B416,"SALE",$E$1:E416,1)&gt;0,1,0),1))</f>
        <v/>
      </c>
      <c r="F417">
        <f>IF(E417=1,IF(B417="RECEIPT",Transactions!E417,IF(AND(B417="RETURN",LOWER(TRIM(Transactions!H417))="resellable"),Transactions!E417,0)),0)</f>
        <v/>
      </c>
      <c r="G417">
        <f>IF(F417&gt;0,IF(B417="RECEIPT",Transactions!F417,IF(_xlfn.MAXIFS($H$2:H417,$A$2:A417,A417)&gt;0,INDEX(Transactions!$F:$F,_xlfn.MAXIFS($H$2:H417,$A$2:A417,A417)),W417)),0)</f>
        <v/>
      </c>
      <c r="H417">
        <f>IF(AND(E417=1,B417="RECEIPT"),ROW(),0)</f>
        <v/>
      </c>
      <c r="I417">
        <f>IF(E417=1,IF(OR(B417="SALE",B417="WRITEOFF"),Transactions!E417,0),0)</f>
        <v/>
      </c>
      <c r="J417">
        <f>SUMIFS($F$1:F416,$A$1:A416,A417)</f>
        <v/>
      </c>
      <c r="K417">
        <f>SUMIFS($I$1:I416,$A$1:A416,A417)</f>
        <v/>
      </c>
      <c r="L417">
        <f>IFERROR(VLOOKUP(A417,Opening!$A:$C,3,0),0)</f>
        <v/>
      </c>
      <c r="M417">
        <f>IF(I417=0,0,MAX(0,MIN(INDEX(Month!H$2:H$13,MATCH($A417,Month!$A$2:$A$13,0))-K417,I417)))</f>
        <v/>
      </c>
      <c r="N417">
        <f>IF(I417=0,0,MAX(0,MIN(INDEX(Month!I$2:I$13,MATCH($A417,Month!$A$2:$A$13,0))-K417,I417)))</f>
        <v/>
      </c>
      <c r="O417">
        <f>IF(I417=0,0,MAX(0,MIN(INDEX(Month!J$2:J$13,MATCH($A417,Month!$A$2:$A$13,0))-K417,I417)))</f>
        <v/>
      </c>
      <c r="P417">
        <f>IF(I417=0,0,(MIN(MAX(K417,0),L417)*W417+SUMPRODUCT((Calc!$A$2:$A$1001=A417)*Calc!$G$2:$G$1001*(((K417-(L417+Calc!$J$2:$J$1001))&gt;0)*((K417-(L417+Calc!$J$2:$J$1001))&lt;Calc!$F$2:$F$1001)*(K417-(L417+Calc!$J$2:$J$1001))+((K417-(L417+Calc!$J$2:$J$1001))&gt;=Calc!$F$2:$F$1001)*Calc!$F$2:$F$1001))))</f>
        <v/>
      </c>
      <c r="Q417">
        <f>IF(I417=0,0,(MIN(MAX((K417+M417),0),L417)*W417+SUMPRODUCT((Calc!$A$2:$A$1001=A417)*Calc!$G$2:$G$1001*((((K417+M417)-(L417+Calc!$J$2:$J$1001))&gt;0)*(((K417+M417)-(L417+Calc!$J$2:$J$1001))&lt;Calc!$F$2:$F$1001)*((K417+M417)-(L417+Calc!$J$2:$J$1001))+(((K417+M417)-(L417+Calc!$J$2:$J$1001))&gt;=Calc!$F$2:$F$1001)*Calc!$F$2:$F$1001))))</f>
        <v/>
      </c>
      <c r="R417">
        <f>IF(I417=0,0,(MIN(MAX((K417+N417),0),L417)*W417+SUMPRODUCT((Calc!$A$2:$A$1001=A417)*Calc!$G$2:$G$1001*((((K417+N417)-(L417+Calc!$J$2:$J$1001))&gt;0)*(((K417+N417)-(L417+Calc!$J$2:$J$1001))&lt;Calc!$F$2:$F$1001)*((K417+N417)-(L417+Calc!$J$2:$J$1001))+(((K417+N417)-(L417+Calc!$J$2:$J$1001))&gt;=Calc!$F$2:$F$1001)*Calc!$F$2:$F$1001))))</f>
        <v/>
      </c>
      <c r="S417">
        <f>IF(I417=0,0,(MIN(MAX((K417+O417),0),L417)*W417+SUMPRODUCT((Calc!$A$2:$A$1001=A417)*Calc!$G$2:$G$1001*((((K417+O417)-(L417+Calc!$J$2:$J$1001))&gt;0)*(((K417+O417)-(L417+Calc!$J$2:$J$1001))&lt;Calc!$F$2:$F$1001)*((K417+O417)-(L417+Calc!$J$2:$J$1001))+(((K417+O417)-(L417+Calc!$J$2:$J$1001))&gt;=Calc!$F$2:$F$1001)*Calc!$F$2:$F$1001))))</f>
        <v/>
      </c>
      <c r="T417">
        <f>IF(AND(E417=1,B417="RETURN"),Transactions!E417*Transactions!G417,0)</f>
        <v/>
      </c>
      <c r="U417">
        <f>IF(AND(E417=1,B417="EXPENSE"),Transactions!J417,0)</f>
        <v/>
      </c>
      <c r="V417">
        <f>IF(AND(Transactions!A417&lt;&gt;"",E417=0),ROW(),"")</f>
        <v/>
      </c>
      <c r="W417">
        <f>IFERROR(VLOOKUP(A417,Opening!$A:$D,4,0),0)</f>
        <v/>
      </c>
    </row>
    <row r="418">
      <c r="A418">
        <f>IF(Transactions!D418="","",UPPER(TRIM(Transactions!D418)))</f>
        <v/>
      </c>
      <c r="B418">
        <f>IF(Transactions!C418="","",UPPER(TRIM(Transactions!C418)))</f>
        <v/>
      </c>
      <c r="C418">
        <f>IF(Transactions!B418="",0,YEAR(Transactions!B418)*100+MONTH(Transactions!B418))</f>
        <v/>
      </c>
      <c r="D418">
        <f>IF(Transactions!A418="",1,IF(COUNTIF(Transactions!$A$1:A417,Transactions!A418)&gt;0,1,0))</f>
        <v/>
      </c>
      <c r="E418">
        <f>IF(D418=1,0,IF(B418="RETURN",IF(COUNTIFS($A$1:A417,A418,$B$1:B417,"SALE",$E$1:E417,1)&gt;0,1,0),1))</f>
        <v/>
      </c>
      <c r="F418">
        <f>IF(E418=1,IF(B418="RECEIPT",Transactions!E418,IF(AND(B418="RETURN",LOWER(TRIM(Transactions!H418))="resellable"),Transactions!E418,0)),0)</f>
        <v/>
      </c>
      <c r="G418">
        <f>IF(F418&gt;0,IF(B418="RECEIPT",Transactions!F418,IF(_xlfn.MAXIFS($H$2:H418,$A$2:A418,A418)&gt;0,INDEX(Transactions!$F:$F,_xlfn.MAXIFS($H$2:H418,$A$2:A418,A418)),W418)),0)</f>
        <v/>
      </c>
      <c r="H418">
        <f>IF(AND(E418=1,B418="RECEIPT"),ROW(),0)</f>
        <v/>
      </c>
      <c r="I418">
        <f>IF(E418=1,IF(OR(B418="SALE",B418="WRITEOFF"),Transactions!E418,0),0)</f>
        <v/>
      </c>
      <c r="J418">
        <f>SUMIFS($F$1:F417,$A$1:A417,A418)</f>
        <v/>
      </c>
      <c r="K418">
        <f>SUMIFS($I$1:I417,$A$1:A417,A418)</f>
        <v/>
      </c>
      <c r="L418">
        <f>IFERROR(VLOOKUP(A418,Opening!$A:$C,3,0),0)</f>
        <v/>
      </c>
      <c r="M418">
        <f>IF(I418=0,0,MAX(0,MIN(INDEX(Month!H$2:H$13,MATCH($A418,Month!$A$2:$A$13,0))-K418,I418)))</f>
        <v/>
      </c>
      <c r="N418">
        <f>IF(I418=0,0,MAX(0,MIN(INDEX(Month!I$2:I$13,MATCH($A418,Month!$A$2:$A$13,0))-K418,I418)))</f>
        <v/>
      </c>
      <c r="O418">
        <f>IF(I418=0,0,MAX(0,MIN(INDEX(Month!J$2:J$13,MATCH($A418,Month!$A$2:$A$13,0))-K418,I418)))</f>
        <v/>
      </c>
      <c r="P418">
        <f>IF(I418=0,0,(MIN(MAX(K418,0),L418)*W418+SUMPRODUCT((Calc!$A$2:$A$1001=A418)*Calc!$G$2:$G$1001*(((K418-(L418+Calc!$J$2:$J$1001))&gt;0)*((K418-(L418+Calc!$J$2:$J$1001))&lt;Calc!$F$2:$F$1001)*(K418-(L418+Calc!$J$2:$J$1001))+((K418-(L418+Calc!$J$2:$J$1001))&gt;=Calc!$F$2:$F$1001)*Calc!$F$2:$F$1001))))</f>
        <v/>
      </c>
      <c r="Q418">
        <f>IF(I418=0,0,(MIN(MAX((K418+M418),0),L418)*W418+SUMPRODUCT((Calc!$A$2:$A$1001=A418)*Calc!$G$2:$G$1001*((((K418+M418)-(L418+Calc!$J$2:$J$1001))&gt;0)*(((K418+M418)-(L418+Calc!$J$2:$J$1001))&lt;Calc!$F$2:$F$1001)*((K418+M418)-(L418+Calc!$J$2:$J$1001))+(((K418+M418)-(L418+Calc!$J$2:$J$1001))&gt;=Calc!$F$2:$F$1001)*Calc!$F$2:$F$1001))))</f>
        <v/>
      </c>
      <c r="R418">
        <f>IF(I418=0,0,(MIN(MAX((K418+N418),0),L418)*W418+SUMPRODUCT((Calc!$A$2:$A$1001=A418)*Calc!$G$2:$G$1001*((((K418+N418)-(L418+Calc!$J$2:$J$1001))&gt;0)*(((K418+N418)-(L418+Calc!$J$2:$J$1001))&lt;Calc!$F$2:$F$1001)*((K418+N418)-(L418+Calc!$J$2:$J$1001))+(((K418+N418)-(L418+Calc!$J$2:$J$1001))&gt;=Calc!$F$2:$F$1001)*Calc!$F$2:$F$1001))))</f>
        <v/>
      </c>
      <c r="S418">
        <f>IF(I418=0,0,(MIN(MAX((K418+O418),0),L418)*W418+SUMPRODUCT((Calc!$A$2:$A$1001=A418)*Calc!$G$2:$G$1001*((((K418+O418)-(L418+Calc!$J$2:$J$1001))&gt;0)*(((K418+O418)-(L418+Calc!$J$2:$J$1001))&lt;Calc!$F$2:$F$1001)*((K418+O418)-(L418+Calc!$J$2:$J$1001))+(((K418+O418)-(L418+Calc!$J$2:$J$1001))&gt;=Calc!$F$2:$F$1001)*Calc!$F$2:$F$1001))))</f>
        <v/>
      </c>
      <c r="T418">
        <f>IF(AND(E418=1,B418="RETURN"),Transactions!E418*Transactions!G418,0)</f>
        <v/>
      </c>
      <c r="U418">
        <f>IF(AND(E418=1,B418="EXPENSE"),Transactions!J418,0)</f>
        <v/>
      </c>
      <c r="V418">
        <f>IF(AND(Transactions!A418&lt;&gt;"",E418=0),ROW(),"")</f>
        <v/>
      </c>
      <c r="W418">
        <f>IFERROR(VLOOKUP(A418,Opening!$A:$D,4,0),0)</f>
        <v/>
      </c>
    </row>
    <row r="419">
      <c r="A419">
        <f>IF(Transactions!D419="","",UPPER(TRIM(Transactions!D419)))</f>
        <v/>
      </c>
      <c r="B419">
        <f>IF(Transactions!C419="","",UPPER(TRIM(Transactions!C419)))</f>
        <v/>
      </c>
      <c r="C419">
        <f>IF(Transactions!B419="",0,YEAR(Transactions!B419)*100+MONTH(Transactions!B419))</f>
        <v/>
      </c>
      <c r="D419">
        <f>IF(Transactions!A419="",1,IF(COUNTIF(Transactions!$A$1:A418,Transactions!A419)&gt;0,1,0))</f>
        <v/>
      </c>
      <c r="E419">
        <f>IF(D419=1,0,IF(B419="RETURN",IF(COUNTIFS($A$1:A418,A419,$B$1:B418,"SALE",$E$1:E418,1)&gt;0,1,0),1))</f>
        <v/>
      </c>
      <c r="F419">
        <f>IF(E419=1,IF(B419="RECEIPT",Transactions!E419,IF(AND(B419="RETURN",LOWER(TRIM(Transactions!H419))="resellable"),Transactions!E419,0)),0)</f>
        <v/>
      </c>
      <c r="G419">
        <f>IF(F419&gt;0,IF(B419="RECEIPT",Transactions!F419,IF(_xlfn.MAXIFS($H$2:H419,$A$2:A419,A419)&gt;0,INDEX(Transactions!$F:$F,_xlfn.MAXIFS($H$2:H419,$A$2:A419,A419)),W419)),0)</f>
        <v/>
      </c>
      <c r="H419">
        <f>IF(AND(E419=1,B419="RECEIPT"),ROW(),0)</f>
        <v/>
      </c>
      <c r="I419">
        <f>IF(E419=1,IF(OR(B419="SALE",B419="WRITEOFF"),Transactions!E419,0),0)</f>
        <v/>
      </c>
      <c r="J419">
        <f>SUMIFS($F$1:F418,$A$1:A418,A419)</f>
        <v/>
      </c>
      <c r="K419">
        <f>SUMIFS($I$1:I418,$A$1:A418,A419)</f>
        <v/>
      </c>
      <c r="L419">
        <f>IFERROR(VLOOKUP(A419,Opening!$A:$C,3,0),0)</f>
        <v/>
      </c>
      <c r="M419">
        <f>IF(I419=0,0,MAX(0,MIN(INDEX(Month!H$2:H$13,MATCH($A419,Month!$A$2:$A$13,0))-K419,I419)))</f>
        <v/>
      </c>
      <c r="N419">
        <f>IF(I419=0,0,MAX(0,MIN(INDEX(Month!I$2:I$13,MATCH($A419,Month!$A$2:$A$13,0))-K419,I419)))</f>
        <v/>
      </c>
      <c r="O419">
        <f>IF(I419=0,0,MAX(0,MIN(INDEX(Month!J$2:J$13,MATCH($A419,Month!$A$2:$A$13,0))-K419,I419)))</f>
        <v/>
      </c>
      <c r="P419">
        <f>IF(I419=0,0,(MIN(MAX(K419,0),L419)*W419+SUMPRODUCT((Calc!$A$2:$A$1001=A419)*Calc!$G$2:$G$1001*(((K419-(L419+Calc!$J$2:$J$1001))&gt;0)*((K419-(L419+Calc!$J$2:$J$1001))&lt;Calc!$F$2:$F$1001)*(K419-(L419+Calc!$J$2:$J$1001))+((K419-(L419+Calc!$J$2:$J$1001))&gt;=Calc!$F$2:$F$1001)*Calc!$F$2:$F$1001))))</f>
        <v/>
      </c>
      <c r="Q419">
        <f>IF(I419=0,0,(MIN(MAX((K419+M419),0),L419)*W419+SUMPRODUCT((Calc!$A$2:$A$1001=A419)*Calc!$G$2:$G$1001*((((K419+M419)-(L419+Calc!$J$2:$J$1001))&gt;0)*(((K419+M419)-(L419+Calc!$J$2:$J$1001))&lt;Calc!$F$2:$F$1001)*((K419+M419)-(L419+Calc!$J$2:$J$1001))+(((K419+M419)-(L419+Calc!$J$2:$J$1001))&gt;=Calc!$F$2:$F$1001)*Calc!$F$2:$F$1001))))</f>
        <v/>
      </c>
      <c r="R419">
        <f>IF(I419=0,0,(MIN(MAX((K419+N419),0),L419)*W419+SUMPRODUCT((Calc!$A$2:$A$1001=A419)*Calc!$G$2:$G$1001*((((K419+N419)-(L419+Calc!$J$2:$J$1001))&gt;0)*(((K419+N419)-(L419+Calc!$J$2:$J$1001))&lt;Calc!$F$2:$F$1001)*((K419+N419)-(L419+Calc!$J$2:$J$1001))+(((K419+N419)-(L419+Calc!$J$2:$J$1001))&gt;=Calc!$F$2:$F$1001)*Calc!$F$2:$F$1001))))</f>
        <v/>
      </c>
      <c r="S419">
        <f>IF(I419=0,0,(MIN(MAX((K419+O419),0),L419)*W419+SUMPRODUCT((Calc!$A$2:$A$1001=A419)*Calc!$G$2:$G$1001*((((K419+O419)-(L419+Calc!$J$2:$J$1001))&gt;0)*(((K419+O419)-(L419+Calc!$J$2:$J$1001))&lt;Calc!$F$2:$F$1001)*((K419+O419)-(L419+Calc!$J$2:$J$1001))+(((K419+O419)-(L419+Calc!$J$2:$J$1001))&gt;=Calc!$F$2:$F$1001)*Calc!$F$2:$F$1001))))</f>
        <v/>
      </c>
      <c r="T419">
        <f>IF(AND(E419=1,B419="RETURN"),Transactions!E419*Transactions!G419,0)</f>
        <v/>
      </c>
      <c r="U419">
        <f>IF(AND(E419=1,B419="EXPENSE"),Transactions!J419,0)</f>
        <v/>
      </c>
      <c r="V419">
        <f>IF(AND(Transactions!A419&lt;&gt;"",E419=0),ROW(),"")</f>
        <v/>
      </c>
      <c r="W419">
        <f>IFERROR(VLOOKUP(A419,Opening!$A:$D,4,0),0)</f>
        <v/>
      </c>
    </row>
    <row r="420">
      <c r="A420">
        <f>IF(Transactions!D420="","",UPPER(TRIM(Transactions!D420)))</f>
        <v/>
      </c>
      <c r="B420">
        <f>IF(Transactions!C420="","",UPPER(TRIM(Transactions!C420)))</f>
        <v/>
      </c>
      <c r="C420">
        <f>IF(Transactions!B420="",0,YEAR(Transactions!B420)*100+MONTH(Transactions!B420))</f>
        <v/>
      </c>
      <c r="D420">
        <f>IF(Transactions!A420="",1,IF(COUNTIF(Transactions!$A$1:A419,Transactions!A420)&gt;0,1,0))</f>
        <v/>
      </c>
      <c r="E420">
        <f>IF(D420=1,0,IF(B420="RETURN",IF(COUNTIFS($A$1:A419,A420,$B$1:B419,"SALE",$E$1:E419,1)&gt;0,1,0),1))</f>
        <v/>
      </c>
      <c r="F420">
        <f>IF(E420=1,IF(B420="RECEIPT",Transactions!E420,IF(AND(B420="RETURN",LOWER(TRIM(Transactions!H420))="resellable"),Transactions!E420,0)),0)</f>
        <v/>
      </c>
      <c r="G420">
        <f>IF(F420&gt;0,IF(B420="RECEIPT",Transactions!F420,IF(_xlfn.MAXIFS($H$2:H420,$A$2:A420,A420)&gt;0,INDEX(Transactions!$F:$F,_xlfn.MAXIFS($H$2:H420,$A$2:A420,A420)),W420)),0)</f>
        <v/>
      </c>
      <c r="H420">
        <f>IF(AND(E420=1,B420="RECEIPT"),ROW(),0)</f>
        <v/>
      </c>
      <c r="I420">
        <f>IF(E420=1,IF(OR(B420="SALE",B420="WRITEOFF"),Transactions!E420,0),0)</f>
        <v/>
      </c>
      <c r="J420">
        <f>SUMIFS($F$1:F419,$A$1:A419,A420)</f>
        <v/>
      </c>
      <c r="K420">
        <f>SUMIFS($I$1:I419,$A$1:A419,A420)</f>
        <v/>
      </c>
      <c r="L420">
        <f>IFERROR(VLOOKUP(A420,Opening!$A:$C,3,0),0)</f>
        <v/>
      </c>
      <c r="M420">
        <f>IF(I420=0,0,MAX(0,MIN(INDEX(Month!H$2:H$13,MATCH($A420,Month!$A$2:$A$13,0))-K420,I420)))</f>
        <v/>
      </c>
      <c r="N420">
        <f>IF(I420=0,0,MAX(0,MIN(INDEX(Month!I$2:I$13,MATCH($A420,Month!$A$2:$A$13,0))-K420,I420)))</f>
        <v/>
      </c>
      <c r="O420">
        <f>IF(I420=0,0,MAX(0,MIN(INDEX(Month!J$2:J$13,MATCH($A420,Month!$A$2:$A$13,0))-K420,I420)))</f>
        <v/>
      </c>
      <c r="P420">
        <f>IF(I420=0,0,(MIN(MAX(K420,0),L420)*W420+SUMPRODUCT((Calc!$A$2:$A$1001=A420)*Calc!$G$2:$G$1001*(((K420-(L420+Calc!$J$2:$J$1001))&gt;0)*((K420-(L420+Calc!$J$2:$J$1001))&lt;Calc!$F$2:$F$1001)*(K420-(L420+Calc!$J$2:$J$1001))+((K420-(L420+Calc!$J$2:$J$1001))&gt;=Calc!$F$2:$F$1001)*Calc!$F$2:$F$1001))))</f>
        <v/>
      </c>
      <c r="Q420">
        <f>IF(I420=0,0,(MIN(MAX((K420+M420),0),L420)*W420+SUMPRODUCT((Calc!$A$2:$A$1001=A420)*Calc!$G$2:$G$1001*((((K420+M420)-(L420+Calc!$J$2:$J$1001))&gt;0)*(((K420+M420)-(L420+Calc!$J$2:$J$1001))&lt;Calc!$F$2:$F$1001)*((K420+M420)-(L420+Calc!$J$2:$J$1001))+(((K420+M420)-(L420+Calc!$J$2:$J$1001))&gt;=Calc!$F$2:$F$1001)*Calc!$F$2:$F$1001))))</f>
        <v/>
      </c>
      <c r="R420">
        <f>IF(I420=0,0,(MIN(MAX((K420+N420),0),L420)*W420+SUMPRODUCT((Calc!$A$2:$A$1001=A420)*Calc!$G$2:$G$1001*((((K420+N420)-(L420+Calc!$J$2:$J$1001))&gt;0)*(((K420+N420)-(L420+Calc!$J$2:$J$1001))&lt;Calc!$F$2:$F$1001)*((K420+N420)-(L420+Calc!$J$2:$J$1001))+(((K420+N420)-(L420+Calc!$J$2:$J$1001))&gt;=Calc!$F$2:$F$1001)*Calc!$F$2:$F$1001))))</f>
        <v/>
      </c>
      <c r="S420">
        <f>IF(I420=0,0,(MIN(MAX((K420+O420),0),L420)*W420+SUMPRODUCT((Calc!$A$2:$A$1001=A420)*Calc!$G$2:$G$1001*((((K420+O420)-(L420+Calc!$J$2:$J$1001))&gt;0)*(((K420+O420)-(L420+Calc!$J$2:$J$1001))&lt;Calc!$F$2:$F$1001)*((K420+O420)-(L420+Calc!$J$2:$J$1001))+(((K420+O420)-(L420+Calc!$J$2:$J$1001))&gt;=Calc!$F$2:$F$1001)*Calc!$F$2:$F$1001))))</f>
        <v/>
      </c>
      <c r="T420">
        <f>IF(AND(E420=1,B420="RETURN"),Transactions!E420*Transactions!G420,0)</f>
        <v/>
      </c>
      <c r="U420">
        <f>IF(AND(E420=1,B420="EXPENSE"),Transactions!J420,0)</f>
        <v/>
      </c>
      <c r="V420">
        <f>IF(AND(Transactions!A420&lt;&gt;"",E420=0),ROW(),"")</f>
        <v/>
      </c>
      <c r="W420">
        <f>IFERROR(VLOOKUP(A420,Opening!$A:$D,4,0),0)</f>
        <v/>
      </c>
    </row>
    <row r="421">
      <c r="A421">
        <f>IF(Transactions!D421="","",UPPER(TRIM(Transactions!D421)))</f>
        <v/>
      </c>
      <c r="B421">
        <f>IF(Transactions!C421="","",UPPER(TRIM(Transactions!C421)))</f>
        <v/>
      </c>
      <c r="C421">
        <f>IF(Transactions!B421="",0,YEAR(Transactions!B421)*100+MONTH(Transactions!B421))</f>
        <v/>
      </c>
      <c r="D421">
        <f>IF(Transactions!A421="",1,IF(COUNTIF(Transactions!$A$1:A420,Transactions!A421)&gt;0,1,0))</f>
        <v/>
      </c>
      <c r="E421">
        <f>IF(D421=1,0,IF(B421="RETURN",IF(COUNTIFS($A$1:A420,A421,$B$1:B420,"SALE",$E$1:E420,1)&gt;0,1,0),1))</f>
        <v/>
      </c>
      <c r="F421">
        <f>IF(E421=1,IF(B421="RECEIPT",Transactions!E421,IF(AND(B421="RETURN",LOWER(TRIM(Transactions!H421))="resellable"),Transactions!E421,0)),0)</f>
        <v/>
      </c>
      <c r="G421">
        <f>IF(F421&gt;0,IF(B421="RECEIPT",Transactions!F421,IF(_xlfn.MAXIFS($H$2:H421,$A$2:A421,A421)&gt;0,INDEX(Transactions!$F:$F,_xlfn.MAXIFS($H$2:H421,$A$2:A421,A421)),W421)),0)</f>
        <v/>
      </c>
      <c r="H421">
        <f>IF(AND(E421=1,B421="RECEIPT"),ROW(),0)</f>
        <v/>
      </c>
      <c r="I421">
        <f>IF(E421=1,IF(OR(B421="SALE",B421="WRITEOFF"),Transactions!E421,0),0)</f>
        <v/>
      </c>
      <c r="J421">
        <f>SUMIFS($F$1:F420,$A$1:A420,A421)</f>
        <v/>
      </c>
      <c r="K421">
        <f>SUMIFS($I$1:I420,$A$1:A420,A421)</f>
        <v/>
      </c>
      <c r="L421">
        <f>IFERROR(VLOOKUP(A421,Opening!$A:$C,3,0),0)</f>
        <v/>
      </c>
      <c r="M421">
        <f>IF(I421=0,0,MAX(0,MIN(INDEX(Month!H$2:H$13,MATCH($A421,Month!$A$2:$A$13,0))-K421,I421)))</f>
        <v/>
      </c>
      <c r="N421">
        <f>IF(I421=0,0,MAX(0,MIN(INDEX(Month!I$2:I$13,MATCH($A421,Month!$A$2:$A$13,0))-K421,I421)))</f>
        <v/>
      </c>
      <c r="O421">
        <f>IF(I421=0,0,MAX(0,MIN(INDEX(Month!J$2:J$13,MATCH($A421,Month!$A$2:$A$13,0))-K421,I421)))</f>
        <v/>
      </c>
      <c r="P421">
        <f>IF(I421=0,0,(MIN(MAX(K421,0),L421)*W421+SUMPRODUCT((Calc!$A$2:$A$1001=A421)*Calc!$G$2:$G$1001*(((K421-(L421+Calc!$J$2:$J$1001))&gt;0)*((K421-(L421+Calc!$J$2:$J$1001))&lt;Calc!$F$2:$F$1001)*(K421-(L421+Calc!$J$2:$J$1001))+((K421-(L421+Calc!$J$2:$J$1001))&gt;=Calc!$F$2:$F$1001)*Calc!$F$2:$F$1001))))</f>
        <v/>
      </c>
      <c r="Q421">
        <f>IF(I421=0,0,(MIN(MAX((K421+M421),0),L421)*W421+SUMPRODUCT((Calc!$A$2:$A$1001=A421)*Calc!$G$2:$G$1001*((((K421+M421)-(L421+Calc!$J$2:$J$1001))&gt;0)*(((K421+M421)-(L421+Calc!$J$2:$J$1001))&lt;Calc!$F$2:$F$1001)*((K421+M421)-(L421+Calc!$J$2:$J$1001))+(((K421+M421)-(L421+Calc!$J$2:$J$1001))&gt;=Calc!$F$2:$F$1001)*Calc!$F$2:$F$1001))))</f>
        <v/>
      </c>
      <c r="R421">
        <f>IF(I421=0,0,(MIN(MAX((K421+N421),0),L421)*W421+SUMPRODUCT((Calc!$A$2:$A$1001=A421)*Calc!$G$2:$G$1001*((((K421+N421)-(L421+Calc!$J$2:$J$1001))&gt;0)*(((K421+N421)-(L421+Calc!$J$2:$J$1001))&lt;Calc!$F$2:$F$1001)*((K421+N421)-(L421+Calc!$J$2:$J$1001))+(((K421+N421)-(L421+Calc!$J$2:$J$1001))&gt;=Calc!$F$2:$F$1001)*Calc!$F$2:$F$1001))))</f>
        <v/>
      </c>
      <c r="S421">
        <f>IF(I421=0,0,(MIN(MAX((K421+O421),0),L421)*W421+SUMPRODUCT((Calc!$A$2:$A$1001=A421)*Calc!$G$2:$G$1001*((((K421+O421)-(L421+Calc!$J$2:$J$1001))&gt;0)*(((K421+O421)-(L421+Calc!$J$2:$J$1001))&lt;Calc!$F$2:$F$1001)*((K421+O421)-(L421+Calc!$J$2:$J$1001))+(((K421+O421)-(L421+Calc!$J$2:$J$1001))&gt;=Calc!$F$2:$F$1001)*Calc!$F$2:$F$1001))))</f>
        <v/>
      </c>
      <c r="T421">
        <f>IF(AND(E421=1,B421="RETURN"),Transactions!E421*Transactions!G421,0)</f>
        <v/>
      </c>
      <c r="U421">
        <f>IF(AND(E421=1,B421="EXPENSE"),Transactions!J421,0)</f>
        <v/>
      </c>
      <c r="V421">
        <f>IF(AND(Transactions!A421&lt;&gt;"",E421=0),ROW(),"")</f>
        <v/>
      </c>
      <c r="W421">
        <f>IFERROR(VLOOKUP(A421,Opening!$A:$D,4,0),0)</f>
        <v/>
      </c>
    </row>
    <row r="422">
      <c r="A422">
        <f>IF(Transactions!D422="","",UPPER(TRIM(Transactions!D422)))</f>
        <v/>
      </c>
      <c r="B422">
        <f>IF(Transactions!C422="","",UPPER(TRIM(Transactions!C422)))</f>
        <v/>
      </c>
      <c r="C422">
        <f>IF(Transactions!B422="",0,YEAR(Transactions!B422)*100+MONTH(Transactions!B422))</f>
        <v/>
      </c>
      <c r="D422">
        <f>IF(Transactions!A422="",1,IF(COUNTIF(Transactions!$A$1:A421,Transactions!A422)&gt;0,1,0))</f>
        <v/>
      </c>
      <c r="E422">
        <f>IF(D422=1,0,IF(B422="RETURN",IF(COUNTIFS($A$1:A421,A422,$B$1:B421,"SALE",$E$1:E421,1)&gt;0,1,0),1))</f>
        <v/>
      </c>
      <c r="F422">
        <f>IF(E422=1,IF(B422="RECEIPT",Transactions!E422,IF(AND(B422="RETURN",LOWER(TRIM(Transactions!H422))="resellable"),Transactions!E422,0)),0)</f>
        <v/>
      </c>
      <c r="G422">
        <f>IF(F422&gt;0,IF(B422="RECEIPT",Transactions!F422,IF(_xlfn.MAXIFS($H$2:H422,$A$2:A422,A422)&gt;0,INDEX(Transactions!$F:$F,_xlfn.MAXIFS($H$2:H422,$A$2:A422,A422)),W422)),0)</f>
        <v/>
      </c>
      <c r="H422">
        <f>IF(AND(E422=1,B422="RECEIPT"),ROW(),0)</f>
        <v/>
      </c>
      <c r="I422">
        <f>IF(E422=1,IF(OR(B422="SALE",B422="WRITEOFF"),Transactions!E422,0),0)</f>
        <v/>
      </c>
      <c r="J422">
        <f>SUMIFS($F$1:F421,$A$1:A421,A422)</f>
        <v/>
      </c>
      <c r="K422">
        <f>SUMIFS($I$1:I421,$A$1:A421,A422)</f>
        <v/>
      </c>
      <c r="L422">
        <f>IFERROR(VLOOKUP(A422,Opening!$A:$C,3,0),0)</f>
        <v/>
      </c>
      <c r="M422">
        <f>IF(I422=0,0,MAX(0,MIN(INDEX(Month!H$2:H$13,MATCH($A422,Month!$A$2:$A$13,0))-K422,I422)))</f>
        <v/>
      </c>
      <c r="N422">
        <f>IF(I422=0,0,MAX(0,MIN(INDEX(Month!I$2:I$13,MATCH($A422,Month!$A$2:$A$13,0))-K422,I422)))</f>
        <v/>
      </c>
      <c r="O422">
        <f>IF(I422=0,0,MAX(0,MIN(INDEX(Month!J$2:J$13,MATCH($A422,Month!$A$2:$A$13,0))-K422,I422)))</f>
        <v/>
      </c>
      <c r="P422">
        <f>IF(I422=0,0,(MIN(MAX(K422,0),L422)*W422+SUMPRODUCT((Calc!$A$2:$A$1001=A422)*Calc!$G$2:$G$1001*(((K422-(L422+Calc!$J$2:$J$1001))&gt;0)*((K422-(L422+Calc!$J$2:$J$1001))&lt;Calc!$F$2:$F$1001)*(K422-(L422+Calc!$J$2:$J$1001))+((K422-(L422+Calc!$J$2:$J$1001))&gt;=Calc!$F$2:$F$1001)*Calc!$F$2:$F$1001))))</f>
        <v/>
      </c>
      <c r="Q422">
        <f>IF(I422=0,0,(MIN(MAX((K422+M422),0),L422)*W422+SUMPRODUCT((Calc!$A$2:$A$1001=A422)*Calc!$G$2:$G$1001*((((K422+M422)-(L422+Calc!$J$2:$J$1001))&gt;0)*(((K422+M422)-(L422+Calc!$J$2:$J$1001))&lt;Calc!$F$2:$F$1001)*((K422+M422)-(L422+Calc!$J$2:$J$1001))+(((K422+M422)-(L422+Calc!$J$2:$J$1001))&gt;=Calc!$F$2:$F$1001)*Calc!$F$2:$F$1001))))</f>
        <v/>
      </c>
      <c r="R422">
        <f>IF(I422=0,0,(MIN(MAX((K422+N422),0),L422)*W422+SUMPRODUCT((Calc!$A$2:$A$1001=A422)*Calc!$G$2:$G$1001*((((K422+N422)-(L422+Calc!$J$2:$J$1001))&gt;0)*(((K422+N422)-(L422+Calc!$J$2:$J$1001))&lt;Calc!$F$2:$F$1001)*((K422+N422)-(L422+Calc!$J$2:$J$1001))+(((K422+N422)-(L422+Calc!$J$2:$J$1001))&gt;=Calc!$F$2:$F$1001)*Calc!$F$2:$F$1001))))</f>
        <v/>
      </c>
      <c r="S422">
        <f>IF(I422=0,0,(MIN(MAX((K422+O422),0),L422)*W422+SUMPRODUCT((Calc!$A$2:$A$1001=A422)*Calc!$G$2:$G$1001*((((K422+O422)-(L422+Calc!$J$2:$J$1001))&gt;0)*(((K422+O422)-(L422+Calc!$J$2:$J$1001))&lt;Calc!$F$2:$F$1001)*((K422+O422)-(L422+Calc!$J$2:$J$1001))+(((K422+O422)-(L422+Calc!$J$2:$J$1001))&gt;=Calc!$F$2:$F$1001)*Calc!$F$2:$F$1001))))</f>
        <v/>
      </c>
      <c r="T422">
        <f>IF(AND(E422=1,B422="RETURN"),Transactions!E422*Transactions!G422,0)</f>
        <v/>
      </c>
      <c r="U422">
        <f>IF(AND(E422=1,B422="EXPENSE"),Transactions!J422,0)</f>
        <v/>
      </c>
      <c r="V422">
        <f>IF(AND(Transactions!A422&lt;&gt;"",E422=0),ROW(),"")</f>
        <v/>
      </c>
      <c r="W422">
        <f>IFERROR(VLOOKUP(A422,Opening!$A:$D,4,0),0)</f>
        <v/>
      </c>
    </row>
    <row r="423">
      <c r="A423">
        <f>IF(Transactions!D423="","",UPPER(TRIM(Transactions!D423)))</f>
        <v/>
      </c>
      <c r="B423">
        <f>IF(Transactions!C423="","",UPPER(TRIM(Transactions!C423)))</f>
        <v/>
      </c>
      <c r="C423">
        <f>IF(Transactions!B423="",0,YEAR(Transactions!B423)*100+MONTH(Transactions!B423))</f>
        <v/>
      </c>
      <c r="D423">
        <f>IF(Transactions!A423="",1,IF(COUNTIF(Transactions!$A$1:A422,Transactions!A423)&gt;0,1,0))</f>
        <v/>
      </c>
      <c r="E423">
        <f>IF(D423=1,0,IF(B423="RETURN",IF(COUNTIFS($A$1:A422,A423,$B$1:B422,"SALE",$E$1:E422,1)&gt;0,1,0),1))</f>
        <v/>
      </c>
      <c r="F423">
        <f>IF(E423=1,IF(B423="RECEIPT",Transactions!E423,IF(AND(B423="RETURN",LOWER(TRIM(Transactions!H423))="resellable"),Transactions!E423,0)),0)</f>
        <v/>
      </c>
      <c r="G423">
        <f>IF(F423&gt;0,IF(B423="RECEIPT",Transactions!F423,IF(_xlfn.MAXIFS($H$2:H423,$A$2:A423,A423)&gt;0,INDEX(Transactions!$F:$F,_xlfn.MAXIFS($H$2:H423,$A$2:A423,A423)),W423)),0)</f>
        <v/>
      </c>
      <c r="H423">
        <f>IF(AND(E423=1,B423="RECEIPT"),ROW(),0)</f>
        <v/>
      </c>
      <c r="I423">
        <f>IF(E423=1,IF(OR(B423="SALE",B423="WRITEOFF"),Transactions!E423,0),0)</f>
        <v/>
      </c>
      <c r="J423">
        <f>SUMIFS($F$1:F422,$A$1:A422,A423)</f>
        <v/>
      </c>
      <c r="K423">
        <f>SUMIFS($I$1:I422,$A$1:A422,A423)</f>
        <v/>
      </c>
      <c r="L423">
        <f>IFERROR(VLOOKUP(A423,Opening!$A:$C,3,0),0)</f>
        <v/>
      </c>
      <c r="M423">
        <f>IF(I423=0,0,MAX(0,MIN(INDEX(Month!H$2:H$13,MATCH($A423,Month!$A$2:$A$13,0))-K423,I423)))</f>
        <v/>
      </c>
      <c r="N423">
        <f>IF(I423=0,0,MAX(0,MIN(INDEX(Month!I$2:I$13,MATCH($A423,Month!$A$2:$A$13,0))-K423,I423)))</f>
        <v/>
      </c>
      <c r="O423">
        <f>IF(I423=0,0,MAX(0,MIN(INDEX(Month!J$2:J$13,MATCH($A423,Month!$A$2:$A$13,0))-K423,I423)))</f>
        <v/>
      </c>
      <c r="P423">
        <f>IF(I423=0,0,(MIN(MAX(K423,0),L423)*W423+SUMPRODUCT((Calc!$A$2:$A$1001=A423)*Calc!$G$2:$G$1001*(((K423-(L423+Calc!$J$2:$J$1001))&gt;0)*((K423-(L423+Calc!$J$2:$J$1001))&lt;Calc!$F$2:$F$1001)*(K423-(L423+Calc!$J$2:$J$1001))+((K423-(L423+Calc!$J$2:$J$1001))&gt;=Calc!$F$2:$F$1001)*Calc!$F$2:$F$1001))))</f>
        <v/>
      </c>
      <c r="Q423">
        <f>IF(I423=0,0,(MIN(MAX((K423+M423),0),L423)*W423+SUMPRODUCT((Calc!$A$2:$A$1001=A423)*Calc!$G$2:$G$1001*((((K423+M423)-(L423+Calc!$J$2:$J$1001))&gt;0)*(((K423+M423)-(L423+Calc!$J$2:$J$1001))&lt;Calc!$F$2:$F$1001)*((K423+M423)-(L423+Calc!$J$2:$J$1001))+(((K423+M423)-(L423+Calc!$J$2:$J$1001))&gt;=Calc!$F$2:$F$1001)*Calc!$F$2:$F$1001))))</f>
        <v/>
      </c>
      <c r="R423">
        <f>IF(I423=0,0,(MIN(MAX((K423+N423),0),L423)*W423+SUMPRODUCT((Calc!$A$2:$A$1001=A423)*Calc!$G$2:$G$1001*((((K423+N423)-(L423+Calc!$J$2:$J$1001))&gt;0)*(((K423+N423)-(L423+Calc!$J$2:$J$1001))&lt;Calc!$F$2:$F$1001)*((K423+N423)-(L423+Calc!$J$2:$J$1001))+(((K423+N423)-(L423+Calc!$J$2:$J$1001))&gt;=Calc!$F$2:$F$1001)*Calc!$F$2:$F$1001))))</f>
        <v/>
      </c>
      <c r="S423">
        <f>IF(I423=0,0,(MIN(MAX((K423+O423),0),L423)*W423+SUMPRODUCT((Calc!$A$2:$A$1001=A423)*Calc!$G$2:$G$1001*((((K423+O423)-(L423+Calc!$J$2:$J$1001))&gt;0)*(((K423+O423)-(L423+Calc!$J$2:$J$1001))&lt;Calc!$F$2:$F$1001)*((K423+O423)-(L423+Calc!$J$2:$J$1001))+(((K423+O423)-(L423+Calc!$J$2:$J$1001))&gt;=Calc!$F$2:$F$1001)*Calc!$F$2:$F$1001))))</f>
        <v/>
      </c>
      <c r="T423">
        <f>IF(AND(E423=1,B423="RETURN"),Transactions!E423*Transactions!G423,0)</f>
        <v/>
      </c>
      <c r="U423">
        <f>IF(AND(E423=1,B423="EXPENSE"),Transactions!J423,0)</f>
        <v/>
      </c>
      <c r="V423">
        <f>IF(AND(Transactions!A423&lt;&gt;"",E423=0),ROW(),"")</f>
        <v/>
      </c>
      <c r="W423">
        <f>IFERROR(VLOOKUP(A423,Opening!$A:$D,4,0),0)</f>
        <v/>
      </c>
    </row>
    <row r="424">
      <c r="A424">
        <f>IF(Transactions!D424="","",UPPER(TRIM(Transactions!D424)))</f>
        <v/>
      </c>
      <c r="B424">
        <f>IF(Transactions!C424="","",UPPER(TRIM(Transactions!C424)))</f>
        <v/>
      </c>
      <c r="C424">
        <f>IF(Transactions!B424="",0,YEAR(Transactions!B424)*100+MONTH(Transactions!B424))</f>
        <v/>
      </c>
      <c r="D424">
        <f>IF(Transactions!A424="",1,IF(COUNTIF(Transactions!$A$1:A423,Transactions!A424)&gt;0,1,0))</f>
        <v/>
      </c>
      <c r="E424">
        <f>IF(D424=1,0,IF(B424="RETURN",IF(COUNTIFS($A$1:A423,A424,$B$1:B423,"SALE",$E$1:E423,1)&gt;0,1,0),1))</f>
        <v/>
      </c>
      <c r="F424">
        <f>IF(E424=1,IF(B424="RECEIPT",Transactions!E424,IF(AND(B424="RETURN",LOWER(TRIM(Transactions!H424))="resellable"),Transactions!E424,0)),0)</f>
        <v/>
      </c>
      <c r="G424">
        <f>IF(F424&gt;0,IF(B424="RECEIPT",Transactions!F424,IF(_xlfn.MAXIFS($H$2:H424,$A$2:A424,A424)&gt;0,INDEX(Transactions!$F:$F,_xlfn.MAXIFS($H$2:H424,$A$2:A424,A424)),W424)),0)</f>
        <v/>
      </c>
      <c r="H424">
        <f>IF(AND(E424=1,B424="RECEIPT"),ROW(),0)</f>
        <v/>
      </c>
      <c r="I424">
        <f>IF(E424=1,IF(OR(B424="SALE",B424="WRITEOFF"),Transactions!E424,0),0)</f>
        <v/>
      </c>
      <c r="J424">
        <f>SUMIFS($F$1:F423,$A$1:A423,A424)</f>
        <v/>
      </c>
      <c r="K424">
        <f>SUMIFS($I$1:I423,$A$1:A423,A424)</f>
        <v/>
      </c>
      <c r="L424">
        <f>IFERROR(VLOOKUP(A424,Opening!$A:$C,3,0),0)</f>
        <v/>
      </c>
      <c r="M424">
        <f>IF(I424=0,0,MAX(0,MIN(INDEX(Month!H$2:H$13,MATCH($A424,Month!$A$2:$A$13,0))-K424,I424)))</f>
        <v/>
      </c>
      <c r="N424">
        <f>IF(I424=0,0,MAX(0,MIN(INDEX(Month!I$2:I$13,MATCH($A424,Month!$A$2:$A$13,0))-K424,I424)))</f>
        <v/>
      </c>
      <c r="O424">
        <f>IF(I424=0,0,MAX(0,MIN(INDEX(Month!J$2:J$13,MATCH($A424,Month!$A$2:$A$13,0))-K424,I424)))</f>
        <v/>
      </c>
      <c r="P424">
        <f>IF(I424=0,0,(MIN(MAX(K424,0),L424)*W424+SUMPRODUCT((Calc!$A$2:$A$1001=A424)*Calc!$G$2:$G$1001*(((K424-(L424+Calc!$J$2:$J$1001))&gt;0)*((K424-(L424+Calc!$J$2:$J$1001))&lt;Calc!$F$2:$F$1001)*(K424-(L424+Calc!$J$2:$J$1001))+((K424-(L424+Calc!$J$2:$J$1001))&gt;=Calc!$F$2:$F$1001)*Calc!$F$2:$F$1001))))</f>
        <v/>
      </c>
      <c r="Q424">
        <f>IF(I424=0,0,(MIN(MAX((K424+M424),0),L424)*W424+SUMPRODUCT((Calc!$A$2:$A$1001=A424)*Calc!$G$2:$G$1001*((((K424+M424)-(L424+Calc!$J$2:$J$1001))&gt;0)*(((K424+M424)-(L424+Calc!$J$2:$J$1001))&lt;Calc!$F$2:$F$1001)*((K424+M424)-(L424+Calc!$J$2:$J$1001))+(((K424+M424)-(L424+Calc!$J$2:$J$1001))&gt;=Calc!$F$2:$F$1001)*Calc!$F$2:$F$1001))))</f>
        <v/>
      </c>
      <c r="R424">
        <f>IF(I424=0,0,(MIN(MAX((K424+N424),0),L424)*W424+SUMPRODUCT((Calc!$A$2:$A$1001=A424)*Calc!$G$2:$G$1001*((((K424+N424)-(L424+Calc!$J$2:$J$1001))&gt;0)*(((K424+N424)-(L424+Calc!$J$2:$J$1001))&lt;Calc!$F$2:$F$1001)*((K424+N424)-(L424+Calc!$J$2:$J$1001))+(((K424+N424)-(L424+Calc!$J$2:$J$1001))&gt;=Calc!$F$2:$F$1001)*Calc!$F$2:$F$1001))))</f>
        <v/>
      </c>
      <c r="S424">
        <f>IF(I424=0,0,(MIN(MAX((K424+O424),0),L424)*W424+SUMPRODUCT((Calc!$A$2:$A$1001=A424)*Calc!$G$2:$G$1001*((((K424+O424)-(L424+Calc!$J$2:$J$1001))&gt;0)*(((K424+O424)-(L424+Calc!$J$2:$J$1001))&lt;Calc!$F$2:$F$1001)*((K424+O424)-(L424+Calc!$J$2:$J$1001))+(((K424+O424)-(L424+Calc!$J$2:$J$1001))&gt;=Calc!$F$2:$F$1001)*Calc!$F$2:$F$1001))))</f>
        <v/>
      </c>
      <c r="T424">
        <f>IF(AND(E424=1,B424="RETURN"),Transactions!E424*Transactions!G424,0)</f>
        <v/>
      </c>
      <c r="U424">
        <f>IF(AND(E424=1,B424="EXPENSE"),Transactions!J424,0)</f>
        <v/>
      </c>
      <c r="V424">
        <f>IF(AND(Transactions!A424&lt;&gt;"",E424=0),ROW(),"")</f>
        <v/>
      </c>
      <c r="W424">
        <f>IFERROR(VLOOKUP(A424,Opening!$A:$D,4,0),0)</f>
        <v/>
      </c>
    </row>
    <row r="425">
      <c r="A425">
        <f>IF(Transactions!D425="","",UPPER(TRIM(Transactions!D425)))</f>
        <v/>
      </c>
      <c r="B425">
        <f>IF(Transactions!C425="","",UPPER(TRIM(Transactions!C425)))</f>
        <v/>
      </c>
      <c r="C425">
        <f>IF(Transactions!B425="",0,YEAR(Transactions!B425)*100+MONTH(Transactions!B425))</f>
        <v/>
      </c>
      <c r="D425">
        <f>IF(Transactions!A425="",1,IF(COUNTIF(Transactions!$A$1:A424,Transactions!A425)&gt;0,1,0))</f>
        <v/>
      </c>
      <c r="E425">
        <f>IF(D425=1,0,IF(B425="RETURN",IF(COUNTIFS($A$1:A424,A425,$B$1:B424,"SALE",$E$1:E424,1)&gt;0,1,0),1))</f>
        <v/>
      </c>
      <c r="F425">
        <f>IF(E425=1,IF(B425="RECEIPT",Transactions!E425,IF(AND(B425="RETURN",LOWER(TRIM(Transactions!H425))="resellable"),Transactions!E425,0)),0)</f>
        <v/>
      </c>
      <c r="G425">
        <f>IF(F425&gt;0,IF(B425="RECEIPT",Transactions!F425,IF(_xlfn.MAXIFS($H$2:H425,$A$2:A425,A425)&gt;0,INDEX(Transactions!$F:$F,_xlfn.MAXIFS($H$2:H425,$A$2:A425,A425)),W425)),0)</f>
        <v/>
      </c>
      <c r="H425">
        <f>IF(AND(E425=1,B425="RECEIPT"),ROW(),0)</f>
        <v/>
      </c>
      <c r="I425">
        <f>IF(E425=1,IF(OR(B425="SALE",B425="WRITEOFF"),Transactions!E425,0),0)</f>
        <v/>
      </c>
      <c r="J425">
        <f>SUMIFS($F$1:F424,$A$1:A424,A425)</f>
        <v/>
      </c>
      <c r="K425">
        <f>SUMIFS($I$1:I424,$A$1:A424,A425)</f>
        <v/>
      </c>
      <c r="L425">
        <f>IFERROR(VLOOKUP(A425,Opening!$A:$C,3,0),0)</f>
        <v/>
      </c>
      <c r="M425">
        <f>IF(I425=0,0,MAX(0,MIN(INDEX(Month!H$2:H$13,MATCH($A425,Month!$A$2:$A$13,0))-K425,I425)))</f>
        <v/>
      </c>
      <c r="N425">
        <f>IF(I425=0,0,MAX(0,MIN(INDEX(Month!I$2:I$13,MATCH($A425,Month!$A$2:$A$13,0))-K425,I425)))</f>
        <v/>
      </c>
      <c r="O425">
        <f>IF(I425=0,0,MAX(0,MIN(INDEX(Month!J$2:J$13,MATCH($A425,Month!$A$2:$A$13,0))-K425,I425)))</f>
        <v/>
      </c>
      <c r="P425">
        <f>IF(I425=0,0,(MIN(MAX(K425,0),L425)*W425+SUMPRODUCT((Calc!$A$2:$A$1001=A425)*Calc!$G$2:$G$1001*(((K425-(L425+Calc!$J$2:$J$1001))&gt;0)*((K425-(L425+Calc!$J$2:$J$1001))&lt;Calc!$F$2:$F$1001)*(K425-(L425+Calc!$J$2:$J$1001))+((K425-(L425+Calc!$J$2:$J$1001))&gt;=Calc!$F$2:$F$1001)*Calc!$F$2:$F$1001))))</f>
        <v/>
      </c>
      <c r="Q425">
        <f>IF(I425=0,0,(MIN(MAX((K425+M425),0),L425)*W425+SUMPRODUCT((Calc!$A$2:$A$1001=A425)*Calc!$G$2:$G$1001*((((K425+M425)-(L425+Calc!$J$2:$J$1001))&gt;0)*(((K425+M425)-(L425+Calc!$J$2:$J$1001))&lt;Calc!$F$2:$F$1001)*((K425+M425)-(L425+Calc!$J$2:$J$1001))+(((K425+M425)-(L425+Calc!$J$2:$J$1001))&gt;=Calc!$F$2:$F$1001)*Calc!$F$2:$F$1001))))</f>
        <v/>
      </c>
      <c r="R425">
        <f>IF(I425=0,0,(MIN(MAX((K425+N425),0),L425)*W425+SUMPRODUCT((Calc!$A$2:$A$1001=A425)*Calc!$G$2:$G$1001*((((K425+N425)-(L425+Calc!$J$2:$J$1001))&gt;0)*(((K425+N425)-(L425+Calc!$J$2:$J$1001))&lt;Calc!$F$2:$F$1001)*((K425+N425)-(L425+Calc!$J$2:$J$1001))+(((K425+N425)-(L425+Calc!$J$2:$J$1001))&gt;=Calc!$F$2:$F$1001)*Calc!$F$2:$F$1001))))</f>
        <v/>
      </c>
      <c r="S425">
        <f>IF(I425=0,0,(MIN(MAX((K425+O425),0),L425)*W425+SUMPRODUCT((Calc!$A$2:$A$1001=A425)*Calc!$G$2:$G$1001*((((K425+O425)-(L425+Calc!$J$2:$J$1001))&gt;0)*(((K425+O425)-(L425+Calc!$J$2:$J$1001))&lt;Calc!$F$2:$F$1001)*((K425+O425)-(L425+Calc!$J$2:$J$1001))+(((K425+O425)-(L425+Calc!$J$2:$J$1001))&gt;=Calc!$F$2:$F$1001)*Calc!$F$2:$F$1001))))</f>
        <v/>
      </c>
      <c r="T425">
        <f>IF(AND(E425=1,B425="RETURN"),Transactions!E425*Transactions!G425,0)</f>
        <v/>
      </c>
      <c r="U425">
        <f>IF(AND(E425=1,B425="EXPENSE"),Transactions!J425,0)</f>
        <v/>
      </c>
      <c r="V425">
        <f>IF(AND(Transactions!A425&lt;&gt;"",E425=0),ROW(),"")</f>
        <v/>
      </c>
      <c r="W425">
        <f>IFERROR(VLOOKUP(A425,Opening!$A:$D,4,0),0)</f>
        <v/>
      </c>
    </row>
    <row r="426">
      <c r="A426">
        <f>IF(Transactions!D426="","",UPPER(TRIM(Transactions!D426)))</f>
        <v/>
      </c>
      <c r="B426">
        <f>IF(Transactions!C426="","",UPPER(TRIM(Transactions!C426)))</f>
        <v/>
      </c>
      <c r="C426">
        <f>IF(Transactions!B426="",0,YEAR(Transactions!B426)*100+MONTH(Transactions!B426))</f>
        <v/>
      </c>
      <c r="D426">
        <f>IF(Transactions!A426="",1,IF(COUNTIF(Transactions!$A$1:A425,Transactions!A426)&gt;0,1,0))</f>
        <v/>
      </c>
      <c r="E426">
        <f>IF(D426=1,0,IF(B426="RETURN",IF(COUNTIFS($A$1:A425,A426,$B$1:B425,"SALE",$E$1:E425,1)&gt;0,1,0),1))</f>
        <v/>
      </c>
      <c r="F426">
        <f>IF(E426=1,IF(B426="RECEIPT",Transactions!E426,IF(AND(B426="RETURN",LOWER(TRIM(Transactions!H426))="resellable"),Transactions!E426,0)),0)</f>
        <v/>
      </c>
      <c r="G426">
        <f>IF(F426&gt;0,IF(B426="RECEIPT",Transactions!F426,IF(_xlfn.MAXIFS($H$2:H426,$A$2:A426,A426)&gt;0,INDEX(Transactions!$F:$F,_xlfn.MAXIFS($H$2:H426,$A$2:A426,A426)),W426)),0)</f>
        <v/>
      </c>
      <c r="H426">
        <f>IF(AND(E426=1,B426="RECEIPT"),ROW(),0)</f>
        <v/>
      </c>
      <c r="I426">
        <f>IF(E426=1,IF(OR(B426="SALE",B426="WRITEOFF"),Transactions!E426,0),0)</f>
        <v/>
      </c>
      <c r="J426">
        <f>SUMIFS($F$1:F425,$A$1:A425,A426)</f>
        <v/>
      </c>
      <c r="K426">
        <f>SUMIFS($I$1:I425,$A$1:A425,A426)</f>
        <v/>
      </c>
      <c r="L426">
        <f>IFERROR(VLOOKUP(A426,Opening!$A:$C,3,0),0)</f>
        <v/>
      </c>
      <c r="M426">
        <f>IF(I426=0,0,MAX(0,MIN(INDEX(Month!H$2:H$13,MATCH($A426,Month!$A$2:$A$13,0))-K426,I426)))</f>
        <v/>
      </c>
      <c r="N426">
        <f>IF(I426=0,0,MAX(0,MIN(INDEX(Month!I$2:I$13,MATCH($A426,Month!$A$2:$A$13,0))-K426,I426)))</f>
        <v/>
      </c>
      <c r="O426">
        <f>IF(I426=0,0,MAX(0,MIN(INDEX(Month!J$2:J$13,MATCH($A426,Month!$A$2:$A$13,0))-K426,I426)))</f>
        <v/>
      </c>
      <c r="P426">
        <f>IF(I426=0,0,(MIN(MAX(K426,0),L426)*W426+SUMPRODUCT((Calc!$A$2:$A$1001=A426)*Calc!$G$2:$G$1001*(((K426-(L426+Calc!$J$2:$J$1001))&gt;0)*((K426-(L426+Calc!$J$2:$J$1001))&lt;Calc!$F$2:$F$1001)*(K426-(L426+Calc!$J$2:$J$1001))+((K426-(L426+Calc!$J$2:$J$1001))&gt;=Calc!$F$2:$F$1001)*Calc!$F$2:$F$1001))))</f>
        <v/>
      </c>
      <c r="Q426">
        <f>IF(I426=0,0,(MIN(MAX((K426+M426),0),L426)*W426+SUMPRODUCT((Calc!$A$2:$A$1001=A426)*Calc!$G$2:$G$1001*((((K426+M426)-(L426+Calc!$J$2:$J$1001))&gt;0)*(((K426+M426)-(L426+Calc!$J$2:$J$1001))&lt;Calc!$F$2:$F$1001)*((K426+M426)-(L426+Calc!$J$2:$J$1001))+(((K426+M426)-(L426+Calc!$J$2:$J$1001))&gt;=Calc!$F$2:$F$1001)*Calc!$F$2:$F$1001))))</f>
        <v/>
      </c>
      <c r="R426">
        <f>IF(I426=0,0,(MIN(MAX((K426+N426),0),L426)*W426+SUMPRODUCT((Calc!$A$2:$A$1001=A426)*Calc!$G$2:$G$1001*((((K426+N426)-(L426+Calc!$J$2:$J$1001))&gt;0)*(((K426+N426)-(L426+Calc!$J$2:$J$1001))&lt;Calc!$F$2:$F$1001)*((K426+N426)-(L426+Calc!$J$2:$J$1001))+(((K426+N426)-(L426+Calc!$J$2:$J$1001))&gt;=Calc!$F$2:$F$1001)*Calc!$F$2:$F$1001))))</f>
        <v/>
      </c>
      <c r="S426">
        <f>IF(I426=0,0,(MIN(MAX((K426+O426),0),L426)*W426+SUMPRODUCT((Calc!$A$2:$A$1001=A426)*Calc!$G$2:$G$1001*((((K426+O426)-(L426+Calc!$J$2:$J$1001))&gt;0)*(((K426+O426)-(L426+Calc!$J$2:$J$1001))&lt;Calc!$F$2:$F$1001)*((K426+O426)-(L426+Calc!$J$2:$J$1001))+(((K426+O426)-(L426+Calc!$J$2:$J$1001))&gt;=Calc!$F$2:$F$1001)*Calc!$F$2:$F$1001))))</f>
        <v/>
      </c>
      <c r="T426">
        <f>IF(AND(E426=1,B426="RETURN"),Transactions!E426*Transactions!G426,0)</f>
        <v/>
      </c>
      <c r="U426">
        <f>IF(AND(E426=1,B426="EXPENSE"),Transactions!J426,0)</f>
        <v/>
      </c>
      <c r="V426">
        <f>IF(AND(Transactions!A426&lt;&gt;"",E426=0),ROW(),"")</f>
        <v/>
      </c>
      <c r="W426">
        <f>IFERROR(VLOOKUP(A426,Opening!$A:$D,4,0),0)</f>
        <v/>
      </c>
    </row>
    <row r="427">
      <c r="A427">
        <f>IF(Transactions!D427="","",UPPER(TRIM(Transactions!D427)))</f>
        <v/>
      </c>
      <c r="B427">
        <f>IF(Transactions!C427="","",UPPER(TRIM(Transactions!C427)))</f>
        <v/>
      </c>
      <c r="C427">
        <f>IF(Transactions!B427="",0,YEAR(Transactions!B427)*100+MONTH(Transactions!B427))</f>
        <v/>
      </c>
      <c r="D427">
        <f>IF(Transactions!A427="",1,IF(COUNTIF(Transactions!$A$1:A426,Transactions!A427)&gt;0,1,0))</f>
        <v/>
      </c>
      <c r="E427">
        <f>IF(D427=1,0,IF(B427="RETURN",IF(COUNTIFS($A$1:A426,A427,$B$1:B426,"SALE",$E$1:E426,1)&gt;0,1,0),1))</f>
        <v/>
      </c>
      <c r="F427">
        <f>IF(E427=1,IF(B427="RECEIPT",Transactions!E427,IF(AND(B427="RETURN",LOWER(TRIM(Transactions!H427))="resellable"),Transactions!E427,0)),0)</f>
        <v/>
      </c>
      <c r="G427">
        <f>IF(F427&gt;0,IF(B427="RECEIPT",Transactions!F427,IF(_xlfn.MAXIFS($H$2:H427,$A$2:A427,A427)&gt;0,INDEX(Transactions!$F:$F,_xlfn.MAXIFS($H$2:H427,$A$2:A427,A427)),W427)),0)</f>
        <v/>
      </c>
      <c r="H427">
        <f>IF(AND(E427=1,B427="RECEIPT"),ROW(),0)</f>
        <v/>
      </c>
      <c r="I427">
        <f>IF(E427=1,IF(OR(B427="SALE",B427="WRITEOFF"),Transactions!E427,0),0)</f>
        <v/>
      </c>
      <c r="J427">
        <f>SUMIFS($F$1:F426,$A$1:A426,A427)</f>
        <v/>
      </c>
      <c r="K427">
        <f>SUMIFS($I$1:I426,$A$1:A426,A427)</f>
        <v/>
      </c>
      <c r="L427">
        <f>IFERROR(VLOOKUP(A427,Opening!$A:$C,3,0),0)</f>
        <v/>
      </c>
      <c r="M427">
        <f>IF(I427=0,0,MAX(0,MIN(INDEX(Month!H$2:H$13,MATCH($A427,Month!$A$2:$A$13,0))-K427,I427)))</f>
        <v/>
      </c>
      <c r="N427">
        <f>IF(I427=0,0,MAX(0,MIN(INDEX(Month!I$2:I$13,MATCH($A427,Month!$A$2:$A$13,0))-K427,I427)))</f>
        <v/>
      </c>
      <c r="O427">
        <f>IF(I427=0,0,MAX(0,MIN(INDEX(Month!J$2:J$13,MATCH($A427,Month!$A$2:$A$13,0))-K427,I427)))</f>
        <v/>
      </c>
      <c r="P427">
        <f>IF(I427=0,0,(MIN(MAX(K427,0),L427)*W427+SUMPRODUCT((Calc!$A$2:$A$1001=A427)*Calc!$G$2:$G$1001*(((K427-(L427+Calc!$J$2:$J$1001))&gt;0)*((K427-(L427+Calc!$J$2:$J$1001))&lt;Calc!$F$2:$F$1001)*(K427-(L427+Calc!$J$2:$J$1001))+((K427-(L427+Calc!$J$2:$J$1001))&gt;=Calc!$F$2:$F$1001)*Calc!$F$2:$F$1001))))</f>
        <v/>
      </c>
      <c r="Q427">
        <f>IF(I427=0,0,(MIN(MAX((K427+M427),0),L427)*W427+SUMPRODUCT((Calc!$A$2:$A$1001=A427)*Calc!$G$2:$G$1001*((((K427+M427)-(L427+Calc!$J$2:$J$1001))&gt;0)*(((K427+M427)-(L427+Calc!$J$2:$J$1001))&lt;Calc!$F$2:$F$1001)*((K427+M427)-(L427+Calc!$J$2:$J$1001))+(((K427+M427)-(L427+Calc!$J$2:$J$1001))&gt;=Calc!$F$2:$F$1001)*Calc!$F$2:$F$1001))))</f>
        <v/>
      </c>
      <c r="R427">
        <f>IF(I427=0,0,(MIN(MAX((K427+N427),0),L427)*W427+SUMPRODUCT((Calc!$A$2:$A$1001=A427)*Calc!$G$2:$G$1001*((((K427+N427)-(L427+Calc!$J$2:$J$1001))&gt;0)*(((K427+N427)-(L427+Calc!$J$2:$J$1001))&lt;Calc!$F$2:$F$1001)*((K427+N427)-(L427+Calc!$J$2:$J$1001))+(((K427+N427)-(L427+Calc!$J$2:$J$1001))&gt;=Calc!$F$2:$F$1001)*Calc!$F$2:$F$1001))))</f>
        <v/>
      </c>
      <c r="S427">
        <f>IF(I427=0,0,(MIN(MAX((K427+O427),0),L427)*W427+SUMPRODUCT((Calc!$A$2:$A$1001=A427)*Calc!$G$2:$G$1001*((((K427+O427)-(L427+Calc!$J$2:$J$1001))&gt;0)*(((K427+O427)-(L427+Calc!$J$2:$J$1001))&lt;Calc!$F$2:$F$1001)*((K427+O427)-(L427+Calc!$J$2:$J$1001))+(((K427+O427)-(L427+Calc!$J$2:$J$1001))&gt;=Calc!$F$2:$F$1001)*Calc!$F$2:$F$1001))))</f>
        <v/>
      </c>
      <c r="T427">
        <f>IF(AND(E427=1,B427="RETURN"),Transactions!E427*Transactions!G427,0)</f>
        <v/>
      </c>
      <c r="U427">
        <f>IF(AND(E427=1,B427="EXPENSE"),Transactions!J427,0)</f>
        <v/>
      </c>
      <c r="V427">
        <f>IF(AND(Transactions!A427&lt;&gt;"",E427=0),ROW(),"")</f>
        <v/>
      </c>
      <c r="W427">
        <f>IFERROR(VLOOKUP(A427,Opening!$A:$D,4,0),0)</f>
        <v/>
      </c>
    </row>
    <row r="428">
      <c r="A428">
        <f>IF(Transactions!D428="","",UPPER(TRIM(Transactions!D428)))</f>
        <v/>
      </c>
      <c r="B428">
        <f>IF(Transactions!C428="","",UPPER(TRIM(Transactions!C428)))</f>
        <v/>
      </c>
      <c r="C428">
        <f>IF(Transactions!B428="",0,YEAR(Transactions!B428)*100+MONTH(Transactions!B428))</f>
        <v/>
      </c>
      <c r="D428">
        <f>IF(Transactions!A428="",1,IF(COUNTIF(Transactions!$A$1:A427,Transactions!A428)&gt;0,1,0))</f>
        <v/>
      </c>
      <c r="E428">
        <f>IF(D428=1,0,IF(B428="RETURN",IF(COUNTIFS($A$1:A427,A428,$B$1:B427,"SALE",$E$1:E427,1)&gt;0,1,0),1))</f>
        <v/>
      </c>
      <c r="F428">
        <f>IF(E428=1,IF(B428="RECEIPT",Transactions!E428,IF(AND(B428="RETURN",LOWER(TRIM(Transactions!H428))="resellable"),Transactions!E428,0)),0)</f>
        <v/>
      </c>
      <c r="G428">
        <f>IF(F428&gt;0,IF(B428="RECEIPT",Transactions!F428,IF(_xlfn.MAXIFS($H$2:H428,$A$2:A428,A428)&gt;0,INDEX(Transactions!$F:$F,_xlfn.MAXIFS($H$2:H428,$A$2:A428,A428)),W428)),0)</f>
        <v/>
      </c>
      <c r="H428">
        <f>IF(AND(E428=1,B428="RECEIPT"),ROW(),0)</f>
        <v/>
      </c>
      <c r="I428">
        <f>IF(E428=1,IF(OR(B428="SALE",B428="WRITEOFF"),Transactions!E428,0),0)</f>
        <v/>
      </c>
      <c r="J428">
        <f>SUMIFS($F$1:F427,$A$1:A427,A428)</f>
        <v/>
      </c>
      <c r="K428">
        <f>SUMIFS($I$1:I427,$A$1:A427,A428)</f>
        <v/>
      </c>
      <c r="L428">
        <f>IFERROR(VLOOKUP(A428,Opening!$A:$C,3,0),0)</f>
        <v/>
      </c>
      <c r="M428">
        <f>IF(I428=0,0,MAX(0,MIN(INDEX(Month!H$2:H$13,MATCH($A428,Month!$A$2:$A$13,0))-K428,I428)))</f>
        <v/>
      </c>
      <c r="N428">
        <f>IF(I428=0,0,MAX(0,MIN(INDEX(Month!I$2:I$13,MATCH($A428,Month!$A$2:$A$13,0))-K428,I428)))</f>
        <v/>
      </c>
      <c r="O428">
        <f>IF(I428=0,0,MAX(0,MIN(INDEX(Month!J$2:J$13,MATCH($A428,Month!$A$2:$A$13,0))-K428,I428)))</f>
        <v/>
      </c>
      <c r="P428">
        <f>IF(I428=0,0,(MIN(MAX(K428,0),L428)*W428+SUMPRODUCT((Calc!$A$2:$A$1001=A428)*Calc!$G$2:$G$1001*(((K428-(L428+Calc!$J$2:$J$1001))&gt;0)*((K428-(L428+Calc!$J$2:$J$1001))&lt;Calc!$F$2:$F$1001)*(K428-(L428+Calc!$J$2:$J$1001))+((K428-(L428+Calc!$J$2:$J$1001))&gt;=Calc!$F$2:$F$1001)*Calc!$F$2:$F$1001))))</f>
        <v/>
      </c>
      <c r="Q428">
        <f>IF(I428=0,0,(MIN(MAX((K428+M428),0),L428)*W428+SUMPRODUCT((Calc!$A$2:$A$1001=A428)*Calc!$G$2:$G$1001*((((K428+M428)-(L428+Calc!$J$2:$J$1001))&gt;0)*(((K428+M428)-(L428+Calc!$J$2:$J$1001))&lt;Calc!$F$2:$F$1001)*((K428+M428)-(L428+Calc!$J$2:$J$1001))+(((K428+M428)-(L428+Calc!$J$2:$J$1001))&gt;=Calc!$F$2:$F$1001)*Calc!$F$2:$F$1001))))</f>
        <v/>
      </c>
      <c r="R428">
        <f>IF(I428=0,0,(MIN(MAX((K428+N428),0),L428)*W428+SUMPRODUCT((Calc!$A$2:$A$1001=A428)*Calc!$G$2:$G$1001*((((K428+N428)-(L428+Calc!$J$2:$J$1001))&gt;0)*(((K428+N428)-(L428+Calc!$J$2:$J$1001))&lt;Calc!$F$2:$F$1001)*((K428+N428)-(L428+Calc!$J$2:$J$1001))+(((K428+N428)-(L428+Calc!$J$2:$J$1001))&gt;=Calc!$F$2:$F$1001)*Calc!$F$2:$F$1001))))</f>
        <v/>
      </c>
      <c r="S428">
        <f>IF(I428=0,0,(MIN(MAX((K428+O428),0),L428)*W428+SUMPRODUCT((Calc!$A$2:$A$1001=A428)*Calc!$G$2:$G$1001*((((K428+O428)-(L428+Calc!$J$2:$J$1001))&gt;0)*(((K428+O428)-(L428+Calc!$J$2:$J$1001))&lt;Calc!$F$2:$F$1001)*((K428+O428)-(L428+Calc!$J$2:$J$1001))+(((K428+O428)-(L428+Calc!$J$2:$J$1001))&gt;=Calc!$F$2:$F$1001)*Calc!$F$2:$F$1001))))</f>
        <v/>
      </c>
      <c r="T428">
        <f>IF(AND(E428=1,B428="RETURN"),Transactions!E428*Transactions!G428,0)</f>
        <v/>
      </c>
      <c r="U428">
        <f>IF(AND(E428=1,B428="EXPENSE"),Transactions!J428,0)</f>
        <v/>
      </c>
      <c r="V428">
        <f>IF(AND(Transactions!A428&lt;&gt;"",E428=0),ROW(),"")</f>
        <v/>
      </c>
      <c r="W428">
        <f>IFERROR(VLOOKUP(A428,Opening!$A:$D,4,0),0)</f>
        <v/>
      </c>
    </row>
    <row r="429">
      <c r="A429">
        <f>IF(Transactions!D429="","",UPPER(TRIM(Transactions!D429)))</f>
        <v/>
      </c>
      <c r="B429">
        <f>IF(Transactions!C429="","",UPPER(TRIM(Transactions!C429)))</f>
        <v/>
      </c>
      <c r="C429">
        <f>IF(Transactions!B429="",0,YEAR(Transactions!B429)*100+MONTH(Transactions!B429))</f>
        <v/>
      </c>
      <c r="D429">
        <f>IF(Transactions!A429="",1,IF(COUNTIF(Transactions!$A$1:A428,Transactions!A429)&gt;0,1,0))</f>
        <v/>
      </c>
      <c r="E429">
        <f>IF(D429=1,0,IF(B429="RETURN",IF(COUNTIFS($A$1:A428,A429,$B$1:B428,"SALE",$E$1:E428,1)&gt;0,1,0),1))</f>
        <v/>
      </c>
      <c r="F429">
        <f>IF(E429=1,IF(B429="RECEIPT",Transactions!E429,IF(AND(B429="RETURN",LOWER(TRIM(Transactions!H429))="resellable"),Transactions!E429,0)),0)</f>
        <v/>
      </c>
      <c r="G429">
        <f>IF(F429&gt;0,IF(B429="RECEIPT",Transactions!F429,IF(_xlfn.MAXIFS($H$2:H429,$A$2:A429,A429)&gt;0,INDEX(Transactions!$F:$F,_xlfn.MAXIFS($H$2:H429,$A$2:A429,A429)),W429)),0)</f>
        <v/>
      </c>
      <c r="H429">
        <f>IF(AND(E429=1,B429="RECEIPT"),ROW(),0)</f>
        <v/>
      </c>
      <c r="I429">
        <f>IF(E429=1,IF(OR(B429="SALE",B429="WRITEOFF"),Transactions!E429,0),0)</f>
        <v/>
      </c>
      <c r="J429">
        <f>SUMIFS($F$1:F428,$A$1:A428,A429)</f>
        <v/>
      </c>
      <c r="K429">
        <f>SUMIFS($I$1:I428,$A$1:A428,A429)</f>
        <v/>
      </c>
      <c r="L429">
        <f>IFERROR(VLOOKUP(A429,Opening!$A:$C,3,0),0)</f>
        <v/>
      </c>
      <c r="M429">
        <f>IF(I429=0,0,MAX(0,MIN(INDEX(Month!H$2:H$13,MATCH($A429,Month!$A$2:$A$13,0))-K429,I429)))</f>
        <v/>
      </c>
      <c r="N429">
        <f>IF(I429=0,0,MAX(0,MIN(INDEX(Month!I$2:I$13,MATCH($A429,Month!$A$2:$A$13,0))-K429,I429)))</f>
        <v/>
      </c>
      <c r="O429">
        <f>IF(I429=0,0,MAX(0,MIN(INDEX(Month!J$2:J$13,MATCH($A429,Month!$A$2:$A$13,0))-K429,I429)))</f>
        <v/>
      </c>
      <c r="P429">
        <f>IF(I429=0,0,(MIN(MAX(K429,0),L429)*W429+SUMPRODUCT((Calc!$A$2:$A$1001=A429)*Calc!$G$2:$G$1001*(((K429-(L429+Calc!$J$2:$J$1001))&gt;0)*((K429-(L429+Calc!$J$2:$J$1001))&lt;Calc!$F$2:$F$1001)*(K429-(L429+Calc!$J$2:$J$1001))+((K429-(L429+Calc!$J$2:$J$1001))&gt;=Calc!$F$2:$F$1001)*Calc!$F$2:$F$1001))))</f>
        <v/>
      </c>
      <c r="Q429">
        <f>IF(I429=0,0,(MIN(MAX((K429+M429),0),L429)*W429+SUMPRODUCT((Calc!$A$2:$A$1001=A429)*Calc!$G$2:$G$1001*((((K429+M429)-(L429+Calc!$J$2:$J$1001))&gt;0)*(((K429+M429)-(L429+Calc!$J$2:$J$1001))&lt;Calc!$F$2:$F$1001)*((K429+M429)-(L429+Calc!$J$2:$J$1001))+(((K429+M429)-(L429+Calc!$J$2:$J$1001))&gt;=Calc!$F$2:$F$1001)*Calc!$F$2:$F$1001))))</f>
        <v/>
      </c>
      <c r="R429">
        <f>IF(I429=0,0,(MIN(MAX((K429+N429),0),L429)*W429+SUMPRODUCT((Calc!$A$2:$A$1001=A429)*Calc!$G$2:$G$1001*((((K429+N429)-(L429+Calc!$J$2:$J$1001))&gt;0)*(((K429+N429)-(L429+Calc!$J$2:$J$1001))&lt;Calc!$F$2:$F$1001)*((K429+N429)-(L429+Calc!$J$2:$J$1001))+(((K429+N429)-(L429+Calc!$J$2:$J$1001))&gt;=Calc!$F$2:$F$1001)*Calc!$F$2:$F$1001))))</f>
        <v/>
      </c>
      <c r="S429">
        <f>IF(I429=0,0,(MIN(MAX((K429+O429),0),L429)*W429+SUMPRODUCT((Calc!$A$2:$A$1001=A429)*Calc!$G$2:$G$1001*((((K429+O429)-(L429+Calc!$J$2:$J$1001))&gt;0)*(((K429+O429)-(L429+Calc!$J$2:$J$1001))&lt;Calc!$F$2:$F$1001)*((K429+O429)-(L429+Calc!$J$2:$J$1001))+(((K429+O429)-(L429+Calc!$J$2:$J$1001))&gt;=Calc!$F$2:$F$1001)*Calc!$F$2:$F$1001))))</f>
        <v/>
      </c>
      <c r="T429">
        <f>IF(AND(E429=1,B429="RETURN"),Transactions!E429*Transactions!G429,0)</f>
        <v/>
      </c>
      <c r="U429">
        <f>IF(AND(E429=1,B429="EXPENSE"),Transactions!J429,0)</f>
        <v/>
      </c>
      <c r="V429">
        <f>IF(AND(Transactions!A429&lt;&gt;"",E429=0),ROW(),"")</f>
        <v/>
      </c>
      <c r="W429">
        <f>IFERROR(VLOOKUP(A429,Opening!$A:$D,4,0),0)</f>
        <v/>
      </c>
    </row>
    <row r="430">
      <c r="A430">
        <f>IF(Transactions!D430="","",UPPER(TRIM(Transactions!D430)))</f>
        <v/>
      </c>
      <c r="B430">
        <f>IF(Transactions!C430="","",UPPER(TRIM(Transactions!C430)))</f>
        <v/>
      </c>
      <c r="C430">
        <f>IF(Transactions!B430="",0,YEAR(Transactions!B430)*100+MONTH(Transactions!B430))</f>
        <v/>
      </c>
      <c r="D430">
        <f>IF(Transactions!A430="",1,IF(COUNTIF(Transactions!$A$1:A429,Transactions!A430)&gt;0,1,0))</f>
        <v/>
      </c>
      <c r="E430">
        <f>IF(D430=1,0,IF(B430="RETURN",IF(COUNTIFS($A$1:A429,A430,$B$1:B429,"SALE",$E$1:E429,1)&gt;0,1,0),1))</f>
        <v/>
      </c>
      <c r="F430">
        <f>IF(E430=1,IF(B430="RECEIPT",Transactions!E430,IF(AND(B430="RETURN",LOWER(TRIM(Transactions!H430))="resellable"),Transactions!E430,0)),0)</f>
        <v/>
      </c>
      <c r="G430">
        <f>IF(F430&gt;0,IF(B430="RECEIPT",Transactions!F430,IF(_xlfn.MAXIFS($H$2:H430,$A$2:A430,A430)&gt;0,INDEX(Transactions!$F:$F,_xlfn.MAXIFS($H$2:H430,$A$2:A430,A430)),W430)),0)</f>
        <v/>
      </c>
      <c r="H430">
        <f>IF(AND(E430=1,B430="RECEIPT"),ROW(),0)</f>
        <v/>
      </c>
      <c r="I430">
        <f>IF(E430=1,IF(OR(B430="SALE",B430="WRITEOFF"),Transactions!E430,0),0)</f>
        <v/>
      </c>
      <c r="J430">
        <f>SUMIFS($F$1:F429,$A$1:A429,A430)</f>
        <v/>
      </c>
      <c r="K430">
        <f>SUMIFS($I$1:I429,$A$1:A429,A430)</f>
        <v/>
      </c>
      <c r="L430">
        <f>IFERROR(VLOOKUP(A430,Opening!$A:$C,3,0),0)</f>
        <v/>
      </c>
      <c r="M430">
        <f>IF(I430=0,0,MAX(0,MIN(INDEX(Month!H$2:H$13,MATCH($A430,Month!$A$2:$A$13,0))-K430,I430)))</f>
        <v/>
      </c>
      <c r="N430">
        <f>IF(I430=0,0,MAX(0,MIN(INDEX(Month!I$2:I$13,MATCH($A430,Month!$A$2:$A$13,0))-K430,I430)))</f>
        <v/>
      </c>
      <c r="O430">
        <f>IF(I430=0,0,MAX(0,MIN(INDEX(Month!J$2:J$13,MATCH($A430,Month!$A$2:$A$13,0))-K430,I430)))</f>
        <v/>
      </c>
      <c r="P430">
        <f>IF(I430=0,0,(MIN(MAX(K430,0),L430)*W430+SUMPRODUCT((Calc!$A$2:$A$1001=A430)*Calc!$G$2:$G$1001*(((K430-(L430+Calc!$J$2:$J$1001))&gt;0)*((K430-(L430+Calc!$J$2:$J$1001))&lt;Calc!$F$2:$F$1001)*(K430-(L430+Calc!$J$2:$J$1001))+((K430-(L430+Calc!$J$2:$J$1001))&gt;=Calc!$F$2:$F$1001)*Calc!$F$2:$F$1001))))</f>
        <v/>
      </c>
      <c r="Q430">
        <f>IF(I430=0,0,(MIN(MAX((K430+M430),0),L430)*W430+SUMPRODUCT((Calc!$A$2:$A$1001=A430)*Calc!$G$2:$G$1001*((((K430+M430)-(L430+Calc!$J$2:$J$1001))&gt;0)*(((K430+M430)-(L430+Calc!$J$2:$J$1001))&lt;Calc!$F$2:$F$1001)*((K430+M430)-(L430+Calc!$J$2:$J$1001))+(((K430+M430)-(L430+Calc!$J$2:$J$1001))&gt;=Calc!$F$2:$F$1001)*Calc!$F$2:$F$1001))))</f>
        <v/>
      </c>
      <c r="R430">
        <f>IF(I430=0,0,(MIN(MAX((K430+N430),0),L430)*W430+SUMPRODUCT((Calc!$A$2:$A$1001=A430)*Calc!$G$2:$G$1001*((((K430+N430)-(L430+Calc!$J$2:$J$1001))&gt;0)*(((K430+N430)-(L430+Calc!$J$2:$J$1001))&lt;Calc!$F$2:$F$1001)*((K430+N430)-(L430+Calc!$J$2:$J$1001))+(((K430+N430)-(L430+Calc!$J$2:$J$1001))&gt;=Calc!$F$2:$F$1001)*Calc!$F$2:$F$1001))))</f>
        <v/>
      </c>
      <c r="S430">
        <f>IF(I430=0,0,(MIN(MAX((K430+O430),0),L430)*W430+SUMPRODUCT((Calc!$A$2:$A$1001=A430)*Calc!$G$2:$G$1001*((((K430+O430)-(L430+Calc!$J$2:$J$1001))&gt;0)*(((K430+O430)-(L430+Calc!$J$2:$J$1001))&lt;Calc!$F$2:$F$1001)*((K430+O430)-(L430+Calc!$J$2:$J$1001))+(((K430+O430)-(L430+Calc!$J$2:$J$1001))&gt;=Calc!$F$2:$F$1001)*Calc!$F$2:$F$1001))))</f>
        <v/>
      </c>
      <c r="T430">
        <f>IF(AND(E430=1,B430="RETURN"),Transactions!E430*Transactions!G430,0)</f>
        <v/>
      </c>
      <c r="U430">
        <f>IF(AND(E430=1,B430="EXPENSE"),Transactions!J430,0)</f>
        <v/>
      </c>
      <c r="V430">
        <f>IF(AND(Transactions!A430&lt;&gt;"",E430=0),ROW(),"")</f>
        <v/>
      </c>
      <c r="W430">
        <f>IFERROR(VLOOKUP(A430,Opening!$A:$D,4,0),0)</f>
        <v/>
      </c>
    </row>
    <row r="431">
      <c r="A431">
        <f>IF(Transactions!D431="","",UPPER(TRIM(Transactions!D431)))</f>
        <v/>
      </c>
      <c r="B431">
        <f>IF(Transactions!C431="","",UPPER(TRIM(Transactions!C431)))</f>
        <v/>
      </c>
      <c r="C431">
        <f>IF(Transactions!B431="",0,YEAR(Transactions!B431)*100+MONTH(Transactions!B431))</f>
        <v/>
      </c>
      <c r="D431">
        <f>IF(Transactions!A431="",1,IF(COUNTIF(Transactions!$A$1:A430,Transactions!A431)&gt;0,1,0))</f>
        <v/>
      </c>
      <c r="E431">
        <f>IF(D431=1,0,IF(B431="RETURN",IF(COUNTIFS($A$1:A430,A431,$B$1:B430,"SALE",$E$1:E430,1)&gt;0,1,0),1))</f>
        <v/>
      </c>
      <c r="F431">
        <f>IF(E431=1,IF(B431="RECEIPT",Transactions!E431,IF(AND(B431="RETURN",LOWER(TRIM(Transactions!H431))="resellable"),Transactions!E431,0)),0)</f>
        <v/>
      </c>
      <c r="G431">
        <f>IF(F431&gt;0,IF(B431="RECEIPT",Transactions!F431,IF(_xlfn.MAXIFS($H$2:H431,$A$2:A431,A431)&gt;0,INDEX(Transactions!$F:$F,_xlfn.MAXIFS($H$2:H431,$A$2:A431,A431)),W431)),0)</f>
        <v/>
      </c>
      <c r="H431">
        <f>IF(AND(E431=1,B431="RECEIPT"),ROW(),0)</f>
        <v/>
      </c>
      <c r="I431">
        <f>IF(E431=1,IF(OR(B431="SALE",B431="WRITEOFF"),Transactions!E431,0),0)</f>
        <v/>
      </c>
      <c r="J431">
        <f>SUMIFS($F$1:F430,$A$1:A430,A431)</f>
        <v/>
      </c>
      <c r="K431">
        <f>SUMIFS($I$1:I430,$A$1:A430,A431)</f>
        <v/>
      </c>
      <c r="L431">
        <f>IFERROR(VLOOKUP(A431,Opening!$A:$C,3,0),0)</f>
        <v/>
      </c>
      <c r="M431">
        <f>IF(I431=0,0,MAX(0,MIN(INDEX(Month!H$2:H$13,MATCH($A431,Month!$A$2:$A$13,0))-K431,I431)))</f>
        <v/>
      </c>
      <c r="N431">
        <f>IF(I431=0,0,MAX(0,MIN(INDEX(Month!I$2:I$13,MATCH($A431,Month!$A$2:$A$13,0))-K431,I431)))</f>
        <v/>
      </c>
      <c r="O431">
        <f>IF(I431=0,0,MAX(0,MIN(INDEX(Month!J$2:J$13,MATCH($A431,Month!$A$2:$A$13,0))-K431,I431)))</f>
        <v/>
      </c>
      <c r="P431">
        <f>IF(I431=0,0,(MIN(MAX(K431,0),L431)*W431+SUMPRODUCT((Calc!$A$2:$A$1001=A431)*Calc!$G$2:$G$1001*(((K431-(L431+Calc!$J$2:$J$1001))&gt;0)*((K431-(L431+Calc!$J$2:$J$1001))&lt;Calc!$F$2:$F$1001)*(K431-(L431+Calc!$J$2:$J$1001))+((K431-(L431+Calc!$J$2:$J$1001))&gt;=Calc!$F$2:$F$1001)*Calc!$F$2:$F$1001))))</f>
        <v/>
      </c>
      <c r="Q431">
        <f>IF(I431=0,0,(MIN(MAX((K431+M431),0),L431)*W431+SUMPRODUCT((Calc!$A$2:$A$1001=A431)*Calc!$G$2:$G$1001*((((K431+M431)-(L431+Calc!$J$2:$J$1001))&gt;0)*(((K431+M431)-(L431+Calc!$J$2:$J$1001))&lt;Calc!$F$2:$F$1001)*((K431+M431)-(L431+Calc!$J$2:$J$1001))+(((K431+M431)-(L431+Calc!$J$2:$J$1001))&gt;=Calc!$F$2:$F$1001)*Calc!$F$2:$F$1001))))</f>
        <v/>
      </c>
      <c r="R431">
        <f>IF(I431=0,0,(MIN(MAX((K431+N431),0),L431)*W431+SUMPRODUCT((Calc!$A$2:$A$1001=A431)*Calc!$G$2:$G$1001*((((K431+N431)-(L431+Calc!$J$2:$J$1001))&gt;0)*(((K431+N431)-(L431+Calc!$J$2:$J$1001))&lt;Calc!$F$2:$F$1001)*((K431+N431)-(L431+Calc!$J$2:$J$1001))+(((K431+N431)-(L431+Calc!$J$2:$J$1001))&gt;=Calc!$F$2:$F$1001)*Calc!$F$2:$F$1001))))</f>
        <v/>
      </c>
      <c r="S431">
        <f>IF(I431=0,0,(MIN(MAX((K431+O431),0),L431)*W431+SUMPRODUCT((Calc!$A$2:$A$1001=A431)*Calc!$G$2:$G$1001*((((K431+O431)-(L431+Calc!$J$2:$J$1001))&gt;0)*(((K431+O431)-(L431+Calc!$J$2:$J$1001))&lt;Calc!$F$2:$F$1001)*((K431+O431)-(L431+Calc!$J$2:$J$1001))+(((K431+O431)-(L431+Calc!$J$2:$J$1001))&gt;=Calc!$F$2:$F$1001)*Calc!$F$2:$F$1001))))</f>
        <v/>
      </c>
      <c r="T431">
        <f>IF(AND(E431=1,B431="RETURN"),Transactions!E431*Transactions!G431,0)</f>
        <v/>
      </c>
      <c r="U431">
        <f>IF(AND(E431=1,B431="EXPENSE"),Transactions!J431,0)</f>
        <v/>
      </c>
      <c r="V431">
        <f>IF(AND(Transactions!A431&lt;&gt;"",E431=0),ROW(),"")</f>
        <v/>
      </c>
      <c r="W431">
        <f>IFERROR(VLOOKUP(A431,Opening!$A:$D,4,0),0)</f>
        <v/>
      </c>
    </row>
    <row r="432">
      <c r="A432">
        <f>IF(Transactions!D432="","",UPPER(TRIM(Transactions!D432)))</f>
        <v/>
      </c>
      <c r="B432">
        <f>IF(Transactions!C432="","",UPPER(TRIM(Transactions!C432)))</f>
        <v/>
      </c>
      <c r="C432">
        <f>IF(Transactions!B432="",0,YEAR(Transactions!B432)*100+MONTH(Transactions!B432))</f>
        <v/>
      </c>
      <c r="D432">
        <f>IF(Transactions!A432="",1,IF(COUNTIF(Transactions!$A$1:A431,Transactions!A432)&gt;0,1,0))</f>
        <v/>
      </c>
      <c r="E432">
        <f>IF(D432=1,0,IF(B432="RETURN",IF(COUNTIFS($A$1:A431,A432,$B$1:B431,"SALE",$E$1:E431,1)&gt;0,1,0),1))</f>
        <v/>
      </c>
      <c r="F432">
        <f>IF(E432=1,IF(B432="RECEIPT",Transactions!E432,IF(AND(B432="RETURN",LOWER(TRIM(Transactions!H432))="resellable"),Transactions!E432,0)),0)</f>
        <v/>
      </c>
      <c r="G432">
        <f>IF(F432&gt;0,IF(B432="RECEIPT",Transactions!F432,IF(_xlfn.MAXIFS($H$2:H432,$A$2:A432,A432)&gt;0,INDEX(Transactions!$F:$F,_xlfn.MAXIFS($H$2:H432,$A$2:A432,A432)),W432)),0)</f>
        <v/>
      </c>
      <c r="H432">
        <f>IF(AND(E432=1,B432="RECEIPT"),ROW(),0)</f>
        <v/>
      </c>
      <c r="I432">
        <f>IF(E432=1,IF(OR(B432="SALE",B432="WRITEOFF"),Transactions!E432,0),0)</f>
        <v/>
      </c>
      <c r="J432">
        <f>SUMIFS($F$1:F431,$A$1:A431,A432)</f>
        <v/>
      </c>
      <c r="K432">
        <f>SUMIFS($I$1:I431,$A$1:A431,A432)</f>
        <v/>
      </c>
      <c r="L432">
        <f>IFERROR(VLOOKUP(A432,Opening!$A:$C,3,0),0)</f>
        <v/>
      </c>
      <c r="M432">
        <f>IF(I432=0,0,MAX(0,MIN(INDEX(Month!H$2:H$13,MATCH($A432,Month!$A$2:$A$13,0))-K432,I432)))</f>
        <v/>
      </c>
      <c r="N432">
        <f>IF(I432=0,0,MAX(0,MIN(INDEX(Month!I$2:I$13,MATCH($A432,Month!$A$2:$A$13,0))-K432,I432)))</f>
        <v/>
      </c>
      <c r="O432">
        <f>IF(I432=0,0,MAX(0,MIN(INDEX(Month!J$2:J$13,MATCH($A432,Month!$A$2:$A$13,0))-K432,I432)))</f>
        <v/>
      </c>
      <c r="P432">
        <f>IF(I432=0,0,(MIN(MAX(K432,0),L432)*W432+SUMPRODUCT((Calc!$A$2:$A$1001=A432)*Calc!$G$2:$G$1001*(((K432-(L432+Calc!$J$2:$J$1001))&gt;0)*((K432-(L432+Calc!$J$2:$J$1001))&lt;Calc!$F$2:$F$1001)*(K432-(L432+Calc!$J$2:$J$1001))+((K432-(L432+Calc!$J$2:$J$1001))&gt;=Calc!$F$2:$F$1001)*Calc!$F$2:$F$1001))))</f>
        <v/>
      </c>
      <c r="Q432">
        <f>IF(I432=0,0,(MIN(MAX((K432+M432),0),L432)*W432+SUMPRODUCT((Calc!$A$2:$A$1001=A432)*Calc!$G$2:$G$1001*((((K432+M432)-(L432+Calc!$J$2:$J$1001))&gt;0)*(((K432+M432)-(L432+Calc!$J$2:$J$1001))&lt;Calc!$F$2:$F$1001)*((K432+M432)-(L432+Calc!$J$2:$J$1001))+(((K432+M432)-(L432+Calc!$J$2:$J$1001))&gt;=Calc!$F$2:$F$1001)*Calc!$F$2:$F$1001))))</f>
        <v/>
      </c>
      <c r="R432">
        <f>IF(I432=0,0,(MIN(MAX((K432+N432),0),L432)*W432+SUMPRODUCT((Calc!$A$2:$A$1001=A432)*Calc!$G$2:$G$1001*((((K432+N432)-(L432+Calc!$J$2:$J$1001))&gt;0)*(((K432+N432)-(L432+Calc!$J$2:$J$1001))&lt;Calc!$F$2:$F$1001)*((K432+N432)-(L432+Calc!$J$2:$J$1001))+(((K432+N432)-(L432+Calc!$J$2:$J$1001))&gt;=Calc!$F$2:$F$1001)*Calc!$F$2:$F$1001))))</f>
        <v/>
      </c>
      <c r="S432">
        <f>IF(I432=0,0,(MIN(MAX((K432+O432),0),L432)*W432+SUMPRODUCT((Calc!$A$2:$A$1001=A432)*Calc!$G$2:$G$1001*((((K432+O432)-(L432+Calc!$J$2:$J$1001))&gt;0)*(((K432+O432)-(L432+Calc!$J$2:$J$1001))&lt;Calc!$F$2:$F$1001)*((K432+O432)-(L432+Calc!$J$2:$J$1001))+(((K432+O432)-(L432+Calc!$J$2:$J$1001))&gt;=Calc!$F$2:$F$1001)*Calc!$F$2:$F$1001))))</f>
        <v/>
      </c>
      <c r="T432">
        <f>IF(AND(E432=1,B432="RETURN"),Transactions!E432*Transactions!G432,0)</f>
        <v/>
      </c>
      <c r="U432">
        <f>IF(AND(E432=1,B432="EXPENSE"),Transactions!J432,0)</f>
        <v/>
      </c>
      <c r="V432">
        <f>IF(AND(Transactions!A432&lt;&gt;"",E432=0),ROW(),"")</f>
        <v/>
      </c>
      <c r="W432">
        <f>IFERROR(VLOOKUP(A432,Opening!$A:$D,4,0),0)</f>
        <v/>
      </c>
    </row>
    <row r="433">
      <c r="A433">
        <f>IF(Transactions!D433="","",UPPER(TRIM(Transactions!D433)))</f>
        <v/>
      </c>
      <c r="B433">
        <f>IF(Transactions!C433="","",UPPER(TRIM(Transactions!C433)))</f>
        <v/>
      </c>
      <c r="C433">
        <f>IF(Transactions!B433="",0,YEAR(Transactions!B433)*100+MONTH(Transactions!B433))</f>
        <v/>
      </c>
      <c r="D433">
        <f>IF(Transactions!A433="",1,IF(COUNTIF(Transactions!$A$1:A432,Transactions!A433)&gt;0,1,0))</f>
        <v/>
      </c>
      <c r="E433">
        <f>IF(D433=1,0,IF(B433="RETURN",IF(COUNTIFS($A$1:A432,A433,$B$1:B432,"SALE",$E$1:E432,1)&gt;0,1,0),1))</f>
        <v/>
      </c>
      <c r="F433">
        <f>IF(E433=1,IF(B433="RECEIPT",Transactions!E433,IF(AND(B433="RETURN",LOWER(TRIM(Transactions!H433))="resellable"),Transactions!E433,0)),0)</f>
        <v/>
      </c>
      <c r="G433">
        <f>IF(F433&gt;0,IF(B433="RECEIPT",Transactions!F433,IF(_xlfn.MAXIFS($H$2:H433,$A$2:A433,A433)&gt;0,INDEX(Transactions!$F:$F,_xlfn.MAXIFS($H$2:H433,$A$2:A433,A433)),W433)),0)</f>
        <v/>
      </c>
      <c r="H433">
        <f>IF(AND(E433=1,B433="RECEIPT"),ROW(),0)</f>
        <v/>
      </c>
      <c r="I433">
        <f>IF(E433=1,IF(OR(B433="SALE",B433="WRITEOFF"),Transactions!E433,0),0)</f>
        <v/>
      </c>
      <c r="J433">
        <f>SUMIFS($F$1:F432,$A$1:A432,A433)</f>
        <v/>
      </c>
      <c r="K433">
        <f>SUMIFS($I$1:I432,$A$1:A432,A433)</f>
        <v/>
      </c>
      <c r="L433">
        <f>IFERROR(VLOOKUP(A433,Opening!$A:$C,3,0),0)</f>
        <v/>
      </c>
      <c r="M433">
        <f>IF(I433=0,0,MAX(0,MIN(INDEX(Month!H$2:H$13,MATCH($A433,Month!$A$2:$A$13,0))-K433,I433)))</f>
        <v/>
      </c>
      <c r="N433">
        <f>IF(I433=0,0,MAX(0,MIN(INDEX(Month!I$2:I$13,MATCH($A433,Month!$A$2:$A$13,0))-K433,I433)))</f>
        <v/>
      </c>
      <c r="O433">
        <f>IF(I433=0,0,MAX(0,MIN(INDEX(Month!J$2:J$13,MATCH($A433,Month!$A$2:$A$13,0))-K433,I433)))</f>
        <v/>
      </c>
      <c r="P433">
        <f>IF(I433=0,0,(MIN(MAX(K433,0),L433)*W433+SUMPRODUCT((Calc!$A$2:$A$1001=A433)*Calc!$G$2:$G$1001*(((K433-(L433+Calc!$J$2:$J$1001))&gt;0)*((K433-(L433+Calc!$J$2:$J$1001))&lt;Calc!$F$2:$F$1001)*(K433-(L433+Calc!$J$2:$J$1001))+((K433-(L433+Calc!$J$2:$J$1001))&gt;=Calc!$F$2:$F$1001)*Calc!$F$2:$F$1001))))</f>
        <v/>
      </c>
      <c r="Q433">
        <f>IF(I433=0,0,(MIN(MAX((K433+M433),0),L433)*W433+SUMPRODUCT((Calc!$A$2:$A$1001=A433)*Calc!$G$2:$G$1001*((((K433+M433)-(L433+Calc!$J$2:$J$1001))&gt;0)*(((K433+M433)-(L433+Calc!$J$2:$J$1001))&lt;Calc!$F$2:$F$1001)*((K433+M433)-(L433+Calc!$J$2:$J$1001))+(((K433+M433)-(L433+Calc!$J$2:$J$1001))&gt;=Calc!$F$2:$F$1001)*Calc!$F$2:$F$1001))))</f>
        <v/>
      </c>
      <c r="R433">
        <f>IF(I433=0,0,(MIN(MAX((K433+N433),0),L433)*W433+SUMPRODUCT((Calc!$A$2:$A$1001=A433)*Calc!$G$2:$G$1001*((((K433+N433)-(L433+Calc!$J$2:$J$1001))&gt;0)*(((K433+N433)-(L433+Calc!$J$2:$J$1001))&lt;Calc!$F$2:$F$1001)*((K433+N433)-(L433+Calc!$J$2:$J$1001))+(((K433+N433)-(L433+Calc!$J$2:$J$1001))&gt;=Calc!$F$2:$F$1001)*Calc!$F$2:$F$1001))))</f>
        <v/>
      </c>
      <c r="S433">
        <f>IF(I433=0,0,(MIN(MAX((K433+O433),0),L433)*W433+SUMPRODUCT((Calc!$A$2:$A$1001=A433)*Calc!$G$2:$G$1001*((((K433+O433)-(L433+Calc!$J$2:$J$1001))&gt;0)*(((K433+O433)-(L433+Calc!$J$2:$J$1001))&lt;Calc!$F$2:$F$1001)*((K433+O433)-(L433+Calc!$J$2:$J$1001))+(((K433+O433)-(L433+Calc!$J$2:$J$1001))&gt;=Calc!$F$2:$F$1001)*Calc!$F$2:$F$1001))))</f>
        <v/>
      </c>
      <c r="T433">
        <f>IF(AND(E433=1,B433="RETURN"),Transactions!E433*Transactions!G433,0)</f>
        <v/>
      </c>
      <c r="U433">
        <f>IF(AND(E433=1,B433="EXPENSE"),Transactions!J433,0)</f>
        <v/>
      </c>
      <c r="V433">
        <f>IF(AND(Transactions!A433&lt;&gt;"",E433=0),ROW(),"")</f>
        <v/>
      </c>
      <c r="W433">
        <f>IFERROR(VLOOKUP(A433,Opening!$A:$D,4,0),0)</f>
        <v/>
      </c>
    </row>
    <row r="434">
      <c r="A434">
        <f>IF(Transactions!D434="","",UPPER(TRIM(Transactions!D434)))</f>
        <v/>
      </c>
      <c r="B434">
        <f>IF(Transactions!C434="","",UPPER(TRIM(Transactions!C434)))</f>
        <v/>
      </c>
      <c r="C434">
        <f>IF(Transactions!B434="",0,YEAR(Transactions!B434)*100+MONTH(Transactions!B434))</f>
        <v/>
      </c>
      <c r="D434">
        <f>IF(Transactions!A434="",1,IF(COUNTIF(Transactions!$A$1:A433,Transactions!A434)&gt;0,1,0))</f>
        <v/>
      </c>
      <c r="E434">
        <f>IF(D434=1,0,IF(B434="RETURN",IF(COUNTIFS($A$1:A433,A434,$B$1:B433,"SALE",$E$1:E433,1)&gt;0,1,0),1))</f>
        <v/>
      </c>
      <c r="F434">
        <f>IF(E434=1,IF(B434="RECEIPT",Transactions!E434,IF(AND(B434="RETURN",LOWER(TRIM(Transactions!H434))="resellable"),Transactions!E434,0)),0)</f>
        <v/>
      </c>
      <c r="G434">
        <f>IF(F434&gt;0,IF(B434="RECEIPT",Transactions!F434,IF(_xlfn.MAXIFS($H$2:H434,$A$2:A434,A434)&gt;0,INDEX(Transactions!$F:$F,_xlfn.MAXIFS($H$2:H434,$A$2:A434,A434)),W434)),0)</f>
        <v/>
      </c>
      <c r="H434">
        <f>IF(AND(E434=1,B434="RECEIPT"),ROW(),0)</f>
        <v/>
      </c>
      <c r="I434">
        <f>IF(E434=1,IF(OR(B434="SALE",B434="WRITEOFF"),Transactions!E434,0),0)</f>
        <v/>
      </c>
      <c r="J434">
        <f>SUMIFS($F$1:F433,$A$1:A433,A434)</f>
        <v/>
      </c>
      <c r="K434">
        <f>SUMIFS($I$1:I433,$A$1:A433,A434)</f>
        <v/>
      </c>
      <c r="L434">
        <f>IFERROR(VLOOKUP(A434,Opening!$A:$C,3,0),0)</f>
        <v/>
      </c>
      <c r="M434">
        <f>IF(I434=0,0,MAX(0,MIN(INDEX(Month!H$2:H$13,MATCH($A434,Month!$A$2:$A$13,0))-K434,I434)))</f>
        <v/>
      </c>
      <c r="N434">
        <f>IF(I434=0,0,MAX(0,MIN(INDEX(Month!I$2:I$13,MATCH($A434,Month!$A$2:$A$13,0))-K434,I434)))</f>
        <v/>
      </c>
      <c r="O434">
        <f>IF(I434=0,0,MAX(0,MIN(INDEX(Month!J$2:J$13,MATCH($A434,Month!$A$2:$A$13,0))-K434,I434)))</f>
        <v/>
      </c>
      <c r="P434">
        <f>IF(I434=0,0,(MIN(MAX(K434,0),L434)*W434+SUMPRODUCT((Calc!$A$2:$A$1001=A434)*Calc!$G$2:$G$1001*(((K434-(L434+Calc!$J$2:$J$1001))&gt;0)*((K434-(L434+Calc!$J$2:$J$1001))&lt;Calc!$F$2:$F$1001)*(K434-(L434+Calc!$J$2:$J$1001))+((K434-(L434+Calc!$J$2:$J$1001))&gt;=Calc!$F$2:$F$1001)*Calc!$F$2:$F$1001))))</f>
        <v/>
      </c>
      <c r="Q434">
        <f>IF(I434=0,0,(MIN(MAX((K434+M434),0),L434)*W434+SUMPRODUCT((Calc!$A$2:$A$1001=A434)*Calc!$G$2:$G$1001*((((K434+M434)-(L434+Calc!$J$2:$J$1001))&gt;0)*(((K434+M434)-(L434+Calc!$J$2:$J$1001))&lt;Calc!$F$2:$F$1001)*((K434+M434)-(L434+Calc!$J$2:$J$1001))+(((K434+M434)-(L434+Calc!$J$2:$J$1001))&gt;=Calc!$F$2:$F$1001)*Calc!$F$2:$F$1001))))</f>
        <v/>
      </c>
      <c r="R434">
        <f>IF(I434=0,0,(MIN(MAX((K434+N434),0),L434)*W434+SUMPRODUCT((Calc!$A$2:$A$1001=A434)*Calc!$G$2:$G$1001*((((K434+N434)-(L434+Calc!$J$2:$J$1001))&gt;0)*(((K434+N434)-(L434+Calc!$J$2:$J$1001))&lt;Calc!$F$2:$F$1001)*((K434+N434)-(L434+Calc!$J$2:$J$1001))+(((K434+N434)-(L434+Calc!$J$2:$J$1001))&gt;=Calc!$F$2:$F$1001)*Calc!$F$2:$F$1001))))</f>
        <v/>
      </c>
      <c r="S434">
        <f>IF(I434=0,0,(MIN(MAX((K434+O434),0),L434)*W434+SUMPRODUCT((Calc!$A$2:$A$1001=A434)*Calc!$G$2:$G$1001*((((K434+O434)-(L434+Calc!$J$2:$J$1001))&gt;0)*(((K434+O434)-(L434+Calc!$J$2:$J$1001))&lt;Calc!$F$2:$F$1001)*((K434+O434)-(L434+Calc!$J$2:$J$1001))+(((K434+O434)-(L434+Calc!$J$2:$J$1001))&gt;=Calc!$F$2:$F$1001)*Calc!$F$2:$F$1001))))</f>
        <v/>
      </c>
      <c r="T434">
        <f>IF(AND(E434=1,B434="RETURN"),Transactions!E434*Transactions!G434,0)</f>
        <v/>
      </c>
      <c r="U434">
        <f>IF(AND(E434=1,B434="EXPENSE"),Transactions!J434,0)</f>
        <v/>
      </c>
      <c r="V434">
        <f>IF(AND(Transactions!A434&lt;&gt;"",E434=0),ROW(),"")</f>
        <v/>
      </c>
      <c r="W434">
        <f>IFERROR(VLOOKUP(A434,Opening!$A:$D,4,0),0)</f>
        <v/>
      </c>
    </row>
    <row r="435">
      <c r="A435">
        <f>IF(Transactions!D435="","",UPPER(TRIM(Transactions!D435)))</f>
        <v/>
      </c>
      <c r="B435">
        <f>IF(Transactions!C435="","",UPPER(TRIM(Transactions!C435)))</f>
        <v/>
      </c>
      <c r="C435">
        <f>IF(Transactions!B435="",0,YEAR(Transactions!B435)*100+MONTH(Transactions!B435))</f>
        <v/>
      </c>
      <c r="D435">
        <f>IF(Transactions!A435="",1,IF(COUNTIF(Transactions!$A$1:A434,Transactions!A435)&gt;0,1,0))</f>
        <v/>
      </c>
      <c r="E435">
        <f>IF(D435=1,0,IF(B435="RETURN",IF(COUNTIFS($A$1:A434,A435,$B$1:B434,"SALE",$E$1:E434,1)&gt;0,1,0),1))</f>
        <v/>
      </c>
      <c r="F435">
        <f>IF(E435=1,IF(B435="RECEIPT",Transactions!E435,IF(AND(B435="RETURN",LOWER(TRIM(Transactions!H435))="resellable"),Transactions!E435,0)),0)</f>
        <v/>
      </c>
      <c r="G435">
        <f>IF(F435&gt;0,IF(B435="RECEIPT",Transactions!F435,IF(_xlfn.MAXIFS($H$2:H435,$A$2:A435,A435)&gt;0,INDEX(Transactions!$F:$F,_xlfn.MAXIFS($H$2:H435,$A$2:A435,A435)),W435)),0)</f>
        <v/>
      </c>
      <c r="H435">
        <f>IF(AND(E435=1,B435="RECEIPT"),ROW(),0)</f>
        <v/>
      </c>
      <c r="I435">
        <f>IF(E435=1,IF(OR(B435="SALE",B435="WRITEOFF"),Transactions!E435,0),0)</f>
        <v/>
      </c>
      <c r="J435">
        <f>SUMIFS($F$1:F434,$A$1:A434,A435)</f>
        <v/>
      </c>
      <c r="K435">
        <f>SUMIFS($I$1:I434,$A$1:A434,A435)</f>
        <v/>
      </c>
      <c r="L435">
        <f>IFERROR(VLOOKUP(A435,Opening!$A:$C,3,0),0)</f>
        <v/>
      </c>
      <c r="M435">
        <f>IF(I435=0,0,MAX(0,MIN(INDEX(Month!H$2:H$13,MATCH($A435,Month!$A$2:$A$13,0))-K435,I435)))</f>
        <v/>
      </c>
      <c r="N435">
        <f>IF(I435=0,0,MAX(0,MIN(INDEX(Month!I$2:I$13,MATCH($A435,Month!$A$2:$A$13,0))-K435,I435)))</f>
        <v/>
      </c>
      <c r="O435">
        <f>IF(I435=0,0,MAX(0,MIN(INDEX(Month!J$2:J$13,MATCH($A435,Month!$A$2:$A$13,0))-K435,I435)))</f>
        <v/>
      </c>
      <c r="P435">
        <f>IF(I435=0,0,(MIN(MAX(K435,0),L435)*W435+SUMPRODUCT((Calc!$A$2:$A$1001=A435)*Calc!$G$2:$G$1001*(((K435-(L435+Calc!$J$2:$J$1001))&gt;0)*((K435-(L435+Calc!$J$2:$J$1001))&lt;Calc!$F$2:$F$1001)*(K435-(L435+Calc!$J$2:$J$1001))+((K435-(L435+Calc!$J$2:$J$1001))&gt;=Calc!$F$2:$F$1001)*Calc!$F$2:$F$1001))))</f>
        <v/>
      </c>
      <c r="Q435">
        <f>IF(I435=0,0,(MIN(MAX((K435+M435),0),L435)*W435+SUMPRODUCT((Calc!$A$2:$A$1001=A435)*Calc!$G$2:$G$1001*((((K435+M435)-(L435+Calc!$J$2:$J$1001))&gt;0)*(((K435+M435)-(L435+Calc!$J$2:$J$1001))&lt;Calc!$F$2:$F$1001)*((K435+M435)-(L435+Calc!$J$2:$J$1001))+(((K435+M435)-(L435+Calc!$J$2:$J$1001))&gt;=Calc!$F$2:$F$1001)*Calc!$F$2:$F$1001))))</f>
        <v/>
      </c>
      <c r="R435">
        <f>IF(I435=0,0,(MIN(MAX((K435+N435),0),L435)*W435+SUMPRODUCT((Calc!$A$2:$A$1001=A435)*Calc!$G$2:$G$1001*((((K435+N435)-(L435+Calc!$J$2:$J$1001))&gt;0)*(((K435+N435)-(L435+Calc!$J$2:$J$1001))&lt;Calc!$F$2:$F$1001)*((K435+N435)-(L435+Calc!$J$2:$J$1001))+(((K435+N435)-(L435+Calc!$J$2:$J$1001))&gt;=Calc!$F$2:$F$1001)*Calc!$F$2:$F$1001))))</f>
        <v/>
      </c>
      <c r="S435">
        <f>IF(I435=0,0,(MIN(MAX((K435+O435),0),L435)*W435+SUMPRODUCT((Calc!$A$2:$A$1001=A435)*Calc!$G$2:$G$1001*((((K435+O435)-(L435+Calc!$J$2:$J$1001))&gt;0)*(((K435+O435)-(L435+Calc!$J$2:$J$1001))&lt;Calc!$F$2:$F$1001)*((K435+O435)-(L435+Calc!$J$2:$J$1001))+(((K435+O435)-(L435+Calc!$J$2:$J$1001))&gt;=Calc!$F$2:$F$1001)*Calc!$F$2:$F$1001))))</f>
        <v/>
      </c>
      <c r="T435">
        <f>IF(AND(E435=1,B435="RETURN"),Transactions!E435*Transactions!G435,0)</f>
        <v/>
      </c>
      <c r="U435">
        <f>IF(AND(E435=1,B435="EXPENSE"),Transactions!J435,0)</f>
        <v/>
      </c>
      <c r="V435">
        <f>IF(AND(Transactions!A435&lt;&gt;"",E435=0),ROW(),"")</f>
        <v/>
      </c>
      <c r="W435">
        <f>IFERROR(VLOOKUP(A435,Opening!$A:$D,4,0),0)</f>
        <v/>
      </c>
    </row>
    <row r="436">
      <c r="A436">
        <f>IF(Transactions!D436="","",UPPER(TRIM(Transactions!D436)))</f>
        <v/>
      </c>
      <c r="B436">
        <f>IF(Transactions!C436="","",UPPER(TRIM(Transactions!C436)))</f>
        <v/>
      </c>
      <c r="C436">
        <f>IF(Transactions!B436="",0,YEAR(Transactions!B436)*100+MONTH(Transactions!B436))</f>
        <v/>
      </c>
      <c r="D436">
        <f>IF(Transactions!A436="",1,IF(COUNTIF(Transactions!$A$1:A435,Transactions!A436)&gt;0,1,0))</f>
        <v/>
      </c>
      <c r="E436">
        <f>IF(D436=1,0,IF(B436="RETURN",IF(COUNTIFS($A$1:A435,A436,$B$1:B435,"SALE",$E$1:E435,1)&gt;0,1,0),1))</f>
        <v/>
      </c>
      <c r="F436">
        <f>IF(E436=1,IF(B436="RECEIPT",Transactions!E436,IF(AND(B436="RETURN",LOWER(TRIM(Transactions!H436))="resellable"),Transactions!E436,0)),0)</f>
        <v/>
      </c>
      <c r="G436">
        <f>IF(F436&gt;0,IF(B436="RECEIPT",Transactions!F436,IF(_xlfn.MAXIFS($H$2:H436,$A$2:A436,A436)&gt;0,INDEX(Transactions!$F:$F,_xlfn.MAXIFS($H$2:H436,$A$2:A436,A436)),W436)),0)</f>
        <v/>
      </c>
      <c r="H436">
        <f>IF(AND(E436=1,B436="RECEIPT"),ROW(),0)</f>
        <v/>
      </c>
      <c r="I436">
        <f>IF(E436=1,IF(OR(B436="SALE",B436="WRITEOFF"),Transactions!E436,0),0)</f>
        <v/>
      </c>
      <c r="J436">
        <f>SUMIFS($F$1:F435,$A$1:A435,A436)</f>
        <v/>
      </c>
      <c r="K436">
        <f>SUMIFS($I$1:I435,$A$1:A435,A436)</f>
        <v/>
      </c>
      <c r="L436">
        <f>IFERROR(VLOOKUP(A436,Opening!$A:$C,3,0),0)</f>
        <v/>
      </c>
      <c r="M436">
        <f>IF(I436=0,0,MAX(0,MIN(INDEX(Month!H$2:H$13,MATCH($A436,Month!$A$2:$A$13,0))-K436,I436)))</f>
        <v/>
      </c>
      <c r="N436">
        <f>IF(I436=0,0,MAX(0,MIN(INDEX(Month!I$2:I$13,MATCH($A436,Month!$A$2:$A$13,0))-K436,I436)))</f>
        <v/>
      </c>
      <c r="O436">
        <f>IF(I436=0,0,MAX(0,MIN(INDEX(Month!J$2:J$13,MATCH($A436,Month!$A$2:$A$13,0))-K436,I436)))</f>
        <v/>
      </c>
      <c r="P436">
        <f>IF(I436=0,0,(MIN(MAX(K436,0),L436)*W436+SUMPRODUCT((Calc!$A$2:$A$1001=A436)*Calc!$G$2:$G$1001*(((K436-(L436+Calc!$J$2:$J$1001))&gt;0)*((K436-(L436+Calc!$J$2:$J$1001))&lt;Calc!$F$2:$F$1001)*(K436-(L436+Calc!$J$2:$J$1001))+((K436-(L436+Calc!$J$2:$J$1001))&gt;=Calc!$F$2:$F$1001)*Calc!$F$2:$F$1001))))</f>
        <v/>
      </c>
      <c r="Q436">
        <f>IF(I436=0,0,(MIN(MAX((K436+M436),0),L436)*W436+SUMPRODUCT((Calc!$A$2:$A$1001=A436)*Calc!$G$2:$G$1001*((((K436+M436)-(L436+Calc!$J$2:$J$1001))&gt;0)*(((K436+M436)-(L436+Calc!$J$2:$J$1001))&lt;Calc!$F$2:$F$1001)*((K436+M436)-(L436+Calc!$J$2:$J$1001))+(((K436+M436)-(L436+Calc!$J$2:$J$1001))&gt;=Calc!$F$2:$F$1001)*Calc!$F$2:$F$1001))))</f>
        <v/>
      </c>
      <c r="R436">
        <f>IF(I436=0,0,(MIN(MAX((K436+N436),0),L436)*W436+SUMPRODUCT((Calc!$A$2:$A$1001=A436)*Calc!$G$2:$G$1001*((((K436+N436)-(L436+Calc!$J$2:$J$1001))&gt;0)*(((K436+N436)-(L436+Calc!$J$2:$J$1001))&lt;Calc!$F$2:$F$1001)*((K436+N436)-(L436+Calc!$J$2:$J$1001))+(((K436+N436)-(L436+Calc!$J$2:$J$1001))&gt;=Calc!$F$2:$F$1001)*Calc!$F$2:$F$1001))))</f>
        <v/>
      </c>
      <c r="S436">
        <f>IF(I436=0,0,(MIN(MAX((K436+O436),0),L436)*W436+SUMPRODUCT((Calc!$A$2:$A$1001=A436)*Calc!$G$2:$G$1001*((((K436+O436)-(L436+Calc!$J$2:$J$1001))&gt;0)*(((K436+O436)-(L436+Calc!$J$2:$J$1001))&lt;Calc!$F$2:$F$1001)*((K436+O436)-(L436+Calc!$J$2:$J$1001))+(((K436+O436)-(L436+Calc!$J$2:$J$1001))&gt;=Calc!$F$2:$F$1001)*Calc!$F$2:$F$1001))))</f>
        <v/>
      </c>
      <c r="T436">
        <f>IF(AND(E436=1,B436="RETURN"),Transactions!E436*Transactions!G436,0)</f>
        <v/>
      </c>
      <c r="U436">
        <f>IF(AND(E436=1,B436="EXPENSE"),Transactions!J436,0)</f>
        <v/>
      </c>
      <c r="V436">
        <f>IF(AND(Transactions!A436&lt;&gt;"",E436=0),ROW(),"")</f>
        <v/>
      </c>
      <c r="W436">
        <f>IFERROR(VLOOKUP(A436,Opening!$A:$D,4,0),0)</f>
        <v/>
      </c>
    </row>
    <row r="437">
      <c r="A437">
        <f>IF(Transactions!D437="","",UPPER(TRIM(Transactions!D437)))</f>
        <v/>
      </c>
      <c r="B437">
        <f>IF(Transactions!C437="","",UPPER(TRIM(Transactions!C437)))</f>
        <v/>
      </c>
      <c r="C437">
        <f>IF(Transactions!B437="",0,YEAR(Transactions!B437)*100+MONTH(Transactions!B437))</f>
        <v/>
      </c>
      <c r="D437">
        <f>IF(Transactions!A437="",1,IF(COUNTIF(Transactions!$A$1:A436,Transactions!A437)&gt;0,1,0))</f>
        <v/>
      </c>
      <c r="E437">
        <f>IF(D437=1,0,IF(B437="RETURN",IF(COUNTIFS($A$1:A436,A437,$B$1:B436,"SALE",$E$1:E436,1)&gt;0,1,0),1))</f>
        <v/>
      </c>
      <c r="F437">
        <f>IF(E437=1,IF(B437="RECEIPT",Transactions!E437,IF(AND(B437="RETURN",LOWER(TRIM(Transactions!H437))="resellable"),Transactions!E437,0)),0)</f>
        <v/>
      </c>
      <c r="G437">
        <f>IF(F437&gt;0,IF(B437="RECEIPT",Transactions!F437,IF(_xlfn.MAXIFS($H$2:H437,$A$2:A437,A437)&gt;0,INDEX(Transactions!$F:$F,_xlfn.MAXIFS($H$2:H437,$A$2:A437,A437)),W437)),0)</f>
        <v/>
      </c>
      <c r="H437">
        <f>IF(AND(E437=1,B437="RECEIPT"),ROW(),0)</f>
        <v/>
      </c>
      <c r="I437">
        <f>IF(E437=1,IF(OR(B437="SALE",B437="WRITEOFF"),Transactions!E437,0),0)</f>
        <v/>
      </c>
      <c r="J437">
        <f>SUMIFS($F$1:F436,$A$1:A436,A437)</f>
        <v/>
      </c>
      <c r="K437">
        <f>SUMIFS($I$1:I436,$A$1:A436,A437)</f>
        <v/>
      </c>
      <c r="L437">
        <f>IFERROR(VLOOKUP(A437,Opening!$A:$C,3,0),0)</f>
        <v/>
      </c>
      <c r="M437">
        <f>IF(I437=0,0,MAX(0,MIN(INDEX(Month!H$2:H$13,MATCH($A437,Month!$A$2:$A$13,0))-K437,I437)))</f>
        <v/>
      </c>
      <c r="N437">
        <f>IF(I437=0,0,MAX(0,MIN(INDEX(Month!I$2:I$13,MATCH($A437,Month!$A$2:$A$13,0))-K437,I437)))</f>
        <v/>
      </c>
      <c r="O437">
        <f>IF(I437=0,0,MAX(0,MIN(INDEX(Month!J$2:J$13,MATCH($A437,Month!$A$2:$A$13,0))-K437,I437)))</f>
        <v/>
      </c>
      <c r="P437">
        <f>IF(I437=0,0,(MIN(MAX(K437,0),L437)*W437+SUMPRODUCT((Calc!$A$2:$A$1001=A437)*Calc!$G$2:$G$1001*(((K437-(L437+Calc!$J$2:$J$1001))&gt;0)*((K437-(L437+Calc!$J$2:$J$1001))&lt;Calc!$F$2:$F$1001)*(K437-(L437+Calc!$J$2:$J$1001))+((K437-(L437+Calc!$J$2:$J$1001))&gt;=Calc!$F$2:$F$1001)*Calc!$F$2:$F$1001))))</f>
        <v/>
      </c>
      <c r="Q437">
        <f>IF(I437=0,0,(MIN(MAX((K437+M437),0),L437)*W437+SUMPRODUCT((Calc!$A$2:$A$1001=A437)*Calc!$G$2:$G$1001*((((K437+M437)-(L437+Calc!$J$2:$J$1001))&gt;0)*(((K437+M437)-(L437+Calc!$J$2:$J$1001))&lt;Calc!$F$2:$F$1001)*((K437+M437)-(L437+Calc!$J$2:$J$1001))+(((K437+M437)-(L437+Calc!$J$2:$J$1001))&gt;=Calc!$F$2:$F$1001)*Calc!$F$2:$F$1001))))</f>
        <v/>
      </c>
      <c r="R437">
        <f>IF(I437=0,0,(MIN(MAX((K437+N437),0),L437)*W437+SUMPRODUCT((Calc!$A$2:$A$1001=A437)*Calc!$G$2:$G$1001*((((K437+N437)-(L437+Calc!$J$2:$J$1001))&gt;0)*(((K437+N437)-(L437+Calc!$J$2:$J$1001))&lt;Calc!$F$2:$F$1001)*((K437+N437)-(L437+Calc!$J$2:$J$1001))+(((K437+N437)-(L437+Calc!$J$2:$J$1001))&gt;=Calc!$F$2:$F$1001)*Calc!$F$2:$F$1001))))</f>
        <v/>
      </c>
      <c r="S437">
        <f>IF(I437=0,0,(MIN(MAX((K437+O437),0),L437)*W437+SUMPRODUCT((Calc!$A$2:$A$1001=A437)*Calc!$G$2:$G$1001*((((K437+O437)-(L437+Calc!$J$2:$J$1001))&gt;0)*(((K437+O437)-(L437+Calc!$J$2:$J$1001))&lt;Calc!$F$2:$F$1001)*((K437+O437)-(L437+Calc!$J$2:$J$1001))+(((K437+O437)-(L437+Calc!$J$2:$J$1001))&gt;=Calc!$F$2:$F$1001)*Calc!$F$2:$F$1001))))</f>
        <v/>
      </c>
      <c r="T437">
        <f>IF(AND(E437=1,B437="RETURN"),Transactions!E437*Transactions!G437,0)</f>
        <v/>
      </c>
      <c r="U437">
        <f>IF(AND(E437=1,B437="EXPENSE"),Transactions!J437,0)</f>
        <v/>
      </c>
      <c r="V437">
        <f>IF(AND(Transactions!A437&lt;&gt;"",E437=0),ROW(),"")</f>
        <v/>
      </c>
      <c r="W437">
        <f>IFERROR(VLOOKUP(A437,Opening!$A:$D,4,0),0)</f>
        <v/>
      </c>
    </row>
    <row r="438">
      <c r="A438">
        <f>IF(Transactions!D438="","",UPPER(TRIM(Transactions!D438)))</f>
        <v/>
      </c>
      <c r="B438">
        <f>IF(Transactions!C438="","",UPPER(TRIM(Transactions!C438)))</f>
        <v/>
      </c>
      <c r="C438">
        <f>IF(Transactions!B438="",0,YEAR(Transactions!B438)*100+MONTH(Transactions!B438))</f>
        <v/>
      </c>
      <c r="D438">
        <f>IF(Transactions!A438="",1,IF(COUNTIF(Transactions!$A$1:A437,Transactions!A438)&gt;0,1,0))</f>
        <v/>
      </c>
      <c r="E438">
        <f>IF(D438=1,0,IF(B438="RETURN",IF(COUNTIFS($A$1:A437,A438,$B$1:B437,"SALE",$E$1:E437,1)&gt;0,1,0),1))</f>
        <v/>
      </c>
      <c r="F438">
        <f>IF(E438=1,IF(B438="RECEIPT",Transactions!E438,IF(AND(B438="RETURN",LOWER(TRIM(Transactions!H438))="resellable"),Transactions!E438,0)),0)</f>
        <v/>
      </c>
      <c r="G438">
        <f>IF(F438&gt;0,IF(B438="RECEIPT",Transactions!F438,IF(_xlfn.MAXIFS($H$2:H438,$A$2:A438,A438)&gt;0,INDEX(Transactions!$F:$F,_xlfn.MAXIFS($H$2:H438,$A$2:A438,A438)),W438)),0)</f>
        <v/>
      </c>
      <c r="H438">
        <f>IF(AND(E438=1,B438="RECEIPT"),ROW(),0)</f>
        <v/>
      </c>
      <c r="I438">
        <f>IF(E438=1,IF(OR(B438="SALE",B438="WRITEOFF"),Transactions!E438,0),0)</f>
        <v/>
      </c>
      <c r="J438">
        <f>SUMIFS($F$1:F437,$A$1:A437,A438)</f>
        <v/>
      </c>
      <c r="K438">
        <f>SUMIFS($I$1:I437,$A$1:A437,A438)</f>
        <v/>
      </c>
      <c r="L438">
        <f>IFERROR(VLOOKUP(A438,Opening!$A:$C,3,0),0)</f>
        <v/>
      </c>
      <c r="M438">
        <f>IF(I438=0,0,MAX(0,MIN(INDEX(Month!H$2:H$13,MATCH($A438,Month!$A$2:$A$13,0))-K438,I438)))</f>
        <v/>
      </c>
      <c r="N438">
        <f>IF(I438=0,0,MAX(0,MIN(INDEX(Month!I$2:I$13,MATCH($A438,Month!$A$2:$A$13,0))-K438,I438)))</f>
        <v/>
      </c>
      <c r="O438">
        <f>IF(I438=0,0,MAX(0,MIN(INDEX(Month!J$2:J$13,MATCH($A438,Month!$A$2:$A$13,0))-K438,I438)))</f>
        <v/>
      </c>
      <c r="P438">
        <f>IF(I438=0,0,(MIN(MAX(K438,0),L438)*W438+SUMPRODUCT((Calc!$A$2:$A$1001=A438)*Calc!$G$2:$G$1001*(((K438-(L438+Calc!$J$2:$J$1001))&gt;0)*((K438-(L438+Calc!$J$2:$J$1001))&lt;Calc!$F$2:$F$1001)*(K438-(L438+Calc!$J$2:$J$1001))+((K438-(L438+Calc!$J$2:$J$1001))&gt;=Calc!$F$2:$F$1001)*Calc!$F$2:$F$1001))))</f>
        <v/>
      </c>
      <c r="Q438">
        <f>IF(I438=0,0,(MIN(MAX((K438+M438),0),L438)*W438+SUMPRODUCT((Calc!$A$2:$A$1001=A438)*Calc!$G$2:$G$1001*((((K438+M438)-(L438+Calc!$J$2:$J$1001))&gt;0)*(((K438+M438)-(L438+Calc!$J$2:$J$1001))&lt;Calc!$F$2:$F$1001)*((K438+M438)-(L438+Calc!$J$2:$J$1001))+(((K438+M438)-(L438+Calc!$J$2:$J$1001))&gt;=Calc!$F$2:$F$1001)*Calc!$F$2:$F$1001))))</f>
        <v/>
      </c>
      <c r="R438">
        <f>IF(I438=0,0,(MIN(MAX((K438+N438),0),L438)*W438+SUMPRODUCT((Calc!$A$2:$A$1001=A438)*Calc!$G$2:$G$1001*((((K438+N438)-(L438+Calc!$J$2:$J$1001))&gt;0)*(((K438+N438)-(L438+Calc!$J$2:$J$1001))&lt;Calc!$F$2:$F$1001)*((K438+N438)-(L438+Calc!$J$2:$J$1001))+(((K438+N438)-(L438+Calc!$J$2:$J$1001))&gt;=Calc!$F$2:$F$1001)*Calc!$F$2:$F$1001))))</f>
        <v/>
      </c>
      <c r="S438">
        <f>IF(I438=0,0,(MIN(MAX((K438+O438),0),L438)*W438+SUMPRODUCT((Calc!$A$2:$A$1001=A438)*Calc!$G$2:$G$1001*((((K438+O438)-(L438+Calc!$J$2:$J$1001))&gt;0)*(((K438+O438)-(L438+Calc!$J$2:$J$1001))&lt;Calc!$F$2:$F$1001)*((K438+O438)-(L438+Calc!$J$2:$J$1001))+(((K438+O438)-(L438+Calc!$J$2:$J$1001))&gt;=Calc!$F$2:$F$1001)*Calc!$F$2:$F$1001))))</f>
        <v/>
      </c>
      <c r="T438">
        <f>IF(AND(E438=1,B438="RETURN"),Transactions!E438*Transactions!G438,0)</f>
        <v/>
      </c>
      <c r="U438">
        <f>IF(AND(E438=1,B438="EXPENSE"),Transactions!J438,0)</f>
        <v/>
      </c>
      <c r="V438">
        <f>IF(AND(Transactions!A438&lt;&gt;"",E438=0),ROW(),"")</f>
        <v/>
      </c>
      <c r="W438">
        <f>IFERROR(VLOOKUP(A438,Opening!$A:$D,4,0),0)</f>
        <v/>
      </c>
    </row>
    <row r="439">
      <c r="A439">
        <f>IF(Transactions!D439="","",UPPER(TRIM(Transactions!D439)))</f>
        <v/>
      </c>
      <c r="B439">
        <f>IF(Transactions!C439="","",UPPER(TRIM(Transactions!C439)))</f>
        <v/>
      </c>
      <c r="C439">
        <f>IF(Transactions!B439="",0,YEAR(Transactions!B439)*100+MONTH(Transactions!B439))</f>
        <v/>
      </c>
      <c r="D439">
        <f>IF(Transactions!A439="",1,IF(COUNTIF(Transactions!$A$1:A438,Transactions!A439)&gt;0,1,0))</f>
        <v/>
      </c>
      <c r="E439">
        <f>IF(D439=1,0,IF(B439="RETURN",IF(COUNTIFS($A$1:A438,A439,$B$1:B438,"SALE",$E$1:E438,1)&gt;0,1,0),1))</f>
        <v/>
      </c>
      <c r="F439">
        <f>IF(E439=1,IF(B439="RECEIPT",Transactions!E439,IF(AND(B439="RETURN",LOWER(TRIM(Transactions!H439))="resellable"),Transactions!E439,0)),0)</f>
        <v/>
      </c>
      <c r="G439">
        <f>IF(F439&gt;0,IF(B439="RECEIPT",Transactions!F439,IF(_xlfn.MAXIFS($H$2:H439,$A$2:A439,A439)&gt;0,INDEX(Transactions!$F:$F,_xlfn.MAXIFS($H$2:H439,$A$2:A439,A439)),W439)),0)</f>
        <v/>
      </c>
      <c r="H439">
        <f>IF(AND(E439=1,B439="RECEIPT"),ROW(),0)</f>
        <v/>
      </c>
      <c r="I439">
        <f>IF(E439=1,IF(OR(B439="SALE",B439="WRITEOFF"),Transactions!E439,0),0)</f>
        <v/>
      </c>
      <c r="J439">
        <f>SUMIFS($F$1:F438,$A$1:A438,A439)</f>
        <v/>
      </c>
      <c r="K439">
        <f>SUMIFS($I$1:I438,$A$1:A438,A439)</f>
        <v/>
      </c>
      <c r="L439">
        <f>IFERROR(VLOOKUP(A439,Opening!$A:$C,3,0),0)</f>
        <v/>
      </c>
      <c r="M439">
        <f>IF(I439=0,0,MAX(0,MIN(INDEX(Month!H$2:H$13,MATCH($A439,Month!$A$2:$A$13,0))-K439,I439)))</f>
        <v/>
      </c>
      <c r="N439">
        <f>IF(I439=0,0,MAX(0,MIN(INDEX(Month!I$2:I$13,MATCH($A439,Month!$A$2:$A$13,0))-K439,I439)))</f>
        <v/>
      </c>
      <c r="O439">
        <f>IF(I439=0,0,MAX(0,MIN(INDEX(Month!J$2:J$13,MATCH($A439,Month!$A$2:$A$13,0))-K439,I439)))</f>
        <v/>
      </c>
      <c r="P439">
        <f>IF(I439=0,0,(MIN(MAX(K439,0),L439)*W439+SUMPRODUCT((Calc!$A$2:$A$1001=A439)*Calc!$G$2:$G$1001*(((K439-(L439+Calc!$J$2:$J$1001))&gt;0)*((K439-(L439+Calc!$J$2:$J$1001))&lt;Calc!$F$2:$F$1001)*(K439-(L439+Calc!$J$2:$J$1001))+((K439-(L439+Calc!$J$2:$J$1001))&gt;=Calc!$F$2:$F$1001)*Calc!$F$2:$F$1001))))</f>
        <v/>
      </c>
      <c r="Q439">
        <f>IF(I439=0,0,(MIN(MAX((K439+M439),0),L439)*W439+SUMPRODUCT((Calc!$A$2:$A$1001=A439)*Calc!$G$2:$G$1001*((((K439+M439)-(L439+Calc!$J$2:$J$1001))&gt;0)*(((K439+M439)-(L439+Calc!$J$2:$J$1001))&lt;Calc!$F$2:$F$1001)*((K439+M439)-(L439+Calc!$J$2:$J$1001))+(((K439+M439)-(L439+Calc!$J$2:$J$1001))&gt;=Calc!$F$2:$F$1001)*Calc!$F$2:$F$1001))))</f>
        <v/>
      </c>
      <c r="R439">
        <f>IF(I439=0,0,(MIN(MAX((K439+N439),0),L439)*W439+SUMPRODUCT((Calc!$A$2:$A$1001=A439)*Calc!$G$2:$G$1001*((((K439+N439)-(L439+Calc!$J$2:$J$1001))&gt;0)*(((K439+N439)-(L439+Calc!$J$2:$J$1001))&lt;Calc!$F$2:$F$1001)*((K439+N439)-(L439+Calc!$J$2:$J$1001))+(((K439+N439)-(L439+Calc!$J$2:$J$1001))&gt;=Calc!$F$2:$F$1001)*Calc!$F$2:$F$1001))))</f>
        <v/>
      </c>
      <c r="S439">
        <f>IF(I439=0,0,(MIN(MAX((K439+O439),0),L439)*W439+SUMPRODUCT((Calc!$A$2:$A$1001=A439)*Calc!$G$2:$G$1001*((((K439+O439)-(L439+Calc!$J$2:$J$1001))&gt;0)*(((K439+O439)-(L439+Calc!$J$2:$J$1001))&lt;Calc!$F$2:$F$1001)*((K439+O439)-(L439+Calc!$J$2:$J$1001))+(((K439+O439)-(L439+Calc!$J$2:$J$1001))&gt;=Calc!$F$2:$F$1001)*Calc!$F$2:$F$1001))))</f>
        <v/>
      </c>
      <c r="T439">
        <f>IF(AND(E439=1,B439="RETURN"),Transactions!E439*Transactions!G439,0)</f>
        <v/>
      </c>
      <c r="U439">
        <f>IF(AND(E439=1,B439="EXPENSE"),Transactions!J439,0)</f>
        <v/>
      </c>
      <c r="V439">
        <f>IF(AND(Transactions!A439&lt;&gt;"",E439=0),ROW(),"")</f>
        <v/>
      </c>
      <c r="W439">
        <f>IFERROR(VLOOKUP(A439,Opening!$A:$D,4,0),0)</f>
        <v/>
      </c>
    </row>
    <row r="440">
      <c r="A440">
        <f>IF(Transactions!D440="","",UPPER(TRIM(Transactions!D440)))</f>
        <v/>
      </c>
      <c r="B440">
        <f>IF(Transactions!C440="","",UPPER(TRIM(Transactions!C440)))</f>
        <v/>
      </c>
      <c r="C440">
        <f>IF(Transactions!B440="",0,YEAR(Transactions!B440)*100+MONTH(Transactions!B440))</f>
        <v/>
      </c>
      <c r="D440">
        <f>IF(Transactions!A440="",1,IF(COUNTIF(Transactions!$A$1:A439,Transactions!A440)&gt;0,1,0))</f>
        <v/>
      </c>
      <c r="E440">
        <f>IF(D440=1,0,IF(B440="RETURN",IF(COUNTIFS($A$1:A439,A440,$B$1:B439,"SALE",$E$1:E439,1)&gt;0,1,0),1))</f>
        <v/>
      </c>
      <c r="F440">
        <f>IF(E440=1,IF(B440="RECEIPT",Transactions!E440,IF(AND(B440="RETURN",LOWER(TRIM(Transactions!H440))="resellable"),Transactions!E440,0)),0)</f>
        <v/>
      </c>
      <c r="G440">
        <f>IF(F440&gt;0,IF(B440="RECEIPT",Transactions!F440,IF(_xlfn.MAXIFS($H$2:H440,$A$2:A440,A440)&gt;0,INDEX(Transactions!$F:$F,_xlfn.MAXIFS($H$2:H440,$A$2:A440,A440)),W440)),0)</f>
        <v/>
      </c>
      <c r="H440">
        <f>IF(AND(E440=1,B440="RECEIPT"),ROW(),0)</f>
        <v/>
      </c>
      <c r="I440">
        <f>IF(E440=1,IF(OR(B440="SALE",B440="WRITEOFF"),Transactions!E440,0),0)</f>
        <v/>
      </c>
      <c r="J440">
        <f>SUMIFS($F$1:F439,$A$1:A439,A440)</f>
        <v/>
      </c>
      <c r="K440">
        <f>SUMIFS($I$1:I439,$A$1:A439,A440)</f>
        <v/>
      </c>
      <c r="L440">
        <f>IFERROR(VLOOKUP(A440,Opening!$A:$C,3,0),0)</f>
        <v/>
      </c>
      <c r="M440">
        <f>IF(I440=0,0,MAX(0,MIN(INDEX(Month!H$2:H$13,MATCH($A440,Month!$A$2:$A$13,0))-K440,I440)))</f>
        <v/>
      </c>
      <c r="N440">
        <f>IF(I440=0,0,MAX(0,MIN(INDEX(Month!I$2:I$13,MATCH($A440,Month!$A$2:$A$13,0))-K440,I440)))</f>
        <v/>
      </c>
      <c r="O440">
        <f>IF(I440=0,0,MAX(0,MIN(INDEX(Month!J$2:J$13,MATCH($A440,Month!$A$2:$A$13,0))-K440,I440)))</f>
        <v/>
      </c>
      <c r="P440">
        <f>IF(I440=0,0,(MIN(MAX(K440,0),L440)*W440+SUMPRODUCT((Calc!$A$2:$A$1001=A440)*Calc!$G$2:$G$1001*(((K440-(L440+Calc!$J$2:$J$1001))&gt;0)*((K440-(L440+Calc!$J$2:$J$1001))&lt;Calc!$F$2:$F$1001)*(K440-(L440+Calc!$J$2:$J$1001))+((K440-(L440+Calc!$J$2:$J$1001))&gt;=Calc!$F$2:$F$1001)*Calc!$F$2:$F$1001))))</f>
        <v/>
      </c>
      <c r="Q440">
        <f>IF(I440=0,0,(MIN(MAX((K440+M440),0),L440)*W440+SUMPRODUCT((Calc!$A$2:$A$1001=A440)*Calc!$G$2:$G$1001*((((K440+M440)-(L440+Calc!$J$2:$J$1001))&gt;0)*(((K440+M440)-(L440+Calc!$J$2:$J$1001))&lt;Calc!$F$2:$F$1001)*((K440+M440)-(L440+Calc!$J$2:$J$1001))+(((K440+M440)-(L440+Calc!$J$2:$J$1001))&gt;=Calc!$F$2:$F$1001)*Calc!$F$2:$F$1001))))</f>
        <v/>
      </c>
      <c r="R440">
        <f>IF(I440=0,0,(MIN(MAX((K440+N440),0),L440)*W440+SUMPRODUCT((Calc!$A$2:$A$1001=A440)*Calc!$G$2:$G$1001*((((K440+N440)-(L440+Calc!$J$2:$J$1001))&gt;0)*(((K440+N440)-(L440+Calc!$J$2:$J$1001))&lt;Calc!$F$2:$F$1001)*((K440+N440)-(L440+Calc!$J$2:$J$1001))+(((K440+N440)-(L440+Calc!$J$2:$J$1001))&gt;=Calc!$F$2:$F$1001)*Calc!$F$2:$F$1001))))</f>
        <v/>
      </c>
      <c r="S440">
        <f>IF(I440=0,0,(MIN(MAX((K440+O440),0),L440)*W440+SUMPRODUCT((Calc!$A$2:$A$1001=A440)*Calc!$G$2:$G$1001*((((K440+O440)-(L440+Calc!$J$2:$J$1001))&gt;0)*(((K440+O440)-(L440+Calc!$J$2:$J$1001))&lt;Calc!$F$2:$F$1001)*((K440+O440)-(L440+Calc!$J$2:$J$1001))+(((K440+O440)-(L440+Calc!$J$2:$J$1001))&gt;=Calc!$F$2:$F$1001)*Calc!$F$2:$F$1001))))</f>
        <v/>
      </c>
      <c r="T440">
        <f>IF(AND(E440=1,B440="RETURN"),Transactions!E440*Transactions!G440,0)</f>
        <v/>
      </c>
      <c r="U440">
        <f>IF(AND(E440=1,B440="EXPENSE"),Transactions!J440,0)</f>
        <v/>
      </c>
      <c r="V440">
        <f>IF(AND(Transactions!A440&lt;&gt;"",E440=0),ROW(),"")</f>
        <v/>
      </c>
      <c r="W440">
        <f>IFERROR(VLOOKUP(A440,Opening!$A:$D,4,0),0)</f>
        <v/>
      </c>
    </row>
    <row r="441">
      <c r="A441">
        <f>IF(Transactions!D441="","",UPPER(TRIM(Transactions!D441)))</f>
        <v/>
      </c>
      <c r="B441">
        <f>IF(Transactions!C441="","",UPPER(TRIM(Transactions!C441)))</f>
        <v/>
      </c>
      <c r="C441">
        <f>IF(Transactions!B441="",0,YEAR(Transactions!B441)*100+MONTH(Transactions!B441))</f>
        <v/>
      </c>
      <c r="D441">
        <f>IF(Transactions!A441="",1,IF(COUNTIF(Transactions!$A$1:A440,Transactions!A441)&gt;0,1,0))</f>
        <v/>
      </c>
      <c r="E441">
        <f>IF(D441=1,0,IF(B441="RETURN",IF(COUNTIFS($A$1:A440,A441,$B$1:B440,"SALE",$E$1:E440,1)&gt;0,1,0),1))</f>
        <v/>
      </c>
      <c r="F441">
        <f>IF(E441=1,IF(B441="RECEIPT",Transactions!E441,IF(AND(B441="RETURN",LOWER(TRIM(Transactions!H441))="resellable"),Transactions!E441,0)),0)</f>
        <v/>
      </c>
      <c r="G441">
        <f>IF(F441&gt;0,IF(B441="RECEIPT",Transactions!F441,IF(_xlfn.MAXIFS($H$2:H441,$A$2:A441,A441)&gt;0,INDEX(Transactions!$F:$F,_xlfn.MAXIFS($H$2:H441,$A$2:A441,A441)),W441)),0)</f>
        <v/>
      </c>
      <c r="H441">
        <f>IF(AND(E441=1,B441="RECEIPT"),ROW(),0)</f>
        <v/>
      </c>
      <c r="I441">
        <f>IF(E441=1,IF(OR(B441="SALE",B441="WRITEOFF"),Transactions!E441,0),0)</f>
        <v/>
      </c>
      <c r="J441">
        <f>SUMIFS($F$1:F440,$A$1:A440,A441)</f>
        <v/>
      </c>
      <c r="K441">
        <f>SUMIFS($I$1:I440,$A$1:A440,A441)</f>
        <v/>
      </c>
      <c r="L441">
        <f>IFERROR(VLOOKUP(A441,Opening!$A:$C,3,0),0)</f>
        <v/>
      </c>
      <c r="M441">
        <f>IF(I441=0,0,MAX(0,MIN(INDEX(Month!H$2:H$13,MATCH($A441,Month!$A$2:$A$13,0))-K441,I441)))</f>
        <v/>
      </c>
      <c r="N441">
        <f>IF(I441=0,0,MAX(0,MIN(INDEX(Month!I$2:I$13,MATCH($A441,Month!$A$2:$A$13,0))-K441,I441)))</f>
        <v/>
      </c>
      <c r="O441">
        <f>IF(I441=0,0,MAX(0,MIN(INDEX(Month!J$2:J$13,MATCH($A441,Month!$A$2:$A$13,0))-K441,I441)))</f>
        <v/>
      </c>
      <c r="P441">
        <f>IF(I441=0,0,(MIN(MAX(K441,0),L441)*W441+SUMPRODUCT((Calc!$A$2:$A$1001=A441)*Calc!$G$2:$G$1001*(((K441-(L441+Calc!$J$2:$J$1001))&gt;0)*((K441-(L441+Calc!$J$2:$J$1001))&lt;Calc!$F$2:$F$1001)*(K441-(L441+Calc!$J$2:$J$1001))+((K441-(L441+Calc!$J$2:$J$1001))&gt;=Calc!$F$2:$F$1001)*Calc!$F$2:$F$1001))))</f>
        <v/>
      </c>
      <c r="Q441">
        <f>IF(I441=0,0,(MIN(MAX((K441+M441),0),L441)*W441+SUMPRODUCT((Calc!$A$2:$A$1001=A441)*Calc!$G$2:$G$1001*((((K441+M441)-(L441+Calc!$J$2:$J$1001))&gt;0)*(((K441+M441)-(L441+Calc!$J$2:$J$1001))&lt;Calc!$F$2:$F$1001)*((K441+M441)-(L441+Calc!$J$2:$J$1001))+(((K441+M441)-(L441+Calc!$J$2:$J$1001))&gt;=Calc!$F$2:$F$1001)*Calc!$F$2:$F$1001))))</f>
        <v/>
      </c>
      <c r="R441">
        <f>IF(I441=0,0,(MIN(MAX((K441+N441),0),L441)*W441+SUMPRODUCT((Calc!$A$2:$A$1001=A441)*Calc!$G$2:$G$1001*((((K441+N441)-(L441+Calc!$J$2:$J$1001))&gt;0)*(((K441+N441)-(L441+Calc!$J$2:$J$1001))&lt;Calc!$F$2:$F$1001)*((K441+N441)-(L441+Calc!$J$2:$J$1001))+(((K441+N441)-(L441+Calc!$J$2:$J$1001))&gt;=Calc!$F$2:$F$1001)*Calc!$F$2:$F$1001))))</f>
        <v/>
      </c>
      <c r="S441">
        <f>IF(I441=0,0,(MIN(MAX((K441+O441),0),L441)*W441+SUMPRODUCT((Calc!$A$2:$A$1001=A441)*Calc!$G$2:$G$1001*((((K441+O441)-(L441+Calc!$J$2:$J$1001))&gt;0)*(((K441+O441)-(L441+Calc!$J$2:$J$1001))&lt;Calc!$F$2:$F$1001)*((K441+O441)-(L441+Calc!$J$2:$J$1001))+(((K441+O441)-(L441+Calc!$J$2:$J$1001))&gt;=Calc!$F$2:$F$1001)*Calc!$F$2:$F$1001))))</f>
        <v/>
      </c>
      <c r="T441">
        <f>IF(AND(E441=1,B441="RETURN"),Transactions!E441*Transactions!G441,0)</f>
        <v/>
      </c>
      <c r="U441">
        <f>IF(AND(E441=1,B441="EXPENSE"),Transactions!J441,0)</f>
        <v/>
      </c>
      <c r="V441">
        <f>IF(AND(Transactions!A441&lt;&gt;"",E441=0),ROW(),"")</f>
        <v/>
      </c>
      <c r="W441">
        <f>IFERROR(VLOOKUP(A441,Opening!$A:$D,4,0),0)</f>
        <v/>
      </c>
    </row>
    <row r="442">
      <c r="A442">
        <f>IF(Transactions!D442="","",UPPER(TRIM(Transactions!D442)))</f>
        <v/>
      </c>
      <c r="B442">
        <f>IF(Transactions!C442="","",UPPER(TRIM(Transactions!C442)))</f>
        <v/>
      </c>
      <c r="C442">
        <f>IF(Transactions!B442="",0,YEAR(Transactions!B442)*100+MONTH(Transactions!B442))</f>
        <v/>
      </c>
      <c r="D442">
        <f>IF(Transactions!A442="",1,IF(COUNTIF(Transactions!$A$1:A441,Transactions!A442)&gt;0,1,0))</f>
        <v/>
      </c>
      <c r="E442">
        <f>IF(D442=1,0,IF(B442="RETURN",IF(COUNTIFS($A$1:A441,A442,$B$1:B441,"SALE",$E$1:E441,1)&gt;0,1,0),1))</f>
        <v/>
      </c>
      <c r="F442">
        <f>IF(E442=1,IF(B442="RECEIPT",Transactions!E442,IF(AND(B442="RETURN",LOWER(TRIM(Transactions!H442))="resellable"),Transactions!E442,0)),0)</f>
        <v/>
      </c>
      <c r="G442">
        <f>IF(F442&gt;0,IF(B442="RECEIPT",Transactions!F442,IF(_xlfn.MAXIFS($H$2:H442,$A$2:A442,A442)&gt;0,INDEX(Transactions!$F:$F,_xlfn.MAXIFS($H$2:H442,$A$2:A442,A442)),W442)),0)</f>
        <v/>
      </c>
      <c r="H442">
        <f>IF(AND(E442=1,B442="RECEIPT"),ROW(),0)</f>
        <v/>
      </c>
      <c r="I442">
        <f>IF(E442=1,IF(OR(B442="SALE",B442="WRITEOFF"),Transactions!E442,0),0)</f>
        <v/>
      </c>
      <c r="J442">
        <f>SUMIFS($F$1:F441,$A$1:A441,A442)</f>
        <v/>
      </c>
      <c r="K442">
        <f>SUMIFS($I$1:I441,$A$1:A441,A442)</f>
        <v/>
      </c>
      <c r="L442">
        <f>IFERROR(VLOOKUP(A442,Opening!$A:$C,3,0),0)</f>
        <v/>
      </c>
      <c r="M442">
        <f>IF(I442=0,0,MAX(0,MIN(INDEX(Month!H$2:H$13,MATCH($A442,Month!$A$2:$A$13,0))-K442,I442)))</f>
        <v/>
      </c>
      <c r="N442">
        <f>IF(I442=0,0,MAX(0,MIN(INDEX(Month!I$2:I$13,MATCH($A442,Month!$A$2:$A$13,0))-K442,I442)))</f>
        <v/>
      </c>
      <c r="O442">
        <f>IF(I442=0,0,MAX(0,MIN(INDEX(Month!J$2:J$13,MATCH($A442,Month!$A$2:$A$13,0))-K442,I442)))</f>
        <v/>
      </c>
      <c r="P442">
        <f>IF(I442=0,0,(MIN(MAX(K442,0),L442)*W442+SUMPRODUCT((Calc!$A$2:$A$1001=A442)*Calc!$G$2:$G$1001*(((K442-(L442+Calc!$J$2:$J$1001))&gt;0)*((K442-(L442+Calc!$J$2:$J$1001))&lt;Calc!$F$2:$F$1001)*(K442-(L442+Calc!$J$2:$J$1001))+((K442-(L442+Calc!$J$2:$J$1001))&gt;=Calc!$F$2:$F$1001)*Calc!$F$2:$F$1001))))</f>
        <v/>
      </c>
      <c r="Q442">
        <f>IF(I442=0,0,(MIN(MAX((K442+M442),0),L442)*W442+SUMPRODUCT((Calc!$A$2:$A$1001=A442)*Calc!$G$2:$G$1001*((((K442+M442)-(L442+Calc!$J$2:$J$1001))&gt;0)*(((K442+M442)-(L442+Calc!$J$2:$J$1001))&lt;Calc!$F$2:$F$1001)*((K442+M442)-(L442+Calc!$J$2:$J$1001))+(((K442+M442)-(L442+Calc!$J$2:$J$1001))&gt;=Calc!$F$2:$F$1001)*Calc!$F$2:$F$1001))))</f>
        <v/>
      </c>
      <c r="R442">
        <f>IF(I442=0,0,(MIN(MAX((K442+N442),0),L442)*W442+SUMPRODUCT((Calc!$A$2:$A$1001=A442)*Calc!$G$2:$G$1001*((((K442+N442)-(L442+Calc!$J$2:$J$1001))&gt;0)*(((K442+N442)-(L442+Calc!$J$2:$J$1001))&lt;Calc!$F$2:$F$1001)*((K442+N442)-(L442+Calc!$J$2:$J$1001))+(((K442+N442)-(L442+Calc!$J$2:$J$1001))&gt;=Calc!$F$2:$F$1001)*Calc!$F$2:$F$1001))))</f>
        <v/>
      </c>
      <c r="S442">
        <f>IF(I442=0,0,(MIN(MAX((K442+O442),0),L442)*W442+SUMPRODUCT((Calc!$A$2:$A$1001=A442)*Calc!$G$2:$G$1001*((((K442+O442)-(L442+Calc!$J$2:$J$1001))&gt;0)*(((K442+O442)-(L442+Calc!$J$2:$J$1001))&lt;Calc!$F$2:$F$1001)*((K442+O442)-(L442+Calc!$J$2:$J$1001))+(((K442+O442)-(L442+Calc!$J$2:$J$1001))&gt;=Calc!$F$2:$F$1001)*Calc!$F$2:$F$1001))))</f>
        <v/>
      </c>
      <c r="T442">
        <f>IF(AND(E442=1,B442="RETURN"),Transactions!E442*Transactions!G442,0)</f>
        <v/>
      </c>
      <c r="U442">
        <f>IF(AND(E442=1,B442="EXPENSE"),Transactions!J442,0)</f>
        <v/>
      </c>
      <c r="V442">
        <f>IF(AND(Transactions!A442&lt;&gt;"",E442=0),ROW(),"")</f>
        <v/>
      </c>
      <c r="W442">
        <f>IFERROR(VLOOKUP(A442,Opening!$A:$D,4,0),0)</f>
        <v/>
      </c>
    </row>
    <row r="443">
      <c r="A443">
        <f>IF(Transactions!D443="","",UPPER(TRIM(Transactions!D443)))</f>
        <v/>
      </c>
      <c r="B443">
        <f>IF(Transactions!C443="","",UPPER(TRIM(Transactions!C443)))</f>
        <v/>
      </c>
      <c r="C443">
        <f>IF(Transactions!B443="",0,YEAR(Transactions!B443)*100+MONTH(Transactions!B443))</f>
        <v/>
      </c>
      <c r="D443">
        <f>IF(Transactions!A443="",1,IF(COUNTIF(Transactions!$A$1:A442,Transactions!A443)&gt;0,1,0))</f>
        <v/>
      </c>
      <c r="E443">
        <f>IF(D443=1,0,IF(B443="RETURN",IF(COUNTIFS($A$1:A442,A443,$B$1:B442,"SALE",$E$1:E442,1)&gt;0,1,0),1))</f>
        <v/>
      </c>
      <c r="F443">
        <f>IF(E443=1,IF(B443="RECEIPT",Transactions!E443,IF(AND(B443="RETURN",LOWER(TRIM(Transactions!H443))="resellable"),Transactions!E443,0)),0)</f>
        <v/>
      </c>
      <c r="G443">
        <f>IF(F443&gt;0,IF(B443="RECEIPT",Transactions!F443,IF(_xlfn.MAXIFS($H$2:H443,$A$2:A443,A443)&gt;0,INDEX(Transactions!$F:$F,_xlfn.MAXIFS($H$2:H443,$A$2:A443,A443)),W443)),0)</f>
        <v/>
      </c>
      <c r="H443">
        <f>IF(AND(E443=1,B443="RECEIPT"),ROW(),0)</f>
        <v/>
      </c>
      <c r="I443">
        <f>IF(E443=1,IF(OR(B443="SALE",B443="WRITEOFF"),Transactions!E443,0),0)</f>
        <v/>
      </c>
      <c r="J443">
        <f>SUMIFS($F$1:F442,$A$1:A442,A443)</f>
        <v/>
      </c>
      <c r="K443">
        <f>SUMIFS($I$1:I442,$A$1:A442,A443)</f>
        <v/>
      </c>
      <c r="L443">
        <f>IFERROR(VLOOKUP(A443,Opening!$A:$C,3,0),0)</f>
        <v/>
      </c>
      <c r="M443">
        <f>IF(I443=0,0,MAX(0,MIN(INDEX(Month!H$2:H$13,MATCH($A443,Month!$A$2:$A$13,0))-K443,I443)))</f>
        <v/>
      </c>
      <c r="N443">
        <f>IF(I443=0,0,MAX(0,MIN(INDEX(Month!I$2:I$13,MATCH($A443,Month!$A$2:$A$13,0))-K443,I443)))</f>
        <v/>
      </c>
      <c r="O443">
        <f>IF(I443=0,0,MAX(0,MIN(INDEX(Month!J$2:J$13,MATCH($A443,Month!$A$2:$A$13,0))-K443,I443)))</f>
        <v/>
      </c>
      <c r="P443">
        <f>IF(I443=0,0,(MIN(MAX(K443,0),L443)*W443+SUMPRODUCT((Calc!$A$2:$A$1001=A443)*Calc!$G$2:$G$1001*(((K443-(L443+Calc!$J$2:$J$1001))&gt;0)*((K443-(L443+Calc!$J$2:$J$1001))&lt;Calc!$F$2:$F$1001)*(K443-(L443+Calc!$J$2:$J$1001))+((K443-(L443+Calc!$J$2:$J$1001))&gt;=Calc!$F$2:$F$1001)*Calc!$F$2:$F$1001))))</f>
        <v/>
      </c>
      <c r="Q443">
        <f>IF(I443=0,0,(MIN(MAX((K443+M443),0),L443)*W443+SUMPRODUCT((Calc!$A$2:$A$1001=A443)*Calc!$G$2:$G$1001*((((K443+M443)-(L443+Calc!$J$2:$J$1001))&gt;0)*(((K443+M443)-(L443+Calc!$J$2:$J$1001))&lt;Calc!$F$2:$F$1001)*((K443+M443)-(L443+Calc!$J$2:$J$1001))+(((K443+M443)-(L443+Calc!$J$2:$J$1001))&gt;=Calc!$F$2:$F$1001)*Calc!$F$2:$F$1001))))</f>
        <v/>
      </c>
      <c r="R443">
        <f>IF(I443=0,0,(MIN(MAX((K443+N443),0),L443)*W443+SUMPRODUCT((Calc!$A$2:$A$1001=A443)*Calc!$G$2:$G$1001*((((K443+N443)-(L443+Calc!$J$2:$J$1001))&gt;0)*(((K443+N443)-(L443+Calc!$J$2:$J$1001))&lt;Calc!$F$2:$F$1001)*((K443+N443)-(L443+Calc!$J$2:$J$1001))+(((K443+N443)-(L443+Calc!$J$2:$J$1001))&gt;=Calc!$F$2:$F$1001)*Calc!$F$2:$F$1001))))</f>
        <v/>
      </c>
      <c r="S443">
        <f>IF(I443=0,0,(MIN(MAX((K443+O443),0),L443)*W443+SUMPRODUCT((Calc!$A$2:$A$1001=A443)*Calc!$G$2:$G$1001*((((K443+O443)-(L443+Calc!$J$2:$J$1001))&gt;0)*(((K443+O443)-(L443+Calc!$J$2:$J$1001))&lt;Calc!$F$2:$F$1001)*((K443+O443)-(L443+Calc!$J$2:$J$1001))+(((K443+O443)-(L443+Calc!$J$2:$J$1001))&gt;=Calc!$F$2:$F$1001)*Calc!$F$2:$F$1001))))</f>
        <v/>
      </c>
      <c r="T443">
        <f>IF(AND(E443=1,B443="RETURN"),Transactions!E443*Transactions!G443,0)</f>
        <v/>
      </c>
      <c r="U443">
        <f>IF(AND(E443=1,B443="EXPENSE"),Transactions!J443,0)</f>
        <v/>
      </c>
      <c r="V443">
        <f>IF(AND(Transactions!A443&lt;&gt;"",E443=0),ROW(),"")</f>
        <v/>
      </c>
      <c r="W443">
        <f>IFERROR(VLOOKUP(A443,Opening!$A:$D,4,0),0)</f>
        <v/>
      </c>
    </row>
    <row r="444">
      <c r="A444">
        <f>IF(Transactions!D444="","",UPPER(TRIM(Transactions!D444)))</f>
        <v/>
      </c>
      <c r="B444">
        <f>IF(Transactions!C444="","",UPPER(TRIM(Transactions!C444)))</f>
        <v/>
      </c>
      <c r="C444">
        <f>IF(Transactions!B444="",0,YEAR(Transactions!B444)*100+MONTH(Transactions!B444))</f>
        <v/>
      </c>
      <c r="D444">
        <f>IF(Transactions!A444="",1,IF(COUNTIF(Transactions!$A$1:A443,Transactions!A444)&gt;0,1,0))</f>
        <v/>
      </c>
      <c r="E444">
        <f>IF(D444=1,0,IF(B444="RETURN",IF(COUNTIFS($A$1:A443,A444,$B$1:B443,"SALE",$E$1:E443,1)&gt;0,1,0),1))</f>
        <v/>
      </c>
      <c r="F444">
        <f>IF(E444=1,IF(B444="RECEIPT",Transactions!E444,IF(AND(B444="RETURN",LOWER(TRIM(Transactions!H444))="resellable"),Transactions!E444,0)),0)</f>
        <v/>
      </c>
      <c r="G444">
        <f>IF(F444&gt;0,IF(B444="RECEIPT",Transactions!F444,IF(_xlfn.MAXIFS($H$2:H444,$A$2:A444,A444)&gt;0,INDEX(Transactions!$F:$F,_xlfn.MAXIFS($H$2:H444,$A$2:A444,A444)),W444)),0)</f>
        <v/>
      </c>
      <c r="H444">
        <f>IF(AND(E444=1,B444="RECEIPT"),ROW(),0)</f>
        <v/>
      </c>
      <c r="I444">
        <f>IF(E444=1,IF(OR(B444="SALE",B444="WRITEOFF"),Transactions!E444,0),0)</f>
        <v/>
      </c>
      <c r="J444">
        <f>SUMIFS($F$1:F443,$A$1:A443,A444)</f>
        <v/>
      </c>
      <c r="K444">
        <f>SUMIFS($I$1:I443,$A$1:A443,A444)</f>
        <v/>
      </c>
      <c r="L444">
        <f>IFERROR(VLOOKUP(A444,Opening!$A:$C,3,0),0)</f>
        <v/>
      </c>
      <c r="M444">
        <f>IF(I444=0,0,MAX(0,MIN(INDEX(Month!H$2:H$13,MATCH($A444,Month!$A$2:$A$13,0))-K444,I444)))</f>
        <v/>
      </c>
      <c r="N444">
        <f>IF(I444=0,0,MAX(0,MIN(INDEX(Month!I$2:I$13,MATCH($A444,Month!$A$2:$A$13,0))-K444,I444)))</f>
        <v/>
      </c>
      <c r="O444">
        <f>IF(I444=0,0,MAX(0,MIN(INDEX(Month!J$2:J$13,MATCH($A444,Month!$A$2:$A$13,0))-K444,I444)))</f>
        <v/>
      </c>
      <c r="P444">
        <f>IF(I444=0,0,(MIN(MAX(K444,0),L444)*W444+SUMPRODUCT((Calc!$A$2:$A$1001=A444)*Calc!$G$2:$G$1001*(((K444-(L444+Calc!$J$2:$J$1001))&gt;0)*((K444-(L444+Calc!$J$2:$J$1001))&lt;Calc!$F$2:$F$1001)*(K444-(L444+Calc!$J$2:$J$1001))+((K444-(L444+Calc!$J$2:$J$1001))&gt;=Calc!$F$2:$F$1001)*Calc!$F$2:$F$1001))))</f>
        <v/>
      </c>
      <c r="Q444">
        <f>IF(I444=0,0,(MIN(MAX((K444+M444),0),L444)*W444+SUMPRODUCT((Calc!$A$2:$A$1001=A444)*Calc!$G$2:$G$1001*((((K444+M444)-(L444+Calc!$J$2:$J$1001))&gt;0)*(((K444+M444)-(L444+Calc!$J$2:$J$1001))&lt;Calc!$F$2:$F$1001)*((K444+M444)-(L444+Calc!$J$2:$J$1001))+(((K444+M444)-(L444+Calc!$J$2:$J$1001))&gt;=Calc!$F$2:$F$1001)*Calc!$F$2:$F$1001))))</f>
        <v/>
      </c>
      <c r="R444">
        <f>IF(I444=0,0,(MIN(MAX((K444+N444),0),L444)*W444+SUMPRODUCT((Calc!$A$2:$A$1001=A444)*Calc!$G$2:$G$1001*((((K444+N444)-(L444+Calc!$J$2:$J$1001))&gt;0)*(((K444+N444)-(L444+Calc!$J$2:$J$1001))&lt;Calc!$F$2:$F$1001)*((K444+N444)-(L444+Calc!$J$2:$J$1001))+(((K444+N444)-(L444+Calc!$J$2:$J$1001))&gt;=Calc!$F$2:$F$1001)*Calc!$F$2:$F$1001))))</f>
        <v/>
      </c>
      <c r="S444">
        <f>IF(I444=0,0,(MIN(MAX((K444+O444),0),L444)*W444+SUMPRODUCT((Calc!$A$2:$A$1001=A444)*Calc!$G$2:$G$1001*((((K444+O444)-(L444+Calc!$J$2:$J$1001))&gt;0)*(((K444+O444)-(L444+Calc!$J$2:$J$1001))&lt;Calc!$F$2:$F$1001)*((K444+O444)-(L444+Calc!$J$2:$J$1001))+(((K444+O444)-(L444+Calc!$J$2:$J$1001))&gt;=Calc!$F$2:$F$1001)*Calc!$F$2:$F$1001))))</f>
        <v/>
      </c>
      <c r="T444">
        <f>IF(AND(E444=1,B444="RETURN"),Transactions!E444*Transactions!G444,0)</f>
        <v/>
      </c>
      <c r="U444">
        <f>IF(AND(E444=1,B444="EXPENSE"),Transactions!J444,0)</f>
        <v/>
      </c>
      <c r="V444">
        <f>IF(AND(Transactions!A444&lt;&gt;"",E444=0),ROW(),"")</f>
        <v/>
      </c>
      <c r="W444">
        <f>IFERROR(VLOOKUP(A444,Opening!$A:$D,4,0),0)</f>
        <v/>
      </c>
    </row>
    <row r="445">
      <c r="A445">
        <f>IF(Transactions!D445="","",UPPER(TRIM(Transactions!D445)))</f>
        <v/>
      </c>
      <c r="B445">
        <f>IF(Transactions!C445="","",UPPER(TRIM(Transactions!C445)))</f>
        <v/>
      </c>
      <c r="C445">
        <f>IF(Transactions!B445="",0,YEAR(Transactions!B445)*100+MONTH(Transactions!B445))</f>
        <v/>
      </c>
      <c r="D445">
        <f>IF(Transactions!A445="",1,IF(COUNTIF(Transactions!$A$1:A444,Transactions!A445)&gt;0,1,0))</f>
        <v/>
      </c>
      <c r="E445">
        <f>IF(D445=1,0,IF(B445="RETURN",IF(COUNTIFS($A$1:A444,A445,$B$1:B444,"SALE",$E$1:E444,1)&gt;0,1,0),1))</f>
        <v/>
      </c>
      <c r="F445">
        <f>IF(E445=1,IF(B445="RECEIPT",Transactions!E445,IF(AND(B445="RETURN",LOWER(TRIM(Transactions!H445))="resellable"),Transactions!E445,0)),0)</f>
        <v/>
      </c>
      <c r="G445">
        <f>IF(F445&gt;0,IF(B445="RECEIPT",Transactions!F445,IF(_xlfn.MAXIFS($H$2:H445,$A$2:A445,A445)&gt;0,INDEX(Transactions!$F:$F,_xlfn.MAXIFS($H$2:H445,$A$2:A445,A445)),W445)),0)</f>
        <v/>
      </c>
      <c r="H445">
        <f>IF(AND(E445=1,B445="RECEIPT"),ROW(),0)</f>
        <v/>
      </c>
      <c r="I445">
        <f>IF(E445=1,IF(OR(B445="SALE",B445="WRITEOFF"),Transactions!E445,0),0)</f>
        <v/>
      </c>
      <c r="J445">
        <f>SUMIFS($F$1:F444,$A$1:A444,A445)</f>
        <v/>
      </c>
      <c r="K445">
        <f>SUMIFS($I$1:I444,$A$1:A444,A445)</f>
        <v/>
      </c>
      <c r="L445">
        <f>IFERROR(VLOOKUP(A445,Opening!$A:$C,3,0),0)</f>
        <v/>
      </c>
      <c r="M445">
        <f>IF(I445=0,0,MAX(0,MIN(INDEX(Month!H$2:H$13,MATCH($A445,Month!$A$2:$A$13,0))-K445,I445)))</f>
        <v/>
      </c>
      <c r="N445">
        <f>IF(I445=0,0,MAX(0,MIN(INDEX(Month!I$2:I$13,MATCH($A445,Month!$A$2:$A$13,0))-K445,I445)))</f>
        <v/>
      </c>
      <c r="O445">
        <f>IF(I445=0,0,MAX(0,MIN(INDEX(Month!J$2:J$13,MATCH($A445,Month!$A$2:$A$13,0))-K445,I445)))</f>
        <v/>
      </c>
      <c r="P445">
        <f>IF(I445=0,0,(MIN(MAX(K445,0),L445)*W445+SUMPRODUCT((Calc!$A$2:$A$1001=A445)*Calc!$G$2:$G$1001*(((K445-(L445+Calc!$J$2:$J$1001))&gt;0)*((K445-(L445+Calc!$J$2:$J$1001))&lt;Calc!$F$2:$F$1001)*(K445-(L445+Calc!$J$2:$J$1001))+((K445-(L445+Calc!$J$2:$J$1001))&gt;=Calc!$F$2:$F$1001)*Calc!$F$2:$F$1001))))</f>
        <v/>
      </c>
      <c r="Q445">
        <f>IF(I445=0,0,(MIN(MAX((K445+M445),0),L445)*W445+SUMPRODUCT((Calc!$A$2:$A$1001=A445)*Calc!$G$2:$G$1001*((((K445+M445)-(L445+Calc!$J$2:$J$1001))&gt;0)*(((K445+M445)-(L445+Calc!$J$2:$J$1001))&lt;Calc!$F$2:$F$1001)*((K445+M445)-(L445+Calc!$J$2:$J$1001))+(((K445+M445)-(L445+Calc!$J$2:$J$1001))&gt;=Calc!$F$2:$F$1001)*Calc!$F$2:$F$1001))))</f>
        <v/>
      </c>
      <c r="R445">
        <f>IF(I445=0,0,(MIN(MAX((K445+N445),0),L445)*W445+SUMPRODUCT((Calc!$A$2:$A$1001=A445)*Calc!$G$2:$G$1001*((((K445+N445)-(L445+Calc!$J$2:$J$1001))&gt;0)*(((K445+N445)-(L445+Calc!$J$2:$J$1001))&lt;Calc!$F$2:$F$1001)*((K445+N445)-(L445+Calc!$J$2:$J$1001))+(((K445+N445)-(L445+Calc!$J$2:$J$1001))&gt;=Calc!$F$2:$F$1001)*Calc!$F$2:$F$1001))))</f>
        <v/>
      </c>
      <c r="S445">
        <f>IF(I445=0,0,(MIN(MAX((K445+O445),0),L445)*W445+SUMPRODUCT((Calc!$A$2:$A$1001=A445)*Calc!$G$2:$G$1001*((((K445+O445)-(L445+Calc!$J$2:$J$1001))&gt;0)*(((K445+O445)-(L445+Calc!$J$2:$J$1001))&lt;Calc!$F$2:$F$1001)*((K445+O445)-(L445+Calc!$J$2:$J$1001))+(((K445+O445)-(L445+Calc!$J$2:$J$1001))&gt;=Calc!$F$2:$F$1001)*Calc!$F$2:$F$1001))))</f>
        <v/>
      </c>
      <c r="T445">
        <f>IF(AND(E445=1,B445="RETURN"),Transactions!E445*Transactions!G445,0)</f>
        <v/>
      </c>
      <c r="U445">
        <f>IF(AND(E445=1,B445="EXPENSE"),Transactions!J445,0)</f>
        <v/>
      </c>
      <c r="V445">
        <f>IF(AND(Transactions!A445&lt;&gt;"",E445=0),ROW(),"")</f>
        <v/>
      </c>
      <c r="W445">
        <f>IFERROR(VLOOKUP(A445,Opening!$A:$D,4,0),0)</f>
        <v/>
      </c>
    </row>
    <row r="446">
      <c r="A446">
        <f>IF(Transactions!D446="","",UPPER(TRIM(Transactions!D446)))</f>
        <v/>
      </c>
      <c r="B446">
        <f>IF(Transactions!C446="","",UPPER(TRIM(Transactions!C446)))</f>
        <v/>
      </c>
      <c r="C446">
        <f>IF(Transactions!B446="",0,YEAR(Transactions!B446)*100+MONTH(Transactions!B446))</f>
        <v/>
      </c>
      <c r="D446">
        <f>IF(Transactions!A446="",1,IF(COUNTIF(Transactions!$A$1:A445,Transactions!A446)&gt;0,1,0))</f>
        <v/>
      </c>
      <c r="E446">
        <f>IF(D446=1,0,IF(B446="RETURN",IF(COUNTIFS($A$1:A445,A446,$B$1:B445,"SALE",$E$1:E445,1)&gt;0,1,0),1))</f>
        <v/>
      </c>
      <c r="F446">
        <f>IF(E446=1,IF(B446="RECEIPT",Transactions!E446,IF(AND(B446="RETURN",LOWER(TRIM(Transactions!H446))="resellable"),Transactions!E446,0)),0)</f>
        <v/>
      </c>
      <c r="G446">
        <f>IF(F446&gt;0,IF(B446="RECEIPT",Transactions!F446,IF(_xlfn.MAXIFS($H$2:H446,$A$2:A446,A446)&gt;0,INDEX(Transactions!$F:$F,_xlfn.MAXIFS($H$2:H446,$A$2:A446,A446)),W446)),0)</f>
        <v/>
      </c>
      <c r="H446">
        <f>IF(AND(E446=1,B446="RECEIPT"),ROW(),0)</f>
        <v/>
      </c>
      <c r="I446">
        <f>IF(E446=1,IF(OR(B446="SALE",B446="WRITEOFF"),Transactions!E446,0),0)</f>
        <v/>
      </c>
      <c r="J446">
        <f>SUMIFS($F$1:F445,$A$1:A445,A446)</f>
        <v/>
      </c>
      <c r="K446">
        <f>SUMIFS($I$1:I445,$A$1:A445,A446)</f>
        <v/>
      </c>
      <c r="L446">
        <f>IFERROR(VLOOKUP(A446,Opening!$A:$C,3,0),0)</f>
        <v/>
      </c>
      <c r="M446">
        <f>IF(I446=0,0,MAX(0,MIN(INDEX(Month!H$2:H$13,MATCH($A446,Month!$A$2:$A$13,0))-K446,I446)))</f>
        <v/>
      </c>
      <c r="N446">
        <f>IF(I446=0,0,MAX(0,MIN(INDEX(Month!I$2:I$13,MATCH($A446,Month!$A$2:$A$13,0))-K446,I446)))</f>
        <v/>
      </c>
      <c r="O446">
        <f>IF(I446=0,0,MAX(0,MIN(INDEX(Month!J$2:J$13,MATCH($A446,Month!$A$2:$A$13,0))-K446,I446)))</f>
        <v/>
      </c>
      <c r="P446">
        <f>IF(I446=0,0,(MIN(MAX(K446,0),L446)*W446+SUMPRODUCT((Calc!$A$2:$A$1001=A446)*Calc!$G$2:$G$1001*(((K446-(L446+Calc!$J$2:$J$1001))&gt;0)*((K446-(L446+Calc!$J$2:$J$1001))&lt;Calc!$F$2:$F$1001)*(K446-(L446+Calc!$J$2:$J$1001))+((K446-(L446+Calc!$J$2:$J$1001))&gt;=Calc!$F$2:$F$1001)*Calc!$F$2:$F$1001))))</f>
        <v/>
      </c>
      <c r="Q446">
        <f>IF(I446=0,0,(MIN(MAX((K446+M446),0),L446)*W446+SUMPRODUCT((Calc!$A$2:$A$1001=A446)*Calc!$G$2:$G$1001*((((K446+M446)-(L446+Calc!$J$2:$J$1001))&gt;0)*(((K446+M446)-(L446+Calc!$J$2:$J$1001))&lt;Calc!$F$2:$F$1001)*((K446+M446)-(L446+Calc!$J$2:$J$1001))+(((K446+M446)-(L446+Calc!$J$2:$J$1001))&gt;=Calc!$F$2:$F$1001)*Calc!$F$2:$F$1001))))</f>
        <v/>
      </c>
      <c r="R446">
        <f>IF(I446=0,0,(MIN(MAX((K446+N446),0),L446)*W446+SUMPRODUCT((Calc!$A$2:$A$1001=A446)*Calc!$G$2:$G$1001*((((K446+N446)-(L446+Calc!$J$2:$J$1001))&gt;0)*(((K446+N446)-(L446+Calc!$J$2:$J$1001))&lt;Calc!$F$2:$F$1001)*((K446+N446)-(L446+Calc!$J$2:$J$1001))+(((K446+N446)-(L446+Calc!$J$2:$J$1001))&gt;=Calc!$F$2:$F$1001)*Calc!$F$2:$F$1001))))</f>
        <v/>
      </c>
      <c r="S446">
        <f>IF(I446=0,0,(MIN(MAX((K446+O446),0),L446)*W446+SUMPRODUCT((Calc!$A$2:$A$1001=A446)*Calc!$G$2:$G$1001*((((K446+O446)-(L446+Calc!$J$2:$J$1001))&gt;0)*(((K446+O446)-(L446+Calc!$J$2:$J$1001))&lt;Calc!$F$2:$F$1001)*((K446+O446)-(L446+Calc!$J$2:$J$1001))+(((K446+O446)-(L446+Calc!$J$2:$J$1001))&gt;=Calc!$F$2:$F$1001)*Calc!$F$2:$F$1001))))</f>
        <v/>
      </c>
      <c r="T446">
        <f>IF(AND(E446=1,B446="RETURN"),Transactions!E446*Transactions!G446,0)</f>
        <v/>
      </c>
      <c r="U446">
        <f>IF(AND(E446=1,B446="EXPENSE"),Transactions!J446,0)</f>
        <v/>
      </c>
      <c r="V446">
        <f>IF(AND(Transactions!A446&lt;&gt;"",E446=0),ROW(),"")</f>
        <v/>
      </c>
      <c r="W446">
        <f>IFERROR(VLOOKUP(A446,Opening!$A:$D,4,0),0)</f>
        <v/>
      </c>
    </row>
    <row r="447">
      <c r="A447">
        <f>IF(Transactions!D447="","",UPPER(TRIM(Transactions!D447)))</f>
        <v/>
      </c>
      <c r="B447">
        <f>IF(Transactions!C447="","",UPPER(TRIM(Transactions!C447)))</f>
        <v/>
      </c>
      <c r="C447">
        <f>IF(Transactions!B447="",0,YEAR(Transactions!B447)*100+MONTH(Transactions!B447))</f>
        <v/>
      </c>
      <c r="D447">
        <f>IF(Transactions!A447="",1,IF(COUNTIF(Transactions!$A$1:A446,Transactions!A447)&gt;0,1,0))</f>
        <v/>
      </c>
      <c r="E447">
        <f>IF(D447=1,0,IF(B447="RETURN",IF(COUNTIFS($A$1:A446,A447,$B$1:B446,"SALE",$E$1:E446,1)&gt;0,1,0),1))</f>
        <v/>
      </c>
      <c r="F447">
        <f>IF(E447=1,IF(B447="RECEIPT",Transactions!E447,IF(AND(B447="RETURN",LOWER(TRIM(Transactions!H447))="resellable"),Transactions!E447,0)),0)</f>
        <v/>
      </c>
      <c r="G447">
        <f>IF(F447&gt;0,IF(B447="RECEIPT",Transactions!F447,IF(_xlfn.MAXIFS($H$2:H447,$A$2:A447,A447)&gt;0,INDEX(Transactions!$F:$F,_xlfn.MAXIFS($H$2:H447,$A$2:A447,A447)),W447)),0)</f>
        <v/>
      </c>
      <c r="H447">
        <f>IF(AND(E447=1,B447="RECEIPT"),ROW(),0)</f>
        <v/>
      </c>
      <c r="I447">
        <f>IF(E447=1,IF(OR(B447="SALE",B447="WRITEOFF"),Transactions!E447,0),0)</f>
        <v/>
      </c>
      <c r="J447">
        <f>SUMIFS($F$1:F446,$A$1:A446,A447)</f>
        <v/>
      </c>
      <c r="K447">
        <f>SUMIFS($I$1:I446,$A$1:A446,A447)</f>
        <v/>
      </c>
      <c r="L447">
        <f>IFERROR(VLOOKUP(A447,Opening!$A:$C,3,0),0)</f>
        <v/>
      </c>
      <c r="M447">
        <f>IF(I447=0,0,MAX(0,MIN(INDEX(Month!H$2:H$13,MATCH($A447,Month!$A$2:$A$13,0))-K447,I447)))</f>
        <v/>
      </c>
      <c r="N447">
        <f>IF(I447=0,0,MAX(0,MIN(INDEX(Month!I$2:I$13,MATCH($A447,Month!$A$2:$A$13,0))-K447,I447)))</f>
        <v/>
      </c>
      <c r="O447">
        <f>IF(I447=0,0,MAX(0,MIN(INDEX(Month!J$2:J$13,MATCH($A447,Month!$A$2:$A$13,0))-K447,I447)))</f>
        <v/>
      </c>
      <c r="P447">
        <f>IF(I447=0,0,(MIN(MAX(K447,0),L447)*W447+SUMPRODUCT((Calc!$A$2:$A$1001=A447)*Calc!$G$2:$G$1001*(((K447-(L447+Calc!$J$2:$J$1001))&gt;0)*((K447-(L447+Calc!$J$2:$J$1001))&lt;Calc!$F$2:$F$1001)*(K447-(L447+Calc!$J$2:$J$1001))+((K447-(L447+Calc!$J$2:$J$1001))&gt;=Calc!$F$2:$F$1001)*Calc!$F$2:$F$1001))))</f>
        <v/>
      </c>
      <c r="Q447">
        <f>IF(I447=0,0,(MIN(MAX((K447+M447),0),L447)*W447+SUMPRODUCT((Calc!$A$2:$A$1001=A447)*Calc!$G$2:$G$1001*((((K447+M447)-(L447+Calc!$J$2:$J$1001))&gt;0)*(((K447+M447)-(L447+Calc!$J$2:$J$1001))&lt;Calc!$F$2:$F$1001)*((K447+M447)-(L447+Calc!$J$2:$J$1001))+(((K447+M447)-(L447+Calc!$J$2:$J$1001))&gt;=Calc!$F$2:$F$1001)*Calc!$F$2:$F$1001))))</f>
        <v/>
      </c>
      <c r="R447">
        <f>IF(I447=0,0,(MIN(MAX((K447+N447),0),L447)*W447+SUMPRODUCT((Calc!$A$2:$A$1001=A447)*Calc!$G$2:$G$1001*((((K447+N447)-(L447+Calc!$J$2:$J$1001))&gt;0)*(((K447+N447)-(L447+Calc!$J$2:$J$1001))&lt;Calc!$F$2:$F$1001)*((K447+N447)-(L447+Calc!$J$2:$J$1001))+(((K447+N447)-(L447+Calc!$J$2:$J$1001))&gt;=Calc!$F$2:$F$1001)*Calc!$F$2:$F$1001))))</f>
        <v/>
      </c>
      <c r="S447">
        <f>IF(I447=0,0,(MIN(MAX((K447+O447),0),L447)*W447+SUMPRODUCT((Calc!$A$2:$A$1001=A447)*Calc!$G$2:$G$1001*((((K447+O447)-(L447+Calc!$J$2:$J$1001))&gt;0)*(((K447+O447)-(L447+Calc!$J$2:$J$1001))&lt;Calc!$F$2:$F$1001)*((K447+O447)-(L447+Calc!$J$2:$J$1001))+(((K447+O447)-(L447+Calc!$J$2:$J$1001))&gt;=Calc!$F$2:$F$1001)*Calc!$F$2:$F$1001))))</f>
        <v/>
      </c>
      <c r="T447">
        <f>IF(AND(E447=1,B447="RETURN"),Transactions!E447*Transactions!G447,0)</f>
        <v/>
      </c>
      <c r="U447">
        <f>IF(AND(E447=1,B447="EXPENSE"),Transactions!J447,0)</f>
        <v/>
      </c>
      <c r="V447">
        <f>IF(AND(Transactions!A447&lt;&gt;"",E447=0),ROW(),"")</f>
        <v/>
      </c>
      <c r="W447">
        <f>IFERROR(VLOOKUP(A447,Opening!$A:$D,4,0),0)</f>
        <v/>
      </c>
    </row>
    <row r="448">
      <c r="A448">
        <f>IF(Transactions!D448="","",UPPER(TRIM(Transactions!D448)))</f>
        <v/>
      </c>
      <c r="B448">
        <f>IF(Transactions!C448="","",UPPER(TRIM(Transactions!C448)))</f>
        <v/>
      </c>
      <c r="C448">
        <f>IF(Transactions!B448="",0,YEAR(Transactions!B448)*100+MONTH(Transactions!B448))</f>
        <v/>
      </c>
      <c r="D448">
        <f>IF(Transactions!A448="",1,IF(COUNTIF(Transactions!$A$1:A447,Transactions!A448)&gt;0,1,0))</f>
        <v/>
      </c>
      <c r="E448">
        <f>IF(D448=1,0,IF(B448="RETURN",IF(COUNTIFS($A$1:A447,A448,$B$1:B447,"SALE",$E$1:E447,1)&gt;0,1,0),1))</f>
        <v/>
      </c>
      <c r="F448">
        <f>IF(E448=1,IF(B448="RECEIPT",Transactions!E448,IF(AND(B448="RETURN",LOWER(TRIM(Transactions!H448))="resellable"),Transactions!E448,0)),0)</f>
        <v/>
      </c>
      <c r="G448">
        <f>IF(F448&gt;0,IF(B448="RECEIPT",Transactions!F448,IF(_xlfn.MAXIFS($H$2:H448,$A$2:A448,A448)&gt;0,INDEX(Transactions!$F:$F,_xlfn.MAXIFS($H$2:H448,$A$2:A448,A448)),W448)),0)</f>
        <v/>
      </c>
      <c r="H448">
        <f>IF(AND(E448=1,B448="RECEIPT"),ROW(),0)</f>
        <v/>
      </c>
      <c r="I448">
        <f>IF(E448=1,IF(OR(B448="SALE",B448="WRITEOFF"),Transactions!E448,0),0)</f>
        <v/>
      </c>
      <c r="J448">
        <f>SUMIFS($F$1:F447,$A$1:A447,A448)</f>
        <v/>
      </c>
      <c r="K448">
        <f>SUMIFS($I$1:I447,$A$1:A447,A448)</f>
        <v/>
      </c>
      <c r="L448">
        <f>IFERROR(VLOOKUP(A448,Opening!$A:$C,3,0),0)</f>
        <v/>
      </c>
      <c r="M448">
        <f>IF(I448=0,0,MAX(0,MIN(INDEX(Month!H$2:H$13,MATCH($A448,Month!$A$2:$A$13,0))-K448,I448)))</f>
        <v/>
      </c>
      <c r="N448">
        <f>IF(I448=0,0,MAX(0,MIN(INDEX(Month!I$2:I$13,MATCH($A448,Month!$A$2:$A$13,0))-K448,I448)))</f>
        <v/>
      </c>
      <c r="O448">
        <f>IF(I448=0,0,MAX(0,MIN(INDEX(Month!J$2:J$13,MATCH($A448,Month!$A$2:$A$13,0))-K448,I448)))</f>
        <v/>
      </c>
      <c r="P448">
        <f>IF(I448=0,0,(MIN(MAX(K448,0),L448)*W448+SUMPRODUCT((Calc!$A$2:$A$1001=A448)*Calc!$G$2:$G$1001*(((K448-(L448+Calc!$J$2:$J$1001))&gt;0)*((K448-(L448+Calc!$J$2:$J$1001))&lt;Calc!$F$2:$F$1001)*(K448-(L448+Calc!$J$2:$J$1001))+((K448-(L448+Calc!$J$2:$J$1001))&gt;=Calc!$F$2:$F$1001)*Calc!$F$2:$F$1001))))</f>
        <v/>
      </c>
      <c r="Q448">
        <f>IF(I448=0,0,(MIN(MAX((K448+M448),0),L448)*W448+SUMPRODUCT((Calc!$A$2:$A$1001=A448)*Calc!$G$2:$G$1001*((((K448+M448)-(L448+Calc!$J$2:$J$1001))&gt;0)*(((K448+M448)-(L448+Calc!$J$2:$J$1001))&lt;Calc!$F$2:$F$1001)*((K448+M448)-(L448+Calc!$J$2:$J$1001))+(((K448+M448)-(L448+Calc!$J$2:$J$1001))&gt;=Calc!$F$2:$F$1001)*Calc!$F$2:$F$1001))))</f>
        <v/>
      </c>
      <c r="R448">
        <f>IF(I448=0,0,(MIN(MAX((K448+N448),0),L448)*W448+SUMPRODUCT((Calc!$A$2:$A$1001=A448)*Calc!$G$2:$G$1001*((((K448+N448)-(L448+Calc!$J$2:$J$1001))&gt;0)*(((K448+N448)-(L448+Calc!$J$2:$J$1001))&lt;Calc!$F$2:$F$1001)*((K448+N448)-(L448+Calc!$J$2:$J$1001))+(((K448+N448)-(L448+Calc!$J$2:$J$1001))&gt;=Calc!$F$2:$F$1001)*Calc!$F$2:$F$1001))))</f>
        <v/>
      </c>
      <c r="S448">
        <f>IF(I448=0,0,(MIN(MAX((K448+O448),0),L448)*W448+SUMPRODUCT((Calc!$A$2:$A$1001=A448)*Calc!$G$2:$G$1001*((((K448+O448)-(L448+Calc!$J$2:$J$1001))&gt;0)*(((K448+O448)-(L448+Calc!$J$2:$J$1001))&lt;Calc!$F$2:$F$1001)*((K448+O448)-(L448+Calc!$J$2:$J$1001))+(((K448+O448)-(L448+Calc!$J$2:$J$1001))&gt;=Calc!$F$2:$F$1001)*Calc!$F$2:$F$1001))))</f>
        <v/>
      </c>
      <c r="T448">
        <f>IF(AND(E448=1,B448="RETURN"),Transactions!E448*Transactions!G448,0)</f>
        <v/>
      </c>
      <c r="U448">
        <f>IF(AND(E448=1,B448="EXPENSE"),Transactions!J448,0)</f>
        <v/>
      </c>
      <c r="V448">
        <f>IF(AND(Transactions!A448&lt;&gt;"",E448=0),ROW(),"")</f>
        <v/>
      </c>
      <c r="W448">
        <f>IFERROR(VLOOKUP(A448,Opening!$A:$D,4,0),0)</f>
        <v/>
      </c>
    </row>
    <row r="449">
      <c r="A449">
        <f>IF(Transactions!D449="","",UPPER(TRIM(Transactions!D449)))</f>
        <v/>
      </c>
      <c r="B449">
        <f>IF(Transactions!C449="","",UPPER(TRIM(Transactions!C449)))</f>
        <v/>
      </c>
      <c r="C449">
        <f>IF(Transactions!B449="",0,YEAR(Transactions!B449)*100+MONTH(Transactions!B449))</f>
        <v/>
      </c>
      <c r="D449">
        <f>IF(Transactions!A449="",1,IF(COUNTIF(Transactions!$A$1:A448,Transactions!A449)&gt;0,1,0))</f>
        <v/>
      </c>
      <c r="E449">
        <f>IF(D449=1,0,IF(B449="RETURN",IF(COUNTIFS($A$1:A448,A449,$B$1:B448,"SALE",$E$1:E448,1)&gt;0,1,0),1))</f>
        <v/>
      </c>
      <c r="F449">
        <f>IF(E449=1,IF(B449="RECEIPT",Transactions!E449,IF(AND(B449="RETURN",LOWER(TRIM(Transactions!H449))="resellable"),Transactions!E449,0)),0)</f>
        <v/>
      </c>
      <c r="G449">
        <f>IF(F449&gt;0,IF(B449="RECEIPT",Transactions!F449,IF(_xlfn.MAXIFS($H$2:H449,$A$2:A449,A449)&gt;0,INDEX(Transactions!$F:$F,_xlfn.MAXIFS($H$2:H449,$A$2:A449,A449)),W449)),0)</f>
        <v/>
      </c>
      <c r="H449">
        <f>IF(AND(E449=1,B449="RECEIPT"),ROW(),0)</f>
        <v/>
      </c>
      <c r="I449">
        <f>IF(E449=1,IF(OR(B449="SALE",B449="WRITEOFF"),Transactions!E449,0),0)</f>
        <v/>
      </c>
      <c r="J449">
        <f>SUMIFS($F$1:F448,$A$1:A448,A449)</f>
        <v/>
      </c>
      <c r="K449">
        <f>SUMIFS($I$1:I448,$A$1:A448,A449)</f>
        <v/>
      </c>
      <c r="L449">
        <f>IFERROR(VLOOKUP(A449,Opening!$A:$C,3,0),0)</f>
        <v/>
      </c>
      <c r="M449">
        <f>IF(I449=0,0,MAX(0,MIN(INDEX(Month!H$2:H$13,MATCH($A449,Month!$A$2:$A$13,0))-K449,I449)))</f>
        <v/>
      </c>
      <c r="N449">
        <f>IF(I449=0,0,MAX(0,MIN(INDEX(Month!I$2:I$13,MATCH($A449,Month!$A$2:$A$13,0))-K449,I449)))</f>
        <v/>
      </c>
      <c r="O449">
        <f>IF(I449=0,0,MAX(0,MIN(INDEX(Month!J$2:J$13,MATCH($A449,Month!$A$2:$A$13,0))-K449,I449)))</f>
        <v/>
      </c>
      <c r="P449">
        <f>IF(I449=0,0,(MIN(MAX(K449,0),L449)*W449+SUMPRODUCT((Calc!$A$2:$A$1001=A449)*Calc!$G$2:$G$1001*(((K449-(L449+Calc!$J$2:$J$1001))&gt;0)*((K449-(L449+Calc!$J$2:$J$1001))&lt;Calc!$F$2:$F$1001)*(K449-(L449+Calc!$J$2:$J$1001))+((K449-(L449+Calc!$J$2:$J$1001))&gt;=Calc!$F$2:$F$1001)*Calc!$F$2:$F$1001))))</f>
        <v/>
      </c>
      <c r="Q449">
        <f>IF(I449=0,0,(MIN(MAX((K449+M449),0),L449)*W449+SUMPRODUCT((Calc!$A$2:$A$1001=A449)*Calc!$G$2:$G$1001*((((K449+M449)-(L449+Calc!$J$2:$J$1001))&gt;0)*(((K449+M449)-(L449+Calc!$J$2:$J$1001))&lt;Calc!$F$2:$F$1001)*((K449+M449)-(L449+Calc!$J$2:$J$1001))+(((K449+M449)-(L449+Calc!$J$2:$J$1001))&gt;=Calc!$F$2:$F$1001)*Calc!$F$2:$F$1001))))</f>
        <v/>
      </c>
      <c r="R449">
        <f>IF(I449=0,0,(MIN(MAX((K449+N449),0),L449)*W449+SUMPRODUCT((Calc!$A$2:$A$1001=A449)*Calc!$G$2:$G$1001*((((K449+N449)-(L449+Calc!$J$2:$J$1001))&gt;0)*(((K449+N449)-(L449+Calc!$J$2:$J$1001))&lt;Calc!$F$2:$F$1001)*((K449+N449)-(L449+Calc!$J$2:$J$1001))+(((K449+N449)-(L449+Calc!$J$2:$J$1001))&gt;=Calc!$F$2:$F$1001)*Calc!$F$2:$F$1001))))</f>
        <v/>
      </c>
      <c r="S449">
        <f>IF(I449=0,0,(MIN(MAX((K449+O449),0),L449)*W449+SUMPRODUCT((Calc!$A$2:$A$1001=A449)*Calc!$G$2:$G$1001*((((K449+O449)-(L449+Calc!$J$2:$J$1001))&gt;0)*(((K449+O449)-(L449+Calc!$J$2:$J$1001))&lt;Calc!$F$2:$F$1001)*((K449+O449)-(L449+Calc!$J$2:$J$1001))+(((K449+O449)-(L449+Calc!$J$2:$J$1001))&gt;=Calc!$F$2:$F$1001)*Calc!$F$2:$F$1001))))</f>
        <v/>
      </c>
      <c r="T449">
        <f>IF(AND(E449=1,B449="RETURN"),Transactions!E449*Transactions!G449,0)</f>
        <v/>
      </c>
      <c r="U449">
        <f>IF(AND(E449=1,B449="EXPENSE"),Transactions!J449,0)</f>
        <v/>
      </c>
      <c r="V449">
        <f>IF(AND(Transactions!A449&lt;&gt;"",E449=0),ROW(),"")</f>
        <v/>
      </c>
      <c r="W449">
        <f>IFERROR(VLOOKUP(A449,Opening!$A:$D,4,0),0)</f>
        <v/>
      </c>
    </row>
    <row r="450">
      <c r="A450">
        <f>IF(Transactions!D450="","",UPPER(TRIM(Transactions!D450)))</f>
        <v/>
      </c>
      <c r="B450">
        <f>IF(Transactions!C450="","",UPPER(TRIM(Transactions!C450)))</f>
        <v/>
      </c>
      <c r="C450">
        <f>IF(Transactions!B450="",0,YEAR(Transactions!B450)*100+MONTH(Transactions!B450))</f>
        <v/>
      </c>
      <c r="D450">
        <f>IF(Transactions!A450="",1,IF(COUNTIF(Transactions!$A$1:A449,Transactions!A450)&gt;0,1,0))</f>
        <v/>
      </c>
      <c r="E450">
        <f>IF(D450=1,0,IF(B450="RETURN",IF(COUNTIFS($A$1:A449,A450,$B$1:B449,"SALE",$E$1:E449,1)&gt;0,1,0),1))</f>
        <v/>
      </c>
      <c r="F450">
        <f>IF(E450=1,IF(B450="RECEIPT",Transactions!E450,IF(AND(B450="RETURN",LOWER(TRIM(Transactions!H450))="resellable"),Transactions!E450,0)),0)</f>
        <v/>
      </c>
      <c r="G450">
        <f>IF(F450&gt;0,IF(B450="RECEIPT",Transactions!F450,IF(_xlfn.MAXIFS($H$2:H450,$A$2:A450,A450)&gt;0,INDEX(Transactions!$F:$F,_xlfn.MAXIFS($H$2:H450,$A$2:A450,A450)),W450)),0)</f>
        <v/>
      </c>
      <c r="H450">
        <f>IF(AND(E450=1,B450="RECEIPT"),ROW(),0)</f>
        <v/>
      </c>
      <c r="I450">
        <f>IF(E450=1,IF(OR(B450="SALE",B450="WRITEOFF"),Transactions!E450,0),0)</f>
        <v/>
      </c>
      <c r="J450">
        <f>SUMIFS($F$1:F449,$A$1:A449,A450)</f>
        <v/>
      </c>
      <c r="K450">
        <f>SUMIFS($I$1:I449,$A$1:A449,A450)</f>
        <v/>
      </c>
      <c r="L450">
        <f>IFERROR(VLOOKUP(A450,Opening!$A:$C,3,0),0)</f>
        <v/>
      </c>
      <c r="M450">
        <f>IF(I450=0,0,MAX(0,MIN(INDEX(Month!H$2:H$13,MATCH($A450,Month!$A$2:$A$13,0))-K450,I450)))</f>
        <v/>
      </c>
      <c r="N450">
        <f>IF(I450=0,0,MAX(0,MIN(INDEX(Month!I$2:I$13,MATCH($A450,Month!$A$2:$A$13,0))-K450,I450)))</f>
        <v/>
      </c>
      <c r="O450">
        <f>IF(I450=0,0,MAX(0,MIN(INDEX(Month!J$2:J$13,MATCH($A450,Month!$A$2:$A$13,0))-K450,I450)))</f>
        <v/>
      </c>
      <c r="P450">
        <f>IF(I450=0,0,(MIN(MAX(K450,0),L450)*W450+SUMPRODUCT((Calc!$A$2:$A$1001=A450)*Calc!$G$2:$G$1001*(((K450-(L450+Calc!$J$2:$J$1001))&gt;0)*((K450-(L450+Calc!$J$2:$J$1001))&lt;Calc!$F$2:$F$1001)*(K450-(L450+Calc!$J$2:$J$1001))+((K450-(L450+Calc!$J$2:$J$1001))&gt;=Calc!$F$2:$F$1001)*Calc!$F$2:$F$1001))))</f>
        <v/>
      </c>
      <c r="Q450">
        <f>IF(I450=0,0,(MIN(MAX((K450+M450),0),L450)*W450+SUMPRODUCT((Calc!$A$2:$A$1001=A450)*Calc!$G$2:$G$1001*((((K450+M450)-(L450+Calc!$J$2:$J$1001))&gt;0)*(((K450+M450)-(L450+Calc!$J$2:$J$1001))&lt;Calc!$F$2:$F$1001)*((K450+M450)-(L450+Calc!$J$2:$J$1001))+(((K450+M450)-(L450+Calc!$J$2:$J$1001))&gt;=Calc!$F$2:$F$1001)*Calc!$F$2:$F$1001))))</f>
        <v/>
      </c>
      <c r="R450">
        <f>IF(I450=0,0,(MIN(MAX((K450+N450),0),L450)*W450+SUMPRODUCT((Calc!$A$2:$A$1001=A450)*Calc!$G$2:$G$1001*((((K450+N450)-(L450+Calc!$J$2:$J$1001))&gt;0)*(((K450+N450)-(L450+Calc!$J$2:$J$1001))&lt;Calc!$F$2:$F$1001)*((K450+N450)-(L450+Calc!$J$2:$J$1001))+(((K450+N450)-(L450+Calc!$J$2:$J$1001))&gt;=Calc!$F$2:$F$1001)*Calc!$F$2:$F$1001))))</f>
        <v/>
      </c>
      <c r="S450">
        <f>IF(I450=0,0,(MIN(MAX((K450+O450),0),L450)*W450+SUMPRODUCT((Calc!$A$2:$A$1001=A450)*Calc!$G$2:$G$1001*((((K450+O450)-(L450+Calc!$J$2:$J$1001))&gt;0)*(((K450+O450)-(L450+Calc!$J$2:$J$1001))&lt;Calc!$F$2:$F$1001)*((K450+O450)-(L450+Calc!$J$2:$J$1001))+(((K450+O450)-(L450+Calc!$J$2:$J$1001))&gt;=Calc!$F$2:$F$1001)*Calc!$F$2:$F$1001))))</f>
        <v/>
      </c>
      <c r="T450">
        <f>IF(AND(E450=1,B450="RETURN"),Transactions!E450*Transactions!G450,0)</f>
        <v/>
      </c>
      <c r="U450">
        <f>IF(AND(E450=1,B450="EXPENSE"),Transactions!J450,0)</f>
        <v/>
      </c>
      <c r="V450">
        <f>IF(AND(Transactions!A450&lt;&gt;"",E450=0),ROW(),"")</f>
        <v/>
      </c>
      <c r="W450">
        <f>IFERROR(VLOOKUP(A450,Opening!$A:$D,4,0),0)</f>
        <v/>
      </c>
    </row>
    <row r="451">
      <c r="A451">
        <f>IF(Transactions!D451="","",UPPER(TRIM(Transactions!D451)))</f>
        <v/>
      </c>
      <c r="B451">
        <f>IF(Transactions!C451="","",UPPER(TRIM(Transactions!C451)))</f>
        <v/>
      </c>
      <c r="C451">
        <f>IF(Transactions!B451="",0,YEAR(Transactions!B451)*100+MONTH(Transactions!B451))</f>
        <v/>
      </c>
      <c r="D451">
        <f>IF(Transactions!A451="",1,IF(COUNTIF(Transactions!$A$1:A450,Transactions!A451)&gt;0,1,0))</f>
        <v/>
      </c>
      <c r="E451">
        <f>IF(D451=1,0,IF(B451="RETURN",IF(COUNTIFS($A$1:A450,A451,$B$1:B450,"SALE",$E$1:E450,1)&gt;0,1,0),1))</f>
        <v/>
      </c>
      <c r="F451">
        <f>IF(E451=1,IF(B451="RECEIPT",Transactions!E451,IF(AND(B451="RETURN",LOWER(TRIM(Transactions!H451))="resellable"),Transactions!E451,0)),0)</f>
        <v/>
      </c>
      <c r="G451">
        <f>IF(F451&gt;0,IF(B451="RECEIPT",Transactions!F451,IF(_xlfn.MAXIFS($H$2:H451,$A$2:A451,A451)&gt;0,INDEX(Transactions!$F:$F,_xlfn.MAXIFS($H$2:H451,$A$2:A451,A451)),W451)),0)</f>
        <v/>
      </c>
      <c r="H451">
        <f>IF(AND(E451=1,B451="RECEIPT"),ROW(),0)</f>
        <v/>
      </c>
      <c r="I451">
        <f>IF(E451=1,IF(OR(B451="SALE",B451="WRITEOFF"),Transactions!E451,0),0)</f>
        <v/>
      </c>
      <c r="J451">
        <f>SUMIFS($F$1:F450,$A$1:A450,A451)</f>
        <v/>
      </c>
      <c r="K451">
        <f>SUMIFS($I$1:I450,$A$1:A450,A451)</f>
        <v/>
      </c>
      <c r="L451">
        <f>IFERROR(VLOOKUP(A451,Opening!$A:$C,3,0),0)</f>
        <v/>
      </c>
      <c r="M451">
        <f>IF(I451=0,0,MAX(0,MIN(INDEX(Month!H$2:H$13,MATCH($A451,Month!$A$2:$A$13,0))-K451,I451)))</f>
        <v/>
      </c>
      <c r="N451">
        <f>IF(I451=0,0,MAX(0,MIN(INDEX(Month!I$2:I$13,MATCH($A451,Month!$A$2:$A$13,0))-K451,I451)))</f>
        <v/>
      </c>
      <c r="O451">
        <f>IF(I451=0,0,MAX(0,MIN(INDEX(Month!J$2:J$13,MATCH($A451,Month!$A$2:$A$13,0))-K451,I451)))</f>
        <v/>
      </c>
      <c r="P451">
        <f>IF(I451=0,0,(MIN(MAX(K451,0),L451)*W451+SUMPRODUCT((Calc!$A$2:$A$1001=A451)*Calc!$G$2:$G$1001*(((K451-(L451+Calc!$J$2:$J$1001))&gt;0)*((K451-(L451+Calc!$J$2:$J$1001))&lt;Calc!$F$2:$F$1001)*(K451-(L451+Calc!$J$2:$J$1001))+((K451-(L451+Calc!$J$2:$J$1001))&gt;=Calc!$F$2:$F$1001)*Calc!$F$2:$F$1001))))</f>
        <v/>
      </c>
      <c r="Q451">
        <f>IF(I451=0,0,(MIN(MAX((K451+M451),0),L451)*W451+SUMPRODUCT((Calc!$A$2:$A$1001=A451)*Calc!$G$2:$G$1001*((((K451+M451)-(L451+Calc!$J$2:$J$1001))&gt;0)*(((K451+M451)-(L451+Calc!$J$2:$J$1001))&lt;Calc!$F$2:$F$1001)*((K451+M451)-(L451+Calc!$J$2:$J$1001))+(((K451+M451)-(L451+Calc!$J$2:$J$1001))&gt;=Calc!$F$2:$F$1001)*Calc!$F$2:$F$1001))))</f>
        <v/>
      </c>
      <c r="R451">
        <f>IF(I451=0,0,(MIN(MAX((K451+N451),0),L451)*W451+SUMPRODUCT((Calc!$A$2:$A$1001=A451)*Calc!$G$2:$G$1001*((((K451+N451)-(L451+Calc!$J$2:$J$1001))&gt;0)*(((K451+N451)-(L451+Calc!$J$2:$J$1001))&lt;Calc!$F$2:$F$1001)*((K451+N451)-(L451+Calc!$J$2:$J$1001))+(((K451+N451)-(L451+Calc!$J$2:$J$1001))&gt;=Calc!$F$2:$F$1001)*Calc!$F$2:$F$1001))))</f>
        <v/>
      </c>
      <c r="S451">
        <f>IF(I451=0,0,(MIN(MAX((K451+O451),0),L451)*W451+SUMPRODUCT((Calc!$A$2:$A$1001=A451)*Calc!$G$2:$G$1001*((((K451+O451)-(L451+Calc!$J$2:$J$1001))&gt;0)*(((K451+O451)-(L451+Calc!$J$2:$J$1001))&lt;Calc!$F$2:$F$1001)*((K451+O451)-(L451+Calc!$J$2:$J$1001))+(((K451+O451)-(L451+Calc!$J$2:$J$1001))&gt;=Calc!$F$2:$F$1001)*Calc!$F$2:$F$1001))))</f>
        <v/>
      </c>
      <c r="T451">
        <f>IF(AND(E451=1,B451="RETURN"),Transactions!E451*Transactions!G451,0)</f>
        <v/>
      </c>
      <c r="U451">
        <f>IF(AND(E451=1,B451="EXPENSE"),Transactions!J451,0)</f>
        <v/>
      </c>
      <c r="V451">
        <f>IF(AND(Transactions!A451&lt;&gt;"",E451=0),ROW(),"")</f>
        <v/>
      </c>
      <c r="W451">
        <f>IFERROR(VLOOKUP(A451,Opening!$A:$D,4,0),0)</f>
        <v/>
      </c>
    </row>
    <row r="452">
      <c r="A452">
        <f>IF(Transactions!D452="","",UPPER(TRIM(Transactions!D452)))</f>
        <v/>
      </c>
      <c r="B452">
        <f>IF(Transactions!C452="","",UPPER(TRIM(Transactions!C452)))</f>
        <v/>
      </c>
      <c r="C452">
        <f>IF(Transactions!B452="",0,YEAR(Transactions!B452)*100+MONTH(Transactions!B452))</f>
        <v/>
      </c>
      <c r="D452">
        <f>IF(Transactions!A452="",1,IF(COUNTIF(Transactions!$A$1:A451,Transactions!A452)&gt;0,1,0))</f>
        <v/>
      </c>
      <c r="E452">
        <f>IF(D452=1,0,IF(B452="RETURN",IF(COUNTIFS($A$1:A451,A452,$B$1:B451,"SALE",$E$1:E451,1)&gt;0,1,0),1))</f>
        <v/>
      </c>
      <c r="F452">
        <f>IF(E452=1,IF(B452="RECEIPT",Transactions!E452,IF(AND(B452="RETURN",LOWER(TRIM(Transactions!H452))="resellable"),Transactions!E452,0)),0)</f>
        <v/>
      </c>
      <c r="G452">
        <f>IF(F452&gt;0,IF(B452="RECEIPT",Transactions!F452,IF(_xlfn.MAXIFS($H$2:H452,$A$2:A452,A452)&gt;0,INDEX(Transactions!$F:$F,_xlfn.MAXIFS($H$2:H452,$A$2:A452,A452)),W452)),0)</f>
        <v/>
      </c>
      <c r="H452">
        <f>IF(AND(E452=1,B452="RECEIPT"),ROW(),0)</f>
        <v/>
      </c>
      <c r="I452">
        <f>IF(E452=1,IF(OR(B452="SALE",B452="WRITEOFF"),Transactions!E452,0),0)</f>
        <v/>
      </c>
      <c r="J452">
        <f>SUMIFS($F$1:F451,$A$1:A451,A452)</f>
        <v/>
      </c>
      <c r="K452">
        <f>SUMIFS($I$1:I451,$A$1:A451,A452)</f>
        <v/>
      </c>
      <c r="L452">
        <f>IFERROR(VLOOKUP(A452,Opening!$A:$C,3,0),0)</f>
        <v/>
      </c>
      <c r="M452">
        <f>IF(I452=0,0,MAX(0,MIN(INDEX(Month!H$2:H$13,MATCH($A452,Month!$A$2:$A$13,0))-K452,I452)))</f>
        <v/>
      </c>
      <c r="N452">
        <f>IF(I452=0,0,MAX(0,MIN(INDEX(Month!I$2:I$13,MATCH($A452,Month!$A$2:$A$13,0))-K452,I452)))</f>
        <v/>
      </c>
      <c r="O452">
        <f>IF(I452=0,0,MAX(0,MIN(INDEX(Month!J$2:J$13,MATCH($A452,Month!$A$2:$A$13,0))-K452,I452)))</f>
        <v/>
      </c>
      <c r="P452">
        <f>IF(I452=0,0,(MIN(MAX(K452,0),L452)*W452+SUMPRODUCT((Calc!$A$2:$A$1001=A452)*Calc!$G$2:$G$1001*(((K452-(L452+Calc!$J$2:$J$1001))&gt;0)*((K452-(L452+Calc!$J$2:$J$1001))&lt;Calc!$F$2:$F$1001)*(K452-(L452+Calc!$J$2:$J$1001))+((K452-(L452+Calc!$J$2:$J$1001))&gt;=Calc!$F$2:$F$1001)*Calc!$F$2:$F$1001))))</f>
        <v/>
      </c>
      <c r="Q452">
        <f>IF(I452=0,0,(MIN(MAX((K452+M452),0),L452)*W452+SUMPRODUCT((Calc!$A$2:$A$1001=A452)*Calc!$G$2:$G$1001*((((K452+M452)-(L452+Calc!$J$2:$J$1001))&gt;0)*(((K452+M452)-(L452+Calc!$J$2:$J$1001))&lt;Calc!$F$2:$F$1001)*((K452+M452)-(L452+Calc!$J$2:$J$1001))+(((K452+M452)-(L452+Calc!$J$2:$J$1001))&gt;=Calc!$F$2:$F$1001)*Calc!$F$2:$F$1001))))</f>
        <v/>
      </c>
      <c r="R452">
        <f>IF(I452=0,0,(MIN(MAX((K452+N452),0),L452)*W452+SUMPRODUCT((Calc!$A$2:$A$1001=A452)*Calc!$G$2:$G$1001*((((K452+N452)-(L452+Calc!$J$2:$J$1001))&gt;0)*(((K452+N452)-(L452+Calc!$J$2:$J$1001))&lt;Calc!$F$2:$F$1001)*((K452+N452)-(L452+Calc!$J$2:$J$1001))+(((K452+N452)-(L452+Calc!$J$2:$J$1001))&gt;=Calc!$F$2:$F$1001)*Calc!$F$2:$F$1001))))</f>
        <v/>
      </c>
      <c r="S452">
        <f>IF(I452=0,0,(MIN(MAX((K452+O452),0),L452)*W452+SUMPRODUCT((Calc!$A$2:$A$1001=A452)*Calc!$G$2:$G$1001*((((K452+O452)-(L452+Calc!$J$2:$J$1001))&gt;0)*(((K452+O452)-(L452+Calc!$J$2:$J$1001))&lt;Calc!$F$2:$F$1001)*((K452+O452)-(L452+Calc!$J$2:$J$1001))+(((K452+O452)-(L452+Calc!$J$2:$J$1001))&gt;=Calc!$F$2:$F$1001)*Calc!$F$2:$F$1001))))</f>
        <v/>
      </c>
      <c r="T452">
        <f>IF(AND(E452=1,B452="RETURN"),Transactions!E452*Transactions!G452,0)</f>
        <v/>
      </c>
      <c r="U452">
        <f>IF(AND(E452=1,B452="EXPENSE"),Transactions!J452,0)</f>
        <v/>
      </c>
      <c r="V452">
        <f>IF(AND(Transactions!A452&lt;&gt;"",E452=0),ROW(),"")</f>
        <v/>
      </c>
      <c r="W452">
        <f>IFERROR(VLOOKUP(A452,Opening!$A:$D,4,0),0)</f>
        <v/>
      </c>
    </row>
    <row r="453">
      <c r="A453">
        <f>IF(Transactions!D453="","",UPPER(TRIM(Transactions!D453)))</f>
        <v/>
      </c>
      <c r="B453">
        <f>IF(Transactions!C453="","",UPPER(TRIM(Transactions!C453)))</f>
        <v/>
      </c>
      <c r="C453">
        <f>IF(Transactions!B453="",0,YEAR(Transactions!B453)*100+MONTH(Transactions!B453))</f>
        <v/>
      </c>
      <c r="D453">
        <f>IF(Transactions!A453="",1,IF(COUNTIF(Transactions!$A$1:A452,Transactions!A453)&gt;0,1,0))</f>
        <v/>
      </c>
      <c r="E453">
        <f>IF(D453=1,0,IF(B453="RETURN",IF(COUNTIFS($A$1:A452,A453,$B$1:B452,"SALE",$E$1:E452,1)&gt;0,1,0),1))</f>
        <v/>
      </c>
      <c r="F453">
        <f>IF(E453=1,IF(B453="RECEIPT",Transactions!E453,IF(AND(B453="RETURN",LOWER(TRIM(Transactions!H453))="resellable"),Transactions!E453,0)),0)</f>
        <v/>
      </c>
      <c r="G453">
        <f>IF(F453&gt;0,IF(B453="RECEIPT",Transactions!F453,IF(_xlfn.MAXIFS($H$2:H453,$A$2:A453,A453)&gt;0,INDEX(Transactions!$F:$F,_xlfn.MAXIFS($H$2:H453,$A$2:A453,A453)),W453)),0)</f>
        <v/>
      </c>
      <c r="H453">
        <f>IF(AND(E453=1,B453="RECEIPT"),ROW(),0)</f>
        <v/>
      </c>
      <c r="I453">
        <f>IF(E453=1,IF(OR(B453="SALE",B453="WRITEOFF"),Transactions!E453,0),0)</f>
        <v/>
      </c>
      <c r="J453">
        <f>SUMIFS($F$1:F452,$A$1:A452,A453)</f>
        <v/>
      </c>
      <c r="K453">
        <f>SUMIFS($I$1:I452,$A$1:A452,A453)</f>
        <v/>
      </c>
      <c r="L453">
        <f>IFERROR(VLOOKUP(A453,Opening!$A:$C,3,0),0)</f>
        <v/>
      </c>
      <c r="M453">
        <f>IF(I453=0,0,MAX(0,MIN(INDEX(Month!H$2:H$13,MATCH($A453,Month!$A$2:$A$13,0))-K453,I453)))</f>
        <v/>
      </c>
      <c r="N453">
        <f>IF(I453=0,0,MAX(0,MIN(INDEX(Month!I$2:I$13,MATCH($A453,Month!$A$2:$A$13,0))-K453,I453)))</f>
        <v/>
      </c>
      <c r="O453">
        <f>IF(I453=0,0,MAX(0,MIN(INDEX(Month!J$2:J$13,MATCH($A453,Month!$A$2:$A$13,0))-K453,I453)))</f>
        <v/>
      </c>
      <c r="P453">
        <f>IF(I453=0,0,(MIN(MAX(K453,0),L453)*W453+SUMPRODUCT((Calc!$A$2:$A$1001=A453)*Calc!$G$2:$G$1001*(((K453-(L453+Calc!$J$2:$J$1001))&gt;0)*((K453-(L453+Calc!$J$2:$J$1001))&lt;Calc!$F$2:$F$1001)*(K453-(L453+Calc!$J$2:$J$1001))+((K453-(L453+Calc!$J$2:$J$1001))&gt;=Calc!$F$2:$F$1001)*Calc!$F$2:$F$1001))))</f>
        <v/>
      </c>
      <c r="Q453">
        <f>IF(I453=0,0,(MIN(MAX((K453+M453),0),L453)*W453+SUMPRODUCT((Calc!$A$2:$A$1001=A453)*Calc!$G$2:$G$1001*((((K453+M453)-(L453+Calc!$J$2:$J$1001))&gt;0)*(((K453+M453)-(L453+Calc!$J$2:$J$1001))&lt;Calc!$F$2:$F$1001)*((K453+M453)-(L453+Calc!$J$2:$J$1001))+(((K453+M453)-(L453+Calc!$J$2:$J$1001))&gt;=Calc!$F$2:$F$1001)*Calc!$F$2:$F$1001))))</f>
        <v/>
      </c>
      <c r="R453">
        <f>IF(I453=0,0,(MIN(MAX((K453+N453),0),L453)*W453+SUMPRODUCT((Calc!$A$2:$A$1001=A453)*Calc!$G$2:$G$1001*((((K453+N453)-(L453+Calc!$J$2:$J$1001))&gt;0)*(((K453+N453)-(L453+Calc!$J$2:$J$1001))&lt;Calc!$F$2:$F$1001)*((K453+N453)-(L453+Calc!$J$2:$J$1001))+(((K453+N453)-(L453+Calc!$J$2:$J$1001))&gt;=Calc!$F$2:$F$1001)*Calc!$F$2:$F$1001))))</f>
        <v/>
      </c>
      <c r="S453">
        <f>IF(I453=0,0,(MIN(MAX((K453+O453),0),L453)*W453+SUMPRODUCT((Calc!$A$2:$A$1001=A453)*Calc!$G$2:$G$1001*((((K453+O453)-(L453+Calc!$J$2:$J$1001))&gt;0)*(((K453+O453)-(L453+Calc!$J$2:$J$1001))&lt;Calc!$F$2:$F$1001)*((K453+O453)-(L453+Calc!$J$2:$J$1001))+(((K453+O453)-(L453+Calc!$J$2:$J$1001))&gt;=Calc!$F$2:$F$1001)*Calc!$F$2:$F$1001))))</f>
        <v/>
      </c>
      <c r="T453">
        <f>IF(AND(E453=1,B453="RETURN"),Transactions!E453*Transactions!G453,0)</f>
        <v/>
      </c>
      <c r="U453">
        <f>IF(AND(E453=1,B453="EXPENSE"),Transactions!J453,0)</f>
        <v/>
      </c>
      <c r="V453">
        <f>IF(AND(Transactions!A453&lt;&gt;"",E453=0),ROW(),"")</f>
        <v/>
      </c>
      <c r="W453">
        <f>IFERROR(VLOOKUP(A453,Opening!$A:$D,4,0),0)</f>
        <v/>
      </c>
    </row>
    <row r="454">
      <c r="A454">
        <f>IF(Transactions!D454="","",UPPER(TRIM(Transactions!D454)))</f>
        <v/>
      </c>
      <c r="B454">
        <f>IF(Transactions!C454="","",UPPER(TRIM(Transactions!C454)))</f>
        <v/>
      </c>
      <c r="C454">
        <f>IF(Transactions!B454="",0,YEAR(Transactions!B454)*100+MONTH(Transactions!B454))</f>
        <v/>
      </c>
      <c r="D454">
        <f>IF(Transactions!A454="",1,IF(COUNTIF(Transactions!$A$1:A453,Transactions!A454)&gt;0,1,0))</f>
        <v/>
      </c>
      <c r="E454">
        <f>IF(D454=1,0,IF(B454="RETURN",IF(COUNTIFS($A$1:A453,A454,$B$1:B453,"SALE",$E$1:E453,1)&gt;0,1,0),1))</f>
        <v/>
      </c>
      <c r="F454">
        <f>IF(E454=1,IF(B454="RECEIPT",Transactions!E454,IF(AND(B454="RETURN",LOWER(TRIM(Transactions!H454))="resellable"),Transactions!E454,0)),0)</f>
        <v/>
      </c>
      <c r="G454">
        <f>IF(F454&gt;0,IF(B454="RECEIPT",Transactions!F454,IF(_xlfn.MAXIFS($H$2:H454,$A$2:A454,A454)&gt;0,INDEX(Transactions!$F:$F,_xlfn.MAXIFS($H$2:H454,$A$2:A454,A454)),W454)),0)</f>
        <v/>
      </c>
      <c r="H454">
        <f>IF(AND(E454=1,B454="RECEIPT"),ROW(),0)</f>
        <v/>
      </c>
      <c r="I454">
        <f>IF(E454=1,IF(OR(B454="SALE",B454="WRITEOFF"),Transactions!E454,0),0)</f>
        <v/>
      </c>
      <c r="J454">
        <f>SUMIFS($F$1:F453,$A$1:A453,A454)</f>
        <v/>
      </c>
      <c r="K454">
        <f>SUMIFS($I$1:I453,$A$1:A453,A454)</f>
        <v/>
      </c>
      <c r="L454">
        <f>IFERROR(VLOOKUP(A454,Opening!$A:$C,3,0),0)</f>
        <v/>
      </c>
      <c r="M454">
        <f>IF(I454=0,0,MAX(0,MIN(INDEX(Month!H$2:H$13,MATCH($A454,Month!$A$2:$A$13,0))-K454,I454)))</f>
        <v/>
      </c>
      <c r="N454">
        <f>IF(I454=0,0,MAX(0,MIN(INDEX(Month!I$2:I$13,MATCH($A454,Month!$A$2:$A$13,0))-K454,I454)))</f>
        <v/>
      </c>
      <c r="O454">
        <f>IF(I454=0,0,MAX(0,MIN(INDEX(Month!J$2:J$13,MATCH($A454,Month!$A$2:$A$13,0))-K454,I454)))</f>
        <v/>
      </c>
      <c r="P454">
        <f>IF(I454=0,0,(MIN(MAX(K454,0),L454)*W454+SUMPRODUCT((Calc!$A$2:$A$1001=A454)*Calc!$G$2:$G$1001*(((K454-(L454+Calc!$J$2:$J$1001))&gt;0)*((K454-(L454+Calc!$J$2:$J$1001))&lt;Calc!$F$2:$F$1001)*(K454-(L454+Calc!$J$2:$J$1001))+((K454-(L454+Calc!$J$2:$J$1001))&gt;=Calc!$F$2:$F$1001)*Calc!$F$2:$F$1001))))</f>
        <v/>
      </c>
      <c r="Q454">
        <f>IF(I454=0,0,(MIN(MAX((K454+M454),0),L454)*W454+SUMPRODUCT((Calc!$A$2:$A$1001=A454)*Calc!$G$2:$G$1001*((((K454+M454)-(L454+Calc!$J$2:$J$1001))&gt;0)*(((K454+M454)-(L454+Calc!$J$2:$J$1001))&lt;Calc!$F$2:$F$1001)*((K454+M454)-(L454+Calc!$J$2:$J$1001))+(((K454+M454)-(L454+Calc!$J$2:$J$1001))&gt;=Calc!$F$2:$F$1001)*Calc!$F$2:$F$1001))))</f>
        <v/>
      </c>
      <c r="R454">
        <f>IF(I454=0,0,(MIN(MAX((K454+N454),0),L454)*W454+SUMPRODUCT((Calc!$A$2:$A$1001=A454)*Calc!$G$2:$G$1001*((((K454+N454)-(L454+Calc!$J$2:$J$1001))&gt;0)*(((K454+N454)-(L454+Calc!$J$2:$J$1001))&lt;Calc!$F$2:$F$1001)*((K454+N454)-(L454+Calc!$J$2:$J$1001))+(((K454+N454)-(L454+Calc!$J$2:$J$1001))&gt;=Calc!$F$2:$F$1001)*Calc!$F$2:$F$1001))))</f>
        <v/>
      </c>
      <c r="S454">
        <f>IF(I454=0,0,(MIN(MAX((K454+O454),0),L454)*W454+SUMPRODUCT((Calc!$A$2:$A$1001=A454)*Calc!$G$2:$G$1001*((((K454+O454)-(L454+Calc!$J$2:$J$1001))&gt;0)*(((K454+O454)-(L454+Calc!$J$2:$J$1001))&lt;Calc!$F$2:$F$1001)*((K454+O454)-(L454+Calc!$J$2:$J$1001))+(((K454+O454)-(L454+Calc!$J$2:$J$1001))&gt;=Calc!$F$2:$F$1001)*Calc!$F$2:$F$1001))))</f>
        <v/>
      </c>
      <c r="T454">
        <f>IF(AND(E454=1,B454="RETURN"),Transactions!E454*Transactions!G454,0)</f>
        <v/>
      </c>
      <c r="U454">
        <f>IF(AND(E454=1,B454="EXPENSE"),Transactions!J454,0)</f>
        <v/>
      </c>
      <c r="V454">
        <f>IF(AND(Transactions!A454&lt;&gt;"",E454=0),ROW(),"")</f>
        <v/>
      </c>
      <c r="W454">
        <f>IFERROR(VLOOKUP(A454,Opening!$A:$D,4,0),0)</f>
        <v/>
      </c>
    </row>
    <row r="455">
      <c r="A455">
        <f>IF(Transactions!D455="","",UPPER(TRIM(Transactions!D455)))</f>
        <v/>
      </c>
      <c r="B455">
        <f>IF(Transactions!C455="","",UPPER(TRIM(Transactions!C455)))</f>
        <v/>
      </c>
      <c r="C455">
        <f>IF(Transactions!B455="",0,YEAR(Transactions!B455)*100+MONTH(Transactions!B455))</f>
        <v/>
      </c>
      <c r="D455">
        <f>IF(Transactions!A455="",1,IF(COUNTIF(Transactions!$A$1:A454,Transactions!A455)&gt;0,1,0))</f>
        <v/>
      </c>
      <c r="E455">
        <f>IF(D455=1,0,IF(B455="RETURN",IF(COUNTIFS($A$1:A454,A455,$B$1:B454,"SALE",$E$1:E454,1)&gt;0,1,0),1))</f>
        <v/>
      </c>
      <c r="F455">
        <f>IF(E455=1,IF(B455="RECEIPT",Transactions!E455,IF(AND(B455="RETURN",LOWER(TRIM(Transactions!H455))="resellable"),Transactions!E455,0)),0)</f>
        <v/>
      </c>
      <c r="G455">
        <f>IF(F455&gt;0,IF(B455="RECEIPT",Transactions!F455,IF(_xlfn.MAXIFS($H$2:H455,$A$2:A455,A455)&gt;0,INDEX(Transactions!$F:$F,_xlfn.MAXIFS($H$2:H455,$A$2:A455,A455)),W455)),0)</f>
        <v/>
      </c>
      <c r="H455">
        <f>IF(AND(E455=1,B455="RECEIPT"),ROW(),0)</f>
        <v/>
      </c>
      <c r="I455">
        <f>IF(E455=1,IF(OR(B455="SALE",B455="WRITEOFF"),Transactions!E455,0),0)</f>
        <v/>
      </c>
      <c r="J455">
        <f>SUMIFS($F$1:F454,$A$1:A454,A455)</f>
        <v/>
      </c>
      <c r="K455">
        <f>SUMIFS($I$1:I454,$A$1:A454,A455)</f>
        <v/>
      </c>
      <c r="L455">
        <f>IFERROR(VLOOKUP(A455,Opening!$A:$C,3,0),0)</f>
        <v/>
      </c>
      <c r="M455">
        <f>IF(I455=0,0,MAX(0,MIN(INDEX(Month!H$2:H$13,MATCH($A455,Month!$A$2:$A$13,0))-K455,I455)))</f>
        <v/>
      </c>
      <c r="N455">
        <f>IF(I455=0,0,MAX(0,MIN(INDEX(Month!I$2:I$13,MATCH($A455,Month!$A$2:$A$13,0))-K455,I455)))</f>
        <v/>
      </c>
      <c r="O455">
        <f>IF(I455=0,0,MAX(0,MIN(INDEX(Month!J$2:J$13,MATCH($A455,Month!$A$2:$A$13,0))-K455,I455)))</f>
        <v/>
      </c>
      <c r="P455">
        <f>IF(I455=0,0,(MIN(MAX(K455,0),L455)*W455+SUMPRODUCT((Calc!$A$2:$A$1001=A455)*Calc!$G$2:$G$1001*(((K455-(L455+Calc!$J$2:$J$1001))&gt;0)*((K455-(L455+Calc!$J$2:$J$1001))&lt;Calc!$F$2:$F$1001)*(K455-(L455+Calc!$J$2:$J$1001))+((K455-(L455+Calc!$J$2:$J$1001))&gt;=Calc!$F$2:$F$1001)*Calc!$F$2:$F$1001))))</f>
        <v/>
      </c>
      <c r="Q455">
        <f>IF(I455=0,0,(MIN(MAX((K455+M455),0),L455)*W455+SUMPRODUCT((Calc!$A$2:$A$1001=A455)*Calc!$G$2:$G$1001*((((K455+M455)-(L455+Calc!$J$2:$J$1001))&gt;0)*(((K455+M455)-(L455+Calc!$J$2:$J$1001))&lt;Calc!$F$2:$F$1001)*((K455+M455)-(L455+Calc!$J$2:$J$1001))+(((K455+M455)-(L455+Calc!$J$2:$J$1001))&gt;=Calc!$F$2:$F$1001)*Calc!$F$2:$F$1001))))</f>
        <v/>
      </c>
      <c r="R455">
        <f>IF(I455=0,0,(MIN(MAX((K455+N455),0),L455)*W455+SUMPRODUCT((Calc!$A$2:$A$1001=A455)*Calc!$G$2:$G$1001*((((K455+N455)-(L455+Calc!$J$2:$J$1001))&gt;0)*(((K455+N455)-(L455+Calc!$J$2:$J$1001))&lt;Calc!$F$2:$F$1001)*((K455+N455)-(L455+Calc!$J$2:$J$1001))+(((K455+N455)-(L455+Calc!$J$2:$J$1001))&gt;=Calc!$F$2:$F$1001)*Calc!$F$2:$F$1001))))</f>
        <v/>
      </c>
      <c r="S455">
        <f>IF(I455=0,0,(MIN(MAX((K455+O455),0),L455)*W455+SUMPRODUCT((Calc!$A$2:$A$1001=A455)*Calc!$G$2:$G$1001*((((K455+O455)-(L455+Calc!$J$2:$J$1001))&gt;0)*(((K455+O455)-(L455+Calc!$J$2:$J$1001))&lt;Calc!$F$2:$F$1001)*((K455+O455)-(L455+Calc!$J$2:$J$1001))+(((K455+O455)-(L455+Calc!$J$2:$J$1001))&gt;=Calc!$F$2:$F$1001)*Calc!$F$2:$F$1001))))</f>
        <v/>
      </c>
      <c r="T455">
        <f>IF(AND(E455=1,B455="RETURN"),Transactions!E455*Transactions!G455,0)</f>
        <v/>
      </c>
      <c r="U455">
        <f>IF(AND(E455=1,B455="EXPENSE"),Transactions!J455,0)</f>
        <v/>
      </c>
      <c r="V455">
        <f>IF(AND(Transactions!A455&lt;&gt;"",E455=0),ROW(),"")</f>
        <v/>
      </c>
      <c r="W455">
        <f>IFERROR(VLOOKUP(A455,Opening!$A:$D,4,0),0)</f>
        <v/>
      </c>
    </row>
    <row r="456">
      <c r="A456">
        <f>IF(Transactions!D456="","",UPPER(TRIM(Transactions!D456)))</f>
        <v/>
      </c>
      <c r="B456">
        <f>IF(Transactions!C456="","",UPPER(TRIM(Transactions!C456)))</f>
        <v/>
      </c>
      <c r="C456">
        <f>IF(Transactions!B456="",0,YEAR(Transactions!B456)*100+MONTH(Transactions!B456))</f>
        <v/>
      </c>
      <c r="D456">
        <f>IF(Transactions!A456="",1,IF(COUNTIF(Transactions!$A$1:A455,Transactions!A456)&gt;0,1,0))</f>
        <v/>
      </c>
      <c r="E456">
        <f>IF(D456=1,0,IF(B456="RETURN",IF(COUNTIFS($A$1:A455,A456,$B$1:B455,"SALE",$E$1:E455,1)&gt;0,1,0),1))</f>
        <v/>
      </c>
      <c r="F456">
        <f>IF(E456=1,IF(B456="RECEIPT",Transactions!E456,IF(AND(B456="RETURN",LOWER(TRIM(Transactions!H456))="resellable"),Transactions!E456,0)),0)</f>
        <v/>
      </c>
      <c r="G456">
        <f>IF(F456&gt;0,IF(B456="RECEIPT",Transactions!F456,IF(_xlfn.MAXIFS($H$2:H456,$A$2:A456,A456)&gt;0,INDEX(Transactions!$F:$F,_xlfn.MAXIFS($H$2:H456,$A$2:A456,A456)),W456)),0)</f>
        <v/>
      </c>
      <c r="H456">
        <f>IF(AND(E456=1,B456="RECEIPT"),ROW(),0)</f>
        <v/>
      </c>
      <c r="I456">
        <f>IF(E456=1,IF(OR(B456="SALE",B456="WRITEOFF"),Transactions!E456,0),0)</f>
        <v/>
      </c>
      <c r="J456">
        <f>SUMIFS($F$1:F455,$A$1:A455,A456)</f>
        <v/>
      </c>
      <c r="K456">
        <f>SUMIFS($I$1:I455,$A$1:A455,A456)</f>
        <v/>
      </c>
      <c r="L456">
        <f>IFERROR(VLOOKUP(A456,Opening!$A:$C,3,0),0)</f>
        <v/>
      </c>
      <c r="M456">
        <f>IF(I456=0,0,MAX(0,MIN(INDEX(Month!H$2:H$13,MATCH($A456,Month!$A$2:$A$13,0))-K456,I456)))</f>
        <v/>
      </c>
      <c r="N456">
        <f>IF(I456=0,0,MAX(0,MIN(INDEX(Month!I$2:I$13,MATCH($A456,Month!$A$2:$A$13,0))-K456,I456)))</f>
        <v/>
      </c>
      <c r="O456">
        <f>IF(I456=0,0,MAX(0,MIN(INDEX(Month!J$2:J$13,MATCH($A456,Month!$A$2:$A$13,0))-K456,I456)))</f>
        <v/>
      </c>
      <c r="P456">
        <f>IF(I456=0,0,(MIN(MAX(K456,0),L456)*W456+SUMPRODUCT((Calc!$A$2:$A$1001=A456)*Calc!$G$2:$G$1001*(((K456-(L456+Calc!$J$2:$J$1001))&gt;0)*((K456-(L456+Calc!$J$2:$J$1001))&lt;Calc!$F$2:$F$1001)*(K456-(L456+Calc!$J$2:$J$1001))+((K456-(L456+Calc!$J$2:$J$1001))&gt;=Calc!$F$2:$F$1001)*Calc!$F$2:$F$1001))))</f>
        <v/>
      </c>
      <c r="Q456">
        <f>IF(I456=0,0,(MIN(MAX((K456+M456),0),L456)*W456+SUMPRODUCT((Calc!$A$2:$A$1001=A456)*Calc!$G$2:$G$1001*((((K456+M456)-(L456+Calc!$J$2:$J$1001))&gt;0)*(((K456+M456)-(L456+Calc!$J$2:$J$1001))&lt;Calc!$F$2:$F$1001)*((K456+M456)-(L456+Calc!$J$2:$J$1001))+(((K456+M456)-(L456+Calc!$J$2:$J$1001))&gt;=Calc!$F$2:$F$1001)*Calc!$F$2:$F$1001))))</f>
        <v/>
      </c>
      <c r="R456">
        <f>IF(I456=0,0,(MIN(MAX((K456+N456),0),L456)*W456+SUMPRODUCT((Calc!$A$2:$A$1001=A456)*Calc!$G$2:$G$1001*((((K456+N456)-(L456+Calc!$J$2:$J$1001))&gt;0)*(((K456+N456)-(L456+Calc!$J$2:$J$1001))&lt;Calc!$F$2:$F$1001)*((K456+N456)-(L456+Calc!$J$2:$J$1001))+(((K456+N456)-(L456+Calc!$J$2:$J$1001))&gt;=Calc!$F$2:$F$1001)*Calc!$F$2:$F$1001))))</f>
        <v/>
      </c>
      <c r="S456">
        <f>IF(I456=0,0,(MIN(MAX((K456+O456),0),L456)*W456+SUMPRODUCT((Calc!$A$2:$A$1001=A456)*Calc!$G$2:$G$1001*((((K456+O456)-(L456+Calc!$J$2:$J$1001))&gt;0)*(((K456+O456)-(L456+Calc!$J$2:$J$1001))&lt;Calc!$F$2:$F$1001)*((K456+O456)-(L456+Calc!$J$2:$J$1001))+(((K456+O456)-(L456+Calc!$J$2:$J$1001))&gt;=Calc!$F$2:$F$1001)*Calc!$F$2:$F$1001))))</f>
        <v/>
      </c>
      <c r="T456">
        <f>IF(AND(E456=1,B456="RETURN"),Transactions!E456*Transactions!G456,0)</f>
        <v/>
      </c>
      <c r="U456">
        <f>IF(AND(E456=1,B456="EXPENSE"),Transactions!J456,0)</f>
        <v/>
      </c>
      <c r="V456">
        <f>IF(AND(Transactions!A456&lt;&gt;"",E456=0),ROW(),"")</f>
        <v/>
      </c>
      <c r="W456">
        <f>IFERROR(VLOOKUP(A456,Opening!$A:$D,4,0),0)</f>
        <v/>
      </c>
    </row>
    <row r="457">
      <c r="A457">
        <f>IF(Transactions!D457="","",UPPER(TRIM(Transactions!D457)))</f>
        <v/>
      </c>
      <c r="B457">
        <f>IF(Transactions!C457="","",UPPER(TRIM(Transactions!C457)))</f>
        <v/>
      </c>
      <c r="C457">
        <f>IF(Transactions!B457="",0,YEAR(Transactions!B457)*100+MONTH(Transactions!B457))</f>
        <v/>
      </c>
      <c r="D457">
        <f>IF(Transactions!A457="",1,IF(COUNTIF(Transactions!$A$1:A456,Transactions!A457)&gt;0,1,0))</f>
        <v/>
      </c>
      <c r="E457">
        <f>IF(D457=1,0,IF(B457="RETURN",IF(COUNTIFS($A$1:A456,A457,$B$1:B456,"SALE",$E$1:E456,1)&gt;0,1,0),1))</f>
        <v/>
      </c>
      <c r="F457">
        <f>IF(E457=1,IF(B457="RECEIPT",Transactions!E457,IF(AND(B457="RETURN",LOWER(TRIM(Transactions!H457))="resellable"),Transactions!E457,0)),0)</f>
        <v/>
      </c>
      <c r="G457">
        <f>IF(F457&gt;0,IF(B457="RECEIPT",Transactions!F457,IF(_xlfn.MAXIFS($H$2:H457,$A$2:A457,A457)&gt;0,INDEX(Transactions!$F:$F,_xlfn.MAXIFS($H$2:H457,$A$2:A457,A457)),W457)),0)</f>
        <v/>
      </c>
      <c r="H457">
        <f>IF(AND(E457=1,B457="RECEIPT"),ROW(),0)</f>
        <v/>
      </c>
      <c r="I457">
        <f>IF(E457=1,IF(OR(B457="SALE",B457="WRITEOFF"),Transactions!E457,0),0)</f>
        <v/>
      </c>
      <c r="J457">
        <f>SUMIFS($F$1:F456,$A$1:A456,A457)</f>
        <v/>
      </c>
      <c r="K457">
        <f>SUMIFS($I$1:I456,$A$1:A456,A457)</f>
        <v/>
      </c>
      <c r="L457">
        <f>IFERROR(VLOOKUP(A457,Opening!$A:$C,3,0),0)</f>
        <v/>
      </c>
      <c r="M457">
        <f>IF(I457=0,0,MAX(0,MIN(INDEX(Month!H$2:H$13,MATCH($A457,Month!$A$2:$A$13,0))-K457,I457)))</f>
        <v/>
      </c>
      <c r="N457">
        <f>IF(I457=0,0,MAX(0,MIN(INDEX(Month!I$2:I$13,MATCH($A457,Month!$A$2:$A$13,0))-K457,I457)))</f>
        <v/>
      </c>
      <c r="O457">
        <f>IF(I457=0,0,MAX(0,MIN(INDEX(Month!J$2:J$13,MATCH($A457,Month!$A$2:$A$13,0))-K457,I457)))</f>
        <v/>
      </c>
      <c r="P457">
        <f>IF(I457=0,0,(MIN(MAX(K457,0),L457)*W457+SUMPRODUCT((Calc!$A$2:$A$1001=A457)*Calc!$G$2:$G$1001*(((K457-(L457+Calc!$J$2:$J$1001))&gt;0)*((K457-(L457+Calc!$J$2:$J$1001))&lt;Calc!$F$2:$F$1001)*(K457-(L457+Calc!$J$2:$J$1001))+((K457-(L457+Calc!$J$2:$J$1001))&gt;=Calc!$F$2:$F$1001)*Calc!$F$2:$F$1001))))</f>
        <v/>
      </c>
      <c r="Q457">
        <f>IF(I457=0,0,(MIN(MAX((K457+M457),0),L457)*W457+SUMPRODUCT((Calc!$A$2:$A$1001=A457)*Calc!$G$2:$G$1001*((((K457+M457)-(L457+Calc!$J$2:$J$1001))&gt;0)*(((K457+M457)-(L457+Calc!$J$2:$J$1001))&lt;Calc!$F$2:$F$1001)*((K457+M457)-(L457+Calc!$J$2:$J$1001))+(((K457+M457)-(L457+Calc!$J$2:$J$1001))&gt;=Calc!$F$2:$F$1001)*Calc!$F$2:$F$1001))))</f>
        <v/>
      </c>
      <c r="R457">
        <f>IF(I457=0,0,(MIN(MAX((K457+N457),0),L457)*W457+SUMPRODUCT((Calc!$A$2:$A$1001=A457)*Calc!$G$2:$G$1001*((((K457+N457)-(L457+Calc!$J$2:$J$1001))&gt;0)*(((K457+N457)-(L457+Calc!$J$2:$J$1001))&lt;Calc!$F$2:$F$1001)*((K457+N457)-(L457+Calc!$J$2:$J$1001))+(((K457+N457)-(L457+Calc!$J$2:$J$1001))&gt;=Calc!$F$2:$F$1001)*Calc!$F$2:$F$1001))))</f>
        <v/>
      </c>
      <c r="S457">
        <f>IF(I457=0,0,(MIN(MAX((K457+O457),0),L457)*W457+SUMPRODUCT((Calc!$A$2:$A$1001=A457)*Calc!$G$2:$G$1001*((((K457+O457)-(L457+Calc!$J$2:$J$1001))&gt;0)*(((K457+O457)-(L457+Calc!$J$2:$J$1001))&lt;Calc!$F$2:$F$1001)*((K457+O457)-(L457+Calc!$J$2:$J$1001))+(((K457+O457)-(L457+Calc!$J$2:$J$1001))&gt;=Calc!$F$2:$F$1001)*Calc!$F$2:$F$1001))))</f>
        <v/>
      </c>
      <c r="T457">
        <f>IF(AND(E457=1,B457="RETURN"),Transactions!E457*Transactions!G457,0)</f>
        <v/>
      </c>
      <c r="U457">
        <f>IF(AND(E457=1,B457="EXPENSE"),Transactions!J457,0)</f>
        <v/>
      </c>
      <c r="V457">
        <f>IF(AND(Transactions!A457&lt;&gt;"",E457=0),ROW(),"")</f>
        <v/>
      </c>
      <c r="W457">
        <f>IFERROR(VLOOKUP(A457,Opening!$A:$D,4,0),0)</f>
        <v/>
      </c>
    </row>
    <row r="458">
      <c r="A458">
        <f>IF(Transactions!D458="","",UPPER(TRIM(Transactions!D458)))</f>
        <v/>
      </c>
      <c r="B458">
        <f>IF(Transactions!C458="","",UPPER(TRIM(Transactions!C458)))</f>
        <v/>
      </c>
      <c r="C458">
        <f>IF(Transactions!B458="",0,YEAR(Transactions!B458)*100+MONTH(Transactions!B458))</f>
        <v/>
      </c>
      <c r="D458">
        <f>IF(Transactions!A458="",1,IF(COUNTIF(Transactions!$A$1:A457,Transactions!A458)&gt;0,1,0))</f>
        <v/>
      </c>
      <c r="E458">
        <f>IF(D458=1,0,IF(B458="RETURN",IF(COUNTIFS($A$1:A457,A458,$B$1:B457,"SALE",$E$1:E457,1)&gt;0,1,0),1))</f>
        <v/>
      </c>
      <c r="F458">
        <f>IF(E458=1,IF(B458="RECEIPT",Transactions!E458,IF(AND(B458="RETURN",LOWER(TRIM(Transactions!H458))="resellable"),Transactions!E458,0)),0)</f>
        <v/>
      </c>
      <c r="G458">
        <f>IF(F458&gt;0,IF(B458="RECEIPT",Transactions!F458,IF(_xlfn.MAXIFS($H$2:H458,$A$2:A458,A458)&gt;0,INDEX(Transactions!$F:$F,_xlfn.MAXIFS($H$2:H458,$A$2:A458,A458)),W458)),0)</f>
        <v/>
      </c>
      <c r="H458">
        <f>IF(AND(E458=1,B458="RECEIPT"),ROW(),0)</f>
        <v/>
      </c>
      <c r="I458">
        <f>IF(E458=1,IF(OR(B458="SALE",B458="WRITEOFF"),Transactions!E458,0),0)</f>
        <v/>
      </c>
      <c r="J458">
        <f>SUMIFS($F$1:F457,$A$1:A457,A458)</f>
        <v/>
      </c>
      <c r="K458">
        <f>SUMIFS($I$1:I457,$A$1:A457,A458)</f>
        <v/>
      </c>
      <c r="L458">
        <f>IFERROR(VLOOKUP(A458,Opening!$A:$C,3,0),0)</f>
        <v/>
      </c>
      <c r="M458">
        <f>IF(I458=0,0,MAX(0,MIN(INDEX(Month!H$2:H$13,MATCH($A458,Month!$A$2:$A$13,0))-K458,I458)))</f>
        <v/>
      </c>
      <c r="N458">
        <f>IF(I458=0,0,MAX(0,MIN(INDEX(Month!I$2:I$13,MATCH($A458,Month!$A$2:$A$13,0))-K458,I458)))</f>
        <v/>
      </c>
      <c r="O458">
        <f>IF(I458=0,0,MAX(0,MIN(INDEX(Month!J$2:J$13,MATCH($A458,Month!$A$2:$A$13,0))-K458,I458)))</f>
        <v/>
      </c>
      <c r="P458">
        <f>IF(I458=0,0,(MIN(MAX(K458,0),L458)*W458+SUMPRODUCT((Calc!$A$2:$A$1001=A458)*Calc!$G$2:$G$1001*(((K458-(L458+Calc!$J$2:$J$1001))&gt;0)*((K458-(L458+Calc!$J$2:$J$1001))&lt;Calc!$F$2:$F$1001)*(K458-(L458+Calc!$J$2:$J$1001))+((K458-(L458+Calc!$J$2:$J$1001))&gt;=Calc!$F$2:$F$1001)*Calc!$F$2:$F$1001))))</f>
        <v/>
      </c>
      <c r="Q458">
        <f>IF(I458=0,0,(MIN(MAX((K458+M458),0),L458)*W458+SUMPRODUCT((Calc!$A$2:$A$1001=A458)*Calc!$G$2:$G$1001*((((K458+M458)-(L458+Calc!$J$2:$J$1001))&gt;0)*(((K458+M458)-(L458+Calc!$J$2:$J$1001))&lt;Calc!$F$2:$F$1001)*((K458+M458)-(L458+Calc!$J$2:$J$1001))+(((K458+M458)-(L458+Calc!$J$2:$J$1001))&gt;=Calc!$F$2:$F$1001)*Calc!$F$2:$F$1001))))</f>
        <v/>
      </c>
      <c r="R458">
        <f>IF(I458=0,0,(MIN(MAX((K458+N458),0),L458)*W458+SUMPRODUCT((Calc!$A$2:$A$1001=A458)*Calc!$G$2:$G$1001*((((K458+N458)-(L458+Calc!$J$2:$J$1001))&gt;0)*(((K458+N458)-(L458+Calc!$J$2:$J$1001))&lt;Calc!$F$2:$F$1001)*((K458+N458)-(L458+Calc!$J$2:$J$1001))+(((K458+N458)-(L458+Calc!$J$2:$J$1001))&gt;=Calc!$F$2:$F$1001)*Calc!$F$2:$F$1001))))</f>
        <v/>
      </c>
      <c r="S458">
        <f>IF(I458=0,0,(MIN(MAX((K458+O458),0),L458)*W458+SUMPRODUCT((Calc!$A$2:$A$1001=A458)*Calc!$G$2:$G$1001*((((K458+O458)-(L458+Calc!$J$2:$J$1001))&gt;0)*(((K458+O458)-(L458+Calc!$J$2:$J$1001))&lt;Calc!$F$2:$F$1001)*((K458+O458)-(L458+Calc!$J$2:$J$1001))+(((K458+O458)-(L458+Calc!$J$2:$J$1001))&gt;=Calc!$F$2:$F$1001)*Calc!$F$2:$F$1001))))</f>
        <v/>
      </c>
      <c r="T458">
        <f>IF(AND(E458=1,B458="RETURN"),Transactions!E458*Transactions!G458,0)</f>
        <v/>
      </c>
      <c r="U458">
        <f>IF(AND(E458=1,B458="EXPENSE"),Transactions!J458,0)</f>
        <v/>
      </c>
      <c r="V458">
        <f>IF(AND(Transactions!A458&lt;&gt;"",E458=0),ROW(),"")</f>
        <v/>
      </c>
      <c r="W458">
        <f>IFERROR(VLOOKUP(A458,Opening!$A:$D,4,0),0)</f>
        <v/>
      </c>
    </row>
    <row r="459">
      <c r="A459">
        <f>IF(Transactions!D459="","",UPPER(TRIM(Transactions!D459)))</f>
        <v/>
      </c>
      <c r="B459">
        <f>IF(Transactions!C459="","",UPPER(TRIM(Transactions!C459)))</f>
        <v/>
      </c>
      <c r="C459">
        <f>IF(Transactions!B459="",0,YEAR(Transactions!B459)*100+MONTH(Transactions!B459))</f>
        <v/>
      </c>
      <c r="D459">
        <f>IF(Transactions!A459="",1,IF(COUNTIF(Transactions!$A$1:A458,Transactions!A459)&gt;0,1,0))</f>
        <v/>
      </c>
      <c r="E459">
        <f>IF(D459=1,0,IF(B459="RETURN",IF(COUNTIFS($A$1:A458,A459,$B$1:B458,"SALE",$E$1:E458,1)&gt;0,1,0),1))</f>
        <v/>
      </c>
      <c r="F459">
        <f>IF(E459=1,IF(B459="RECEIPT",Transactions!E459,IF(AND(B459="RETURN",LOWER(TRIM(Transactions!H459))="resellable"),Transactions!E459,0)),0)</f>
        <v/>
      </c>
      <c r="G459">
        <f>IF(F459&gt;0,IF(B459="RECEIPT",Transactions!F459,IF(_xlfn.MAXIFS($H$2:H459,$A$2:A459,A459)&gt;0,INDEX(Transactions!$F:$F,_xlfn.MAXIFS($H$2:H459,$A$2:A459,A459)),W459)),0)</f>
        <v/>
      </c>
      <c r="H459">
        <f>IF(AND(E459=1,B459="RECEIPT"),ROW(),0)</f>
        <v/>
      </c>
      <c r="I459">
        <f>IF(E459=1,IF(OR(B459="SALE",B459="WRITEOFF"),Transactions!E459,0),0)</f>
        <v/>
      </c>
      <c r="J459">
        <f>SUMIFS($F$1:F458,$A$1:A458,A459)</f>
        <v/>
      </c>
      <c r="K459">
        <f>SUMIFS($I$1:I458,$A$1:A458,A459)</f>
        <v/>
      </c>
      <c r="L459">
        <f>IFERROR(VLOOKUP(A459,Opening!$A:$C,3,0),0)</f>
        <v/>
      </c>
      <c r="M459">
        <f>IF(I459=0,0,MAX(0,MIN(INDEX(Month!H$2:H$13,MATCH($A459,Month!$A$2:$A$13,0))-K459,I459)))</f>
        <v/>
      </c>
      <c r="N459">
        <f>IF(I459=0,0,MAX(0,MIN(INDEX(Month!I$2:I$13,MATCH($A459,Month!$A$2:$A$13,0))-K459,I459)))</f>
        <v/>
      </c>
      <c r="O459">
        <f>IF(I459=0,0,MAX(0,MIN(INDEX(Month!J$2:J$13,MATCH($A459,Month!$A$2:$A$13,0))-K459,I459)))</f>
        <v/>
      </c>
      <c r="P459">
        <f>IF(I459=0,0,(MIN(MAX(K459,0),L459)*W459+SUMPRODUCT((Calc!$A$2:$A$1001=A459)*Calc!$G$2:$G$1001*(((K459-(L459+Calc!$J$2:$J$1001))&gt;0)*((K459-(L459+Calc!$J$2:$J$1001))&lt;Calc!$F$2:$F$1001)*(K459-(L459+Calc!$J$2:$J$1001))+((K459-(L459+Calc!$J$2:$J$1001))&gt;=Calc!$F$2:$F$1001)*Calc!$F$2:$F$1001))))</f>
        <v/>
      </c>
      <c r="Q459">
        <f>IF(I459=0,0,(MIN(MAX((K459+M459),0),L459)*W459+SUMPRODUCT((Calc!$A$2:$A$1001=A459)*Calc!$G$2:$G$1001*((((K459+M459)-(L459+Calc!$J$2:$J$1001))&gt;0)*(((K459+M459)-(L459+Calc!$J$2:$J$1001))&lt;Calc!$F$2:$F$1001)*((K459+M459)-(L459+Calc!$J$2:$J$1001))+(((K459+M459)-(L459+Calc!$J$2:$J$1001))&gt;=Calc!$F$2:$F$1001)*Calc!$F$2:$F$1001))))</f>
        <v/>
      </c>
      <c r="R459">
        <f>IF(I459=0,0,(MIN(MAX((K459+N459),0),L459)*W459+SUMPRODUCT((Calc!$A$2:$A$1001=A459)*Calc!$G$2:$G$1001*((((K459+N459)-(L459+Calc!$J$2:$J$1001))&gt;0)*(((K459+N459)-(L459+Calc!$J$2:$J$1001))&lt;Calc!$F$2:$F$1001)*((K459+N459)-(L459+Calc!$J$2:$J$1001))+(((K459+N459)-(L459+Calc!$J$2:$J$1001))&gt;=Calc!$F$2:$F$1001)*Calc!$F$2:$F$1001))))</f>
        <v/>
      </c>
      <c r="S459">
        <f>IF(I459=0,0,(MIN(MAX((K459+O459),0),L459)*W459+SUMPRODUCT((Calc!$A$2:$A$1001=A459)*Calc!$G$2:$G$1001*((((K459+O459)-(L459+Calc!$J$2:$J$1001))&gt;0)*(((K459+O459)-(L459+Calc!$J$2:$J$1001))&lt;Calc!$F$2:$F$1001)*((K459+O459)-(L459+Calc!$J$2:$J$1001))+(((K459+O459)-(L459+Calc!$J$2:$J$1001))&gt;=Calc!$F$2:$F$1001)*Calc!$F$2:$F$1001))))</f>
        <v/>
      </c>
      <c r="T459">
        <f>IF(AND(E459=1,B459="RETURN"),Transactions!E459*Transactions!G459,0)</f>
        <v/>
      </c>
      <c r="U459">
        <f>IF(AND(E459=1,B459="EXPENSE"),Transactions!J459,0)</f>
        <v/>
      </c>
      <c r="V459">
        <f>IF(AND(Transactions!A459&lt;&gt;"",E459=0),ROW(),"")</f>
        <v/>
      </c>
      <c r="W459">
        <f>IFERROR(VLOOKUP(A459,Opening!$A:$D,4,0),0)</f>
        <v/>
      </c>
    </row>
    <row r="460">
      <c r="A460">
        <f>IF(Transactions!D460="","",UPPER(TRIM(Transactions!D460)))</f>
        <v/>
      </c>
      <c r="B460">
        <f>IF(Transactions!C460="","",UPPER(TRIM(Transactions!C460)))</f>
        <v/>
      </c>
      <c r="C460">
        <f>IF(Transactions!B460="",0,YEAR(Transactions!B460)*100+MONTH(Transactions!B460))</f>
        <v/>
      </c>
      <c r="D460">
        <f>IF(Transactions!A460="",1,IF(COUNTIF(Transactions!$A$1:A459,Transactions!A460)&gt;0,1,0))</f>
        <v/>
      </c>
      <c r="E460">
        <f>IF(D460=1,0,IF(B460="RETURN",IF(COUNTIFS($A$1:A459,A460,$B$1:B459,"SALE",$E$1:E459,1)&gt;0,1,0),1))</f>
        <v/>
      </c>
      <c r="F460">
        <f>IF(E460=1,IF(B460="RECEIPT",Transactions!E460,IF(AND(B460="RETURN",LOWER(TRIM(Transactions!H460))="resellable"),Transactions!E460,0)),0)</f>
        <v/>
      </c>
      <c r="G460">
        <f>IF(F460&gt;0,IF(B460="RECEIPT",Transactions!F460,IF(_xlfn.MAXIFS($H$2:H460,$A$2:A460,A460)&gt;0,INDEX(Transactions!$F:$F,_xlfn.MAXIFS($H$2:H460,$A$2:A460,A460)),W460)),0)</f>
        <v/>
      </c>
      <c r="H460">
        <f>IF(AND(E460=1,B460="RECEIPT"),ROW(),0)</f>
        <v/>
      </c>
      <c r="I460">
        <f>IF(E460=1,IF(OR(B460="SALE",B460="WRITEOFF"),Transactions!E460,0),0)</f>
        <v/>
      </c>
      <c r="J460">
        <f>SUMIFS($F$1:F459,$A$1:A459,A460)</f>
        <v/>
      </c>
      <c r="K460">
        <f>SUMIFS($I$1:I459,$A$1:A459,A460)</f>
        <v/>
      </c>
      <c r="L460">
        <f>IFERROR(VLOOKUP(A460,Opening!$A:$C,3,0),0)</f>
        <v/>
      </c>
      <c r="M460">
        <f>IF(I460=0,0,MAX(0,MIN(INDEX(Month!H$2:H$13,MATCH($A460,Month!$A$2:$A$13,0))-K460,I460)))</f>
        <v/>
      </c>
      <c r="N460">
        <f>IF(I460=0,0,MAX(0,MIN(INDEX(Month!I$2:I$13,MATCH($A460,Month!$A$2:$A$13,0))-K460,I460)))</f>
        <v/>
      </c>
      <c r="O460">
        <f>IF(I460=0,0,MAX(0,MIN(INDEX(Month!J$2:J$13,MATCH($A460,Month!$A$2:$A$13,0))-K460,I460)))</f>
        <v/>
      </c>
      <c r="P460">
        <f>IF(I460=0,0,(MIN(MAX(K460,0),L460)*W460+SUMPRODUCT((Calc!$A$2:$A$1001=A460)*Calc!$G$2:$G$1001*(((K460-(L460+Calc!$J$2:$J$1001))&gt;0)*((K460-(L460+Calc!$J$2:$J$1001))&lt;Calc!$F$2:$F$1001)*(K460-(L460+Calc!$J$2:$J$1001))+((K460-(L460+Calc!$J$2:$J$1001))&gt;=Calc!$F$2:$F$1001)*Calc!$F$2:$F$1001))))</f>
        <v/>
      </c>
      <c r="Q460">
        <f>IF(I460=0,0,(MIN(MAX((K460+M460),0),L460)*W460+SUMPRODUCT((Calc!$A$2:$A$1001=A460)*Calc!$G$2:$G$1001*((((K460+M460)-(L460+Calc!$J$2:$J$1001))&gt;0)*(((K460+M460)-(L460+Calc!$J$2:$J$1001))&lt;Calc!$F$2:$F$1001)*((K460+M460)-(L460+Calc!$J$2:$J$1001))+(((K460+M460)-(L460+Calc!$J$2:$J$1001))&gt;=Calc!$F$2:$F$1001)*Calc!$F$2:$F$1001))))</f>
        <v/>
      </c>
      <c r="R460">
        <f>IF(I460=0,0,(MIN(MAX((K460+N460),0),L460)*W460+SUMPRODUCT((Calc!$A$2:$A$1001=A460)*Calc!$G$2:$G$1001*((((K460+N460)-(L460+Calc!$J$2:$J$1001))&gt;0)*(((K460+N460)-(L460+Calc!$J$2:$J$1001))&lt;Calc!$F$2:$F$1001)*((K460+N460)-(L460+Calc!$J$2:$J$1001))+(((K460+N460)-(L460+Calc!$J$2:$J$1001))&gt;=Calc!$F$2:$F$1001)*Calc!$F$2:$F$1001))))</f>
        <v/>
      </c>
      <c r="S460">
        <f>IF(I460=0,0,(MIN(MAX((K460+O460),0),L460)*W460+SUMPRODUCT((Calc!$A$2:$A$1001=A460)*Calc!$G$2:$G$1001*((((K460+O460)-(L460+Calc!$J$2:$J$1001))&gt;0)*(((K460+O460)-(L460+Calc!$J$2:$J$1001))&lt;Calc!$F$2:$F$1001)*((K460+O460)-(L460+Calc!$J$2:$J$1001))+(((K460+O460)-(L460+Calc!$J$2:$J$1001))&gt;=Calc!$F$2:$F$1001)*Calc!$F$2:$F$1001))))</f>
        <v/>
      </c>
      <c r="T460">
        <f>IF(AND(E460=1,B460="RETURN"),Transactions!E460*Transactions!G460,0)</f>
        <v/>
      </c>
      <c r="U460">
        <f>IF(AND(E460=1,B460="EXPENSE"),Transactions!J460,0)</f>
        <v/>
      </c>
      <c r="V460">
        <f>IF(AND(Transactions!A460&lt;&gt;"",E460=0),ROW(),"")</f>
        <v/>
      </c>
      <c r="W460">
        <f>IFERROR(VLOOKUP(A460,Opening!$A:$D,4,0),0)</f>
        <v/>
      </c>
    </row>
    <row r="461">
      <c r="A461">
        <f>IF(Transactions!D461="","",UPPER(TRIM(Transactions!D461)))</f>
        <v/>
      </c>
      <c r="B461">
        <f>IF(Transactions!C461="","",UPPER(TRIM(Transactions!C461)))</f>
        <v/>
      </c>
      <c r="C461">
        <f>IF(Transactions!B461="",0,YEAR(Transactions!B461)*100+MONTH(Transactions!B461))</f>
        <v/>
      </c>
      <c r="D461">
        <f>IF(Transactions!A461="",1,IF(COUNTIF(Transactions!$A$1:A460,Transactions!A461)&gt;0,1,0))</f>
        <v/>
      </c>
      <c r="E461">
        <f>IF(D461=1,0,IF(B461="RETURN",IF(COUNTIFS($A$1:A460,A461,$B$1:B460,"SALE",$E$1:E460,1)&gt;0,1,0),1))</f>
        <v/>
      </c>
      <c r="F461">
        <f>IF(E461=1,IF(B461="RECEIPT",Transactions!E461,IF(AND(B461="RETURN",LOWER(TRIM(Transactions!H461))="resellable"),Transactions!E461,0)),0)</f>
        <v/>
      </c>
      <c r="G461">
        <f>IF(F461&gt;0,IF(B461="RECEIPT",Transactions!F461,IF(_xlfn.MAXIFS($H$2:H461,$A$2:A461,A461)&gt;0,INDEX(Transactions!$F:$F,_xlfn.MAXIFS($H$2:H461,$A$2:A461,A461)),W461)),0)</f>
        <v/>
      </c>
      <c r="H461">
        <f>IF(AND(E461=1,B461="RECEIPT"),ROW(),0)</f>
        <v/>
      </c>
      <c r="I461">
        <f>IF(E461=1,IF(OR(B461="SALE",B461="WRITEOFF"),Transactions!E461,0),0)</f>
        <v/>
      </c>
      <c r="J461">
        <f>SUMIFS($F$1:F460,$A$1:A460,A461)</f>
        <v/>
      </c>
      <c r="K461">
        <f>SUMIFS($I$1:I460,$A$1:A460,A461)</f>
        <v/>
      </c>
      <c r="L461">
        <f>IFERROR(VLOOKUP(A461,Opening!$A:$C,3,0),0)</f>
        <v/>
      </c>
      <c r="M461">
        <f>IF(I461=0,0,MAX(0,MIN(INDEX(Month!H$2:H$13,MATCH($A461,Month!$A$2:$A$13,0))-K461,I461)))</f>
        <v/>
      </c>
      <c r="N461">
        <f>IF(I461=0,0,MAX(0,MIN(INDEX(Month!I$2:I$13,MATCH($A461,Month!$A$2:$A$13,0))-K461,I461)))</f>
        <v/>
      </c>
      <c r="O461">
        <f>IF(I461=0,0,MAX(0,MIN(INDEX(Month!J$2:J$13,MATCH($A461,Month!$A$2:$A$13,0))-K461,I461)))</f>
        <v/>
      </c>
      <c r="P461">
        <f>IF(I461=0,0,(MIN(MAX(K461,0),L461)*W461+SUMPRODUCT((Calc!$A$2:$A$1001=A461)*Calc!$G$2:$G$1001*(((K461-(L461+Calc!$J$2:$J$1001))&gt;0)*((K461-(L461+Calc!$J$2:$J$1001))&lt;Calc!$F$2:$F$1001)*(K461-(L461+Calc!$J$2:$J$1001))+((K461-(L461+Calc!$J$2:$J$1001))&gt;=Calc!$F$2:$F$1001)*Calc!$F$2:$F$1001))))</f>
        <v/>
      </c>
      <c r="Q461">
        <f>IF(I461=0,0,(MIN(MAX((K461+M461),0),L461)*W461+SUMPRODUCT((Calc!$A$2:$A$1001=A461)*Calc!$G$2:$G$1001*((((K461+M461)-(L461+Calc!$J$2:$J$1001))&gt;0)*(((K461+M461)-(L461+Calc!$J$2:$J$1001))&lt;Calc!$F$2:$F$1001)*((K461+M461)-(L461+Calc!$J$2:$J$1001))+(((K461+M461)-(L461+Calc!$J$2:$J$1001))&gt;=Calc!$F$2:$F$1001)*Calc!$F$2:$F$1001))))</f>
        <v/>
      </c>
      <c r="R461">
        <f>IF(I461=0,0,(MIN(MAX((K461+N461),0),L461)*W461+SUMPRODUCT((Calc!$A$2:$A$1001=A461)*Calc!$G$2:$G$1001*((((K461+N461)-(L461+Calc!$J$2:$J$1001))&gt;0)*(((K461+N461)-(L461+Calc!$J$2:$J$1001))&lt;Calc!$F$2:$F$1001)*((K461+N461)-(L461+Calc!$J$2:$J$1001))+(((K461+N461)-(L461+Calc!$J$2:$J$1001))&gt;=Calc!$F$2:$F$1001)*Calc!$F$2:$F$1001))))</f>
        <v/>
      </c>
      <c r="S461">
        <f>IF(I461=0,0,(MIN(MAX((K461+O461),0),L461)*W461+SUMPRODUCT((Calc!$A$2:$A$1001=A461)*Calc!$G$2:$G$1001*((((K461+O461)-(L461+Calc!$J$2:$J$1001))&gt;0)*(((K461+O461)-(L461+Calc!$J$2:$J$1001))&lt;Calc!$F$2:$F$1001)*((K461+O461)-(L461+Calc!$J$2:$J$1001))+(((K461+O461)-(L461+Calc!$J$2:$J$1001))&gt;=Calc!$F$2:$F$1001)*Calc!$F$2:$F$1001))))</f>
        <v/>
      </c>
      <c r="T461">
        <f>IF(AND(E461=1,B461="RETURN"),Transactions!E461*Transactions!G461,0)</f>
        <v/>
      </c>
      <c r="U461">
        <f>IF(AND(E461=1,B461="EXPENSE"),Transactions!J461,0)</f>
        <v/>
      </c>
      <c r="V461">
        <f>IF(AND(Transactions!A461&lt;&gt;"",E461=0),ROW(),"")</f>
        <v/>
      </c>
      <c r="W461">
        <f>IFERROR(VLOOKUP(A461,Opening!$A:$D,4,0),0)</f>
        <v/>
      </c>
    </row>
    <row r="462">
      <c r="A462">
        <f>IF(Transactions!D462="","",UPPER(TRIM(Transactions!D462)))</f>
        <v/>
      </c>
      <c r="B462">
        <f>IF(Transactions!C462="","",UPPER(TRIM(Transactions!C462)))</f>
        <v/>
      </c>
      <c r="C462">
        <f>IF(Transactions!B462="",0,YEAR(Transactions!B462)*100+MONTH(Transactions!B462))</f>
        <v/>
      </c>
      <c r="D462">
        <f>IF(Transactions!A462="",1,IF(COUNTIF(Transactions!$A$1:A461,Transactions!A462)&gt;0,1,0))</f>
        <v/>
      </c>
      <c r="E462">
        <f>IF(D462=1,0,IF(B462="RETURN",IF(COUNTIFS($A$1:A461,A462,$B$1:B461,"SALE",$E$1:E461,1)&gt;0,1,0),1))</f>
        <v/>
      </c>
      <c r="F462">
        <f>IF(E462=1,IF(B462="RECEIPT",Transactions!E462,IF(AND(B462="RETURN",LOWER(TRIM(Transactions!H462))="resellable"),Transactions!E462,0)),0)</f>
        <v/>
      </c>
      <c r="G462">
        <f>IF(F462&gt;0,IF(B462="RECEIPT",Transactions!F462,IF(_xlfn.MAXIFS($H$2:H462,$A$2:A462,A462)&gt;0,INDEX(Transactions!$F:$F,_xlfn.MAXIFS($H$2:H462,$A$2:A462,A462)),W462)),0)</f>
        <v/>
      </c>
      <c r="H462">
        <f>IF(AND(E462=1,B462="RECEIPT"),ROW(),0)</f>
        <v/>
      </c>
      <c r="I462">
        <f>IF(E462=1,IF(OR(B462="SALE",B462="WRITEOFF"),Transactions!E462,0),0)</f>
        <v/>
      </c>
      <c r="J462">
        <f>SUMIFS($F$1:F461,$A$1:A461,A462)</f>
        <v/>
      </c>
      <c r="K462">
        <f>SUMIFS($I$1:I461,$A$1:A461,A462)</f>
        <v/>
      </c>
      <c r="L462">
        <f>IFERROR(VLOOKUP(A462,Opening!$A:$C,3,0),0)</f>
        <v/>
      </c>
      <c r="M462">
        <f>IF(I462=0,0,MAX(0,MIN(INDEX(Month!H$2:H$13,MATCH($A462,Month!$A$2:$A$13,0))-K462,I462)))</f>
        <v/>
      </c>
      <c r="N462">
        <f>IF(I462=0,0,MAX(0,MIN(INDEX(Month!I$2:I$13,MATCH($A462,Month!$A$2:$A$13,0))-K462,I462)))</f>
        <v/>
      </c>
      <c r="O462">
        <f>IF(I462=0,0,MAX(0,MIN(INDEX(Month!J$2:J$13,MATCH($A462,Month!$A$2:$A$13,0))-K462,I462)))</f>
        <v/>
      </c>
      <c r="P462">
        <f>IF(I462=0,0,(MIN(MAX(K462,0),L462)*W462+SUMPRODUCT((Calc!$A$2:$A$1001=A462)*Calc!$G$2:$G$1001*(((K462-(L462+Calc!$J$2:$J$1001))&gt;0)*((K462-(L462+Calc!$J$2:$J$1001))&lt;Calc!$F$2:$F$1001)*(K462-(L462+Calc!$J$2:$J$1001))+((K462-(L462+Calc!$J$2:$J$1001))&gt;=Calc!$F$2:$F$1001)*Calc!$F$2:$F$1001))))</f>
        <v/>
      </c>
      <c r="Q462">
        <f>IF(I462=0,0,(MIN(MAX((K462+M462),0),L462)*W462+SUMPRODUCT((Calc!$A$2:$A$1001=A462)*Calc!$G$2:$G$1001*((((K462+M462)-(L462+Calc!$J$2:$J$1001))&gt;0)*(((K462+M462)-(L462+Calc!$J$2:$J$1001))&lt;Calc!$F$2:$F$1001)*((K462+M462)-(L462+Calc!$J$2:$J$1001))+(((K462+M462)-(L462+Calc!$J$2:$J$1001))&gt;=Calc!$F$2:$F$1001)*Calc!$F$2:$F$1001))))</f>
        <v/>
      </c>
      <c r="R462">
        <f>IF(I462=0,0,(MIN(MAX((K462+N462),0),L462)*W462+SUMPRODUCT((Calc!$A$2:$A$1001=A462)*Calc!$G$2:$G$1001*((((K462+N462)-(L462+Calc!$J$2:$J$1001))&gt;0)*(((K462+N462)-(L462+Calc!$J$2:$J$1001))&lt;Calc!$F$2:$F$1001)*((K462+N462)-(L462+Calc!$J$2:$J$1001))+(((K462+N462)-(L462+Calc!$J$2:$J$1001))&gt;=Calc!$F$2:$F$1001)*Calc!$F$2:$F$1001))))</f>
        <v/>
      </c>
      <c r="S462">
        <f>IF(I462=0,0,(MIN(MAX((K462+O462),0),L462)*W462+SUMPRODUCT((Calc!$A$2:$A$1001=A462)*Calc!$G$2:$G$1001*((((K462+O462)-(L462+Calc!$J$2:$J$1001))&gt;0)*(((K462+O462)-(L462+Calc!$J$2:$J$1001))&lt;Calc!$F$2:$F$1001)*((K462+O462)-(L462+Calc!$J$2:$J$1001))+(((K462+O462)-(L462+Calc!$J$2:$J$1001))&gt;=Calc!$F$2:$F$1001)*Calc!$F$2:$F$1001))))</f>
        <v/>
      </c>
      <c r="T462">
        <f>IF(AND(E462=1,B462="RETURN"),Transactions!E462*Transactions!G462,0)</f>
        <v/>
      </c>
      <c r="U462">
        <f>IF(AND(E462=1,B462="EXPENSE"),Transactions!J462,0)</f>
        <v/>
      </c>
      <c r="V462">
        <f>IF(AND(Transactions!A462&lt;&gt;"",E462=0),ROW(),"")</f>
        <v/>
      </c>
      <c r="W462">
        <f>IFERROR(VLOOKUP(A462,Opening!$A:$D,4,0),0)</f>
        <v/>
      </c>
    </row>
    <row r="463">
      <c r="A463">
        <f>IF(Transactions!D463="","",UPPER(TRIM(Transactions!D463)))</f>
        <v/>
      </c>
      <c r="B463">
        <f>IF(Transactions!C463="","",UPPER(TRIM(Transactions!C463)))</f>
        <v/>
      </c>
      <c r="C463">
        <f>IF(Transactions!B463="",0,YEAR(Transactions!B463)*100+MONTH(Transactions!B463))</f>
        <v/>
      </c>
      <c r="D463">
        <f>IF(Transactions!A463="",1,IF(COUNTIF(Transactions!$A$1:A462,Transactions!A463)&gt;0,1,0))</f>
        <v/>
      </c>
      <c r="E463">
        <f>IF(D463=1,0,IF(B463="RETURN",IF(COUNTIFS($A$1:A462,A463,$B$1:B462,"SALE",$E$1:E462,1)&gt;0,1,0),1))</f>
        <v/>
      </c>
      <c r="F463">
        <f>IF(E463=1,IF(B463="RECEIPT",Transactions!E463,IF(AND(B463="RETURN",LOWER(TRIM(Transactions!H463))="resellable"),Transactions!E463,0)),0)</f>
        <v/>
      </c>
      <c r="G463">
        <f>IF(F463&gt;0,IF(B463="RECEIPT",Transactions!F463,IF(_xlfn.MAXIFS($H$2:H463,$A$2:A463,A463)&gt;0,INDEX(Transactions!$F:$F,_xlfn.MAXIFS($H$2:H463,$A$2:A463,A463)),W463)),0)</f>
        <v/>
      </c>
      <c r="H463">
        <f>IF(AND(E463=1,B463="RECEIPT"),ROW(),0)</f>
        <v/>
      </c>
      <c r="I463">
        <f>IF(E463=1,IF(OR(B463="SALE",B463="WRITEOFF"),Transactions!E463,0),0)</f>
        <v/>
      </c>
      <c r="J463">
        <f>SUMIFS($F$1:F462,$A$1:A462,A463)</f>
        <v/>
      </c>
      <c r="K463">
        <f>SUMIFS($I$1:I462,$A$1:A462,A463)</f>
        <v/>
      </c>
      <c r="L463">
        <f>IFERROR(VLOOKUP(A463,Opening!$A:$C,3,0),0)</f>
        <v/>
      </c>
      <c r="M463">
        <f>IF(I463=0,0,MAX(0,MIN(INDEX(Month!H$2:H$13,MATCH($A463,Month!$A$2:$A$13,0))-K463,I463)))</f>
        <v/>
      </c>
      <c r="N463">
        <f>IF(I463=0,0,MAX(0,MIN(INDEX(Month!I$2:I$13,MATCH($A463,Month!$A$2:$A$13,0))-K463,I463)))</f>
        <v/>
      </c>
      <c r="O463">
        <f>IF(I463=0,0,MAX(0,MIN(INDEX(Month!J$2:J$13,MATCH($A463,Month!$A$2:$A$13,0))-K463,I463)))</f>
        <v/>
      </c>
      <c r="P463">
        <f>IF(I463=0,0,(MIN(MAX(K463,0),L463)*W463+SUMPRODUCT((Calc!$A$2:$A$1001=A463)*Calc!$G$2:$G$1001*(((K463-(L463+Calc!$J$2:$J$1001))&gt;0)*((K463-(L463+Calc!$J$2:$J$1001))&lt;Calc!$F$2:$F$1001)*(K463-(L463+Calc!$J$2:$J$1001))+((K463-(L463+Calc!$J$2:$J$1001))&gt;=Calc!$F$2:$F$1001)*Calc!$F$2:$F$1001))))</f>
        <v/>
      </c>
      <c r="Q463">
        <f>IF(I463=0,0,(MIN(MAX((K463+M463),0),L463)*W463+SUMPRODUCT((Calc!$A$2:$A$1001=A463)*Calc!$G$2:$G$1001*((((K463+M463)-(L463+Calc!$J$2:$J$1001))&gt;0)*(((K463+M463)-(L463+Calc!$J$2:$J$1001))&lt;Calc!$F$2:$F$1001)*((K463+M463)-(L463+Calc!$J$2:$J$1001))+(((K463+M463)-(L463+Calc!$J$2:$J$1001))&gt;=Calc!$F$2:$F$1001)*Calc!$F$2:$F$1001))))</f>
        <v/>
      </c>
      <c r="R463">
        <f>IF(I463=0,0,(MIN(MAX((K463+N463),0),L463)*W463+SUMPRODUCT((Calc!$A$2:$A$1001=A463)*Calc!$G$2:$G$1001*((((K463+N463)-(L463+Calc!$J$2:$J$1001))&gt;0)*(((K463+N463)-(L463+Calc!$J$2:$J$1001))&lt;Calc!$F$2:$F$1001)*((K463+N463)-(L463+Calc!$J$2:$J$1001))+(((K463+N463)-(L463+Calc!$J$2:$J$1001))&gt;=Calc!$F$2:$F$1001)*Calc!$F$2:$F$1001))))</f>
        <v/>
      </c>
      <c r="S463">
        <f>IF(I463=0,0,(MIN(MAX((K463+O463),0),L463)*W463+SUMPRODUCT((Calc!$A$2:$A$1001=A463)*Calc!$G$2:$G$1001*((((K463+O463)-(L463+Calc!$J$2:$J$1001))&gt;0)*(((K463+O463)-(L463+Calc!$J$2:$J$1001))&lt;Calc!$F$2:$F$1001)*((K463+O463)-(L463+Calc!$J$2:$J$1001))+(((K463+O463)-(L463+Calc!$J$2:$J$1001))&gt;=Calc!$F$2:$F$1001)*Calc!$F$2:$F$1001))))</f>
        <v/>
      </c>
      <c r="T463">
        <f>IF(AND(E463=1,B463="RETURN"),Transactions!E463*Transactions!G463,0)</f>
        <v/>
      </c>
      <c r="U463">
        <f>IF(AND(E463=1,B463="EXPENSE"),Transactions!J463,0)</f>
        <v/>
      </c>
      <c r="V463">
        <f>IF(AND(Transactions!A463&lt;&gt;"",E463=0),ROW(),"")</f>
        <v/>
      </c>
      <c r="W463">
        <f>IFERROR(VLOOKUP(A463,Opening!$A:$D,4,0),0)</f>
        <v/>
      </c>
    </row>
    <row r="464">
      <c r="A464">
        <f>IF(Transactions!D464="","",UPPER(TRIM(Transactions!D464)))</f>
        <v/>
      </c>
      <c r="B464">
        <f>IF(Transactions!C464="","",UPPER(TRIM(Transactions!C464)))</f>
        <v/>
      </c>
      <c r="C464">
        <f>IF(Transactions!B464="",0,YEAR(Transactions!B464)*100+MONTH(Transactions!B464))</f>
        <v/>
      </c>
      <c r="D464">
        <f>IF(Transactions!A464="",1,IF(COUNTIF(Transactions!$A$1:A463,Transactions!A464)&gt;0,1,0))</f>
        <v/>
      </c>
      <c r="E464">
        <f>IF(D464=1,0,IF(B464="RETURN",IF(COUNTIFS($A$1:A463,A464,$B$1:B463,"SALE",$E$1:E463,1)&gt;0,1,0),1))</f>
        <v/>
      </c>
      <c r="F464">
        <f>IF(E464=1,IF(B464="RECEIPT",Transactions!E464,IF(AND(B464="RETURN",LOWER(TRIM(Transactions!H464))="resellable"),Transactions!E464,0)),0)</f>
        <v/>
      </c>
      <c r="G464">
        <f>IF(F464&gt;0,IF(B464="RECEIPT",Transactions!F464,IF(_xlfn.MAXIFS($H$2:H464,$A$2:A464,A464)&gt;0,INDEX(Transactions!$F:$F,_xlfn.MAXIFS($H$2:H464,$A$2:A464,A464)),W464)),0)</f>
        <v/>
      </c>
      <c r="H464">
        <f>IF(AND(E464=1,B464="RECEIPT"),ROW(),0)</f>
        <v/>
      </c>
      <c r="I464">
        <f>IF(E464=1,IF(OR(B464="SALE",B464="WRITEOFF"),Transactions!E464,0),0)</f>
        <v/>
      </c>
      <c r="J464">
        <f>SUMIFS($F$1:F463,$A$1:A463,A464)</f>
        <v/>
      </c>
      <c r="K464">
        <f>SUMIFS($I$1:I463,$A$1:A463,A464)</f>
        <v/>
      </c>
      <c r="L464">
        <f>IFERROR(VLOOKUP(A464,Opening!$A:$C,3,0),0)</f>
        <v/>
      </c>
      <c r="M464">
        <f>IF(I464=0,0,MAX(0,MIN(INDEX(Month!H$2:H$13,MATCH($A464,Month!$A$2:$A$13,0))-K464,I464)))</f>
        <v/>
      </c>
      <c r="N464">
        <f>IF(I464=0,0,MAX(0,MIN(INDEX(Month!I$2:I$13,MATCH($A464,Month!$A$2:$A$13,0))-K464,I464)))</f>
        <v/>
      </c>
      <c r="O464">
        <f>IF(I464=0,0,MAX(0,MIN(INDEX(Month!J$2:J$13,MATCH($A464,Month!$A$2:$A$13,0))-K464,I464)))</f>
        <v/>
      </c>
      <c r="P464">
        <f>IF(I464=0,0,(MIN(MAX(K464,0),L464)*W464+SUMPRODUCT((Calc!$A$2:$A$1001=A464)*Calc!$G$2:$G$1001*(((K464-(L464+Calc!$J$2:$J$1001))&gt;0)*((K464-(L464+Calc!$J$2:$J$1001))&lt;Calc!$F$2:$F$1001)*(K464-(L464+Calc!$J$2:$J$1001))+((K464-(L464+Calc!$J$2:$J$1001))&gt;=Calc!$F$2:$F$1001)*Calc!$F$2:$F$1001))))</f>
        <v/>
      </c>
      <c r="Q464">
        <f>IF(I464=0,0,(MIN(MAX((K464+M464),0),L464)*W464+SUMPRODUCT((Calc!$A$2:$A$1001=A464)*Calc!$G$2:$G$1001*((((K464+M464)-(L464+Calc!$J$2:$J$1001))&gt;0)*(((K464+M464)-(L464+Calc!$J$2:$J$1001))&lt;Calc!$F$2:$F$1001)*((K464+M464)-(L464+Calc!$J$2:$J$1001))+(((K464+M464)-(L464+Calc!$J$2:$J$1001))&gt;=Calc!$F$2:$F$1001)*Calc!$F$2:$F$1001))))</f>
        <v/>
      </c>
      <c r="R464">
        <f>IF(I464=0,0,(MIN(MAX((K464+N464),0),L464)*W464+SUMPRODUCT((Calc!$A$2:$A$1001=A464)*Calc!$G$2:$G$1001*((((K464+N464)-(L464+Calc!$J$2:$J$1001))&gt;0)*(((K464+N464)-(L464+Calc!$J$2:$J$1001))&lt;Calc!$F$2:$F$1001)*((K464+N464)-(L464+Calc!$J$2:$J$1001))+(((K464+N464)-(L464+Calc!$J$2:$J$1001))&gt;=Calc!$F$2:$F$1001)*Calc!$F$2:$F$1001))))</f>
        <v/>
      </c>
      <c r="S464">
        <f>IF(I464=0,0,(MIN(MAX((K464+O464),0),L464)*W464+SUMPRODUCT((Calc!$A$2:$A$1001=A464)*Calc!$G$2:$G$1001*((((K464+O464)-(L464+Calc!$J$2:$J$1001))&gt;0)*(((K464+O464)-(L464+Calc!$J$2:$J$1001))&lt;Calc!$F$2:$F$1001)*((K464+O464)-(L464+Calc!$J$2:$J$1001))+(((K464+O464)-(L464+Calc!$J$2:$J$1001))&gt;=Calc!$F$2:$F$1001)*Calc!$F$2:$F$1001))))</f>
        <v/>
      </c>
      <c r="T464">
        <f>IF(AND(E464=1,B464="RETURN"),Transactions!E464*Transactions!G464,0)</f>
        <v/>
      </c>
      <c r="U464">
        <f>IF(AND(E464=1,B464="EXPENSE"),Transactions!J464,0)</f>
        <v/>
      </c>
      <c r="V464">
        <f>IF(AND(Transactions!A464&lt;&gt;"",E464=0),ROW(),"")</f>
        <v/>
      </c>
      <c r="W464">
        <f>IFERROR(VLOOKUP(A464,Opening!$A:$D,4,0),0)</f>
        <v/>
      </c>
    </row>
    <row r="465">
      <c r="A465">
        <f>IF(Transactions!D465="","",UPPER(TRIM(Transactions!D465)))</f>
        <v/>
      </c>
      <c r="B465">
        <f>IF(Transactions!C465="","",UPPER(TRIM(Transactions!C465)))</f>
        <v/>
      </c>
      <c r="C465">
        <f>IF(Transactions!B465="",0,YEAR(Transactions!B465)*100+MONTH(Transactions!B465))</f>
        <v/>
      </c>
      <c r="D465">
        <f>IF(Transactions!A465="",1,IF(COUNTIF(Transactions!$A$1:A464,Transactions!A465)&gt;0,1,0))</f>
        <v/>
      </c>
      <c r="E465">
        <f>IF(D465=1,0,IF(B465="RETURN",IF(COUNTIFS($A$1:A464,A465,$B$1:B464,"SALE",$E$1:E464,1)&gt;0,1,0),1))</f>
        <v/>
      </c>
      <c r="F465">
        <f>IF(E465=1,IF(B465="RECEIPT",Transactions!E465,IF(AND(B465="RETURN",LOWER(TRIM(Transactions!H465))="resellable"),Transactions!E465,0)),0)</f>
        <v/>
      </c>
      <c r="G465">
        <f>IF(F465&gt;0,IF(B465="RECEIPT",Transactions!F465,IF(_xlfn.MAXIFS($H$2:H465,$A$2:A465,A465)&gt;0,INDEX(Transactions!$F:$F,_xlfn.MAXIFS($H$2:H465,$A$2:A465,A465)),W465)),0)</f>
        <v/>
      </c>
      <c r="H465">
        <f>IF(AND(E465=1,B465="RECEIPT"),ROW(),0)</f>
        <v/>
      </c>
      <c r="I465">
        <f>IF(E465=1,IF(OR(B465="SALE",B465="WRITEOFF"),Transactions!E465,0),0)</f>
        <v/>
      </c>
      <c r="J465">
        <f>SUMIFS($F$1:F464,$A$1:A464,A465)</f>
        <v/>
      </c>
      <c r="K465">
        <f>SUMIFS($I$1:I464,$A$1:A464,A465)</f>
        <v/>
      </c>
      <c r="L465">
        <f>IFERROR(VLOOKUP(A465,Opening!$A:$C,3,0),0)</f>
        <v/>
      </c>
      <c r="M465">
        <f>IF(I465=0,0,MAX(0,MIN(INDEX(Month!H$2:H$13,MATCH($A465,Month!$A$2:$A$13,0))-K465,I465)))</f>
        <v/>
      </c>
      <c r="N465">
        <f>IF(I465=0,0,MAX(0,MIN(INDEX(Month!I$2:I$13,MATCH($A465,Month!$A$2:$A$13,0))-K465,I465)))</f>
        <v/>
      </c>
      <c r="O465">
        <f>IF(I465=0,0,MAX(0,MIN(INDEX(Month!J$2:J$13,MATCH($A465,Month!$A$2:$A$13,0))-K465,I465)))</f>
        <v/>
      </c>
      <c r="P465">
        <f>IF(I465=0,0,(MIN(MAX(K465,0),L465)*W465+SUMPRODUCT((Calc!$A$2:$A$1001=A465)*Calc!$G$2:$G$1001*(((K465-(L465+Calc!$J$2:$J$1001))&gt;0)*((K465-(L465+Calc!$J$2:$J$1001))&lt;Calc!$F$2:$F$1001)*(K465-(L465+Calc!$J$2:$J$1001))+((K465-(L465+Calc!$J$2:$J$1001))&gt;=Calc!$F$2:$F$1001)*Calc!$F$2:$F$1001))))</f>
        <v/>
      </c>
      <c r="Q465">
        <f>IF(I465=0,0,(MIN(MAX((K465+M465),0),L465)*W465+SUMPRODUCT((Calc!$A$2:$A$1001=A465)*Calc!$G$2:$G$1001*((((K465+M465)-(L465+Calc!$J$2:$J$1001))&gt;0)*(((K465+M465)-(L465+Calc!$J$2:$J$1001))&lt;Calc!$F$2:$F$1001)*((K465+M465)-(L465+Calc!$J$2:$J$1001))+(((K465+M465)-(L465+Calc!$J$2:$J$1001))&gt;=Calc!$F$2:$F$1001)*Calc!$F$2:$F$1001))))</f>
        <v/>
      </c>
      <c r="R465">
        <f>IF(I465=0,0,(MIN(MAX((K465+N465),0),L465)*W465+SUMPRODUCT((Calc!$A$2:$A$1001=A465)*Calc!$G$2:$G$1001*((((K465+N465)-(L465+Calc!$J$2:$J$1001))&gt;0)*(((K465+N465)-(L465+Calc!$J$2:$J$1001))&lt;Calc!$F$2:$F$1001)*((K465+N465)-(L465+Calc!$J$2:$J$1001))+(((K465+N465)-(L465+Calc!$J$2:$J$1001))&gt;=Calc!$F$2:$F$1001)*Calc!$F$2:$F$1001))))</f>
        <v/>
      </c>
      <c r="S465">
        <f>IF(I465=0,0,(MIN(MAX((K465+O465),0),L465)*W465+SUMPRODUCT((Calc!$A$2:$A$1001=A465)*Calc!$G$2:$G$1001*((((K465+O465)-(L465+Calc!$J$2:$J$1001))&gt;0)*(((K465+O465)-(L465+Calc!$J$2:$J$1001))&lt;Calc!$F$2:$F$1001)*((K465+O465)-(L465+Calc!$J$2:$J$1001))+(((K465+O465)-(L465+Calc!$J$2:$J$1001))&gt;=Calc!$F$2:$F$1001)*Calc!$F$2:$F$1001))))</f>
        <v/>
      </c>
      <c r="T465">
        <f>IF(AND(E465=1,B465="RETURN"),Transactions!E465*Transactions!G465,0)</f>
        <v/>
      </c>
      <c r="U465">
        <f>IF(AND(E465=1,B465="EXPENSE"),Transactions!J465,0)</f>
        <v/>
      </c>
      <c r="V465">
        <f>IF(AND(Transactions!A465&lt;&gt;"",E465=0),ROW(),"")</f>
        <v/>
      </c>
      <c r="W465">
        <f>IFERROR(VLOOKUP(A465,Opening!$A:$D,4,0),0)</f>
        <v/>
      </c>
    </row>
    <row r="466">
      <c r="A466">
        <f>IF(Transactions!D466="","",UPPER(TRIM(Transactions!D466)))</f>
        <v/>
      </c>
      <c r="B466">
        <f>IF(Transactions!C466="","",UPPER(TRIM(Transactions!C466)))</f>
        <v/>
      </c>
      <c r="C466">
        <f>IF(Transactions!B466="",0,YEAR(Transactions!B466)*100+MONTH(Transactions!B466))</f>
        <v/>
      </c>
      <c r="D466">
        <f>IF(Transactions!A466="",1,IF(COUNTIF(Transactions!$A$1:A465,Transactions!A466)&gt;0,1,0))</f>
        <v/>
      </c>
      <c r="E466">
        <f>IF(D466=1,0,IF(B466="RETURN",IF(COUNTIFS($A$1:A465,A466,$B$1:B465,"SALE",$E$1:E465,1)&gt;0,1,0),1))</f>
        <v/>
      </c>
      <c r="F466">
        <f>IF(E466=1,IF(B466="RECEIPT",Transactions!E466,IF(AND(B466="RETURN",LOWER(TRIM(Transactions!H466))="resellable"),Transactions!E466,0)),0)</f>
        <v/>
      </c>
      <c r="G466">
        <f>IF(F466&gt;0,IF(B466="RECEIPT",Transactions!F466,IF(_xlfn.MAXIFS($H$2:H466,$A$2:A466,A466)&gt;0,INDEX(Transactions!$F:$F,_xlfn.MAXIFS($H$2:H466,$A$2:A466,A466)),W466)),0)</f>
        <v/>
      </c>
      <c r="H466">
        <f>IF(AND(E466=1,B466="RECEIPT"),ROW(),0)</f>
        <v/>
      </c>
      <c r="I466">
        <f>IF(E466=1,IF(OR(B466="SALE",B466="WRITEOFF"),Transactions!E466,0),0)</f>
        <v/>
      </c>
      <c r="J466">
        <f>SUMIFS($F$1:F465,$A$1:A465,A466)</f>
        <v/>
      </c>
      <c r="K466">
        <f>SUMIFS($I$1:I465,$A$1:A465,A466)</f>
        <v/>
      </c>
      <c r="L466">
        <f>IFERROR(VLOOKUP(A466,Opening!$A:$C,3,0),0)</f>
        <v/>
      </c>
      <c r="M466">
        <f>IF(I466=0,0,MAX(0,MIN(INDEX(Month!H$2:H$13,MATCH($A466,Month!$A$2:$A$13,0))-K466,I466)))</f>
        <v/>
      </c>
      <c r="N466">
        <f>IF(I466=0,0,MAX(0,MIN(INDEX(Month!I$2:I$13,MATCH($A466,Month!$A$2:$A$13,0))-K466,I466)))</f>
        <v/>
      </c>
      <c r="O466">
        <f>IF(I466=0,0,MAX(0,MIN(INDEX(Month!J$2:J$13,MATCH($A466,Month!$A$2:$A$13,0))-K466,I466)))</f>
        <v/>
      </c>
      <c r="P466">
        <f>IF(I466=0,0,(MIN(MAX(K466,0),L466)*W466+SUMPRODUCT((Calc!$A$2:$A$1001=A466)*Calc!$G$2:$G$1001*(((K466-(L466+Calc!$J$2:$J$1001))&gt;0)*((K466-(L466+Calc!$J$2:$J$1001))&lt;Calc!$F$2:$F$1001)*(K466-(L466+Calc!$J$2:$J$1001))+((K466-(L466+Calc!$J$2:$J$1001))&gt;=Calc!$F$2:$F$1001)*Calc!$F$2:$F$1001))))</f>
        <v/>
      </c>
      <c r="Q466">
        <f>IF(I466=0,0,(MIN(MAX((K466+M466),0),L466)*W466+SUMPRODUCT((Calc!$A$2:$A$1001=A466)*Calc!$G$2:$G$1001*((((K466+M466)-(L466+Calc!$J$2:$J$1001))&gt;0)*(((K466+M466)-(L466+Calc!$J$2:$J$1001))&lt;Calc!$F$2:$F$1001)*((K466+M466)-(L466+Calc!$J$2:$J$1001))+(((K466+M466)-(L466+Calc!$J$2:$J$1001))&gt;=Calc!$F$2:$F$1001)*Calc!$F$2:$F$1001))))</f>
        <v/>
      </c>
      <c r="R466">
        <f>IF(I466=0,0,(MIN(MAX((K466+N466),0),L466)*W466+SUMPRODUCT((Calc!$A$2:$A$1001=A466)*Calc!$G$2:$G$1001*((((K466+N466)-(L466+Calc!$J$2:$J$1001))&gt;0)*(((K466+N466)-(L466+Calc!$J$2:$J$1001))&lt;Calc!$F$2:$F$1001)*((K466+N466)-(L466+Calc!$J$2:$J$1001))+(((K466+N466)-(L466+Calc!$J$2:$J$1001))&gt;=Calc!$F$2:$F$1001)*Calc!$F$2:$F$1001))))</f>
        <v/>
      </c>
      <c r="S466">
        <f>IF(I466=0,0,(MIN(MAX((K466+O466),0),L466)*W466+SUMPRODUCT((Calc!$A$2:$A$1001=A466)*Calc!$G$2:$G$1001*((((K466+O466)-(L466+Calc!$J$2:$J$1001))&gt;0)*(((K466+O466)-(L466+Calc!$J$2:$J$1001))&lt;Calc!$F$2:$F$1001)*((K466+O466)-(L466+Calc!$J$2:$J$1001))+(((K466+O466)-(L466+Calc!$J$2:$J$1001))&gt;=Calc!$F$2:$F$1001)*Calc!$F$2:$F$1001))))</f>
        <v/>
      </c>
      <c r="T466">
        <f>IF(AND(E466=1,B466="RETURN"),Transactions!E466*Transactions!G466,0)</f>
        <v/>
      </c>
      <c r="U466">
        <f>IF(AND(E466=1,B466="EXPENSE"),Transactions!J466,0)</f>
        <v/>
      </c>
      <c r="V466">
        <f>IF(AND(Transactions!A466&lt;&gt;"",E466=0),ROW(),"")</f>
        <v/>
      </c>
      <c r="W466">
        <f>IFERROR(VLOOKUP(A466,Opening!$A:$D,4,0),0)</f>
        <v/>
      </c>
    </row>
    <row r="467">
      <c r="A467">
        <f>IF(Transactions!D467="","",UPPER(TRIM(Transactions!D467)))</f>
        <v/>
      </c>
      <c r="B467">
        <f>IF(Transactions!C467="","",UPPER(TRIM(Transactions!C467)))</f>
        <v/>
      </c>
      <c r="C467">
        <f>IF(Transactions!B467="",0,YEAR(Transactions!B467)*100+MONTH(Transactions!B467))</f>
        <v/>
      </c>
      <c r="D467">
        <f>IF(Transactions!A467="",1,IF(COUNTIF(Transactions!$A$1:A466,Transactions!A467)&gt;0,1,0))</f>
        <v/>
      </c>
      <c r="E467">
        <f>IF(D467=1,0,IF(B467="RETURN",IF(COUNTIFS($A$1:A466,A467,$B$1:B466,"SALE",$E$1:E466,1)&gt;0,1,0),1))</f>
        <v/>
      </c>
      <c r="F467">
        <f>IF(E467=1,IF(B467="RECEIPT",Transactions!E467,IF(AND(B467="RETURN",LOWER(TRIM(Transactions!H467))="resellable"),Transactions!E467,0)),0)</f>
        <v/>
      </c>
      <c r="G467">
        <f>IF(F467&gt;0,IF(B467="RECEIPT",Transactions!F467,IF(_xlfn.MAXIFS($H$2:H467,$A$2:A467,A467)&gt;0,INDEX(Transactions!$F:$F,_xlfn.MAXIFS($H$2:H467,$A$2:A467,A467)),W467)),0)</f>
        <v/>
      </c>
      <c r="H467">
        <f>IF(AND(E467=1,B467="RECEIPT"),ROW(),0)</f>
        <v/>
      </c>
      <c r="I467">
        <f>IF(E467=1,IF(OR(B467="SALE",B467="WRITEOFF"),Transactions!E467,0),0)</f>
        <v/>
      </c>
      <c r="J467">
        <f>SUMIFS($F$1:F466,$A$1:A466,A467)</f>
        <v/>
      </c>
      <c r="K467">
        <f>SUMIFS($I$1:I466,$A$1:A466,A467)</f>
        <v/>
      </c>
      <c r="L467">
        <f>IFERROR(VLOOKUP(A467,Opening!$A:$C,3,0),0)</f>
        <v/>
      </c>
      <c r="M467">
        <f>IF(I467=0,0,MAX(0,MIN(INDEX(Month!H$2:H$13,MATCH($A467,Month!$A$2:$A$13,0))-K467,I467)))</f>
        <v/>
      </c>
      <c r="N467">
        <f>IF(I467=0,0,MAX(0,MIN(INDEX(Month!I$2:I$13,MATCH($A467,Month!$A$2:$A$13,0))-K467,I467)))</f>
        <v/>
      </c>
      <c r="O467">
        <f>IF(I467=0,0,MAX(0,MIN(INDEX(Month!J$2:J$13,MATCH($A467,Month!$A$2:$A$13,0))-K467,I467)))</f>
        <v/>
      </c>
      <c r="P467">
        <f>IF(I467=0,0,(MIN(MAX(K467,0),L467)*W467+SUMPRODUCT((Calc!$A$2:$A$1001=A467)*Calc!$G$2:$G$1001*(((K467-(L467+Calc!$J$2:$J$1001))&gt;0)*((K467-(L467+Calc!$J$2:$J$1001))&lt;Calc!$F$2:$F$1001)*(K467-(L467+Calc!$J$2:$J$1001))+((K467-(L467+Calc!$J$2:$J$1001))&gt;=Calc!$F$2:$F$1001)*Calc!$F$2:$F$1001))))</f>
        <v/>
      </c>
      <c r="Q467">
        <f>IF(I467=0,0,(MIN(MAX((K467+M467),0),L467)*W467+SUMPRODUCT((Calc!$A$2:$A$1001=A467)*Calc!$G$2:$G$1001*((((K467+M467)-(L467+Calc!$J$2:$J$1001))&gt;0)*(((K467+M467)-(L467+Calc!$J$2:$J$1001))&lt;Calc!$F$2:$F$1001)*((K467+M467)-(L467+Calc!$J$2:$J$1001))+(((K467+M467)-(L467+Calc!$J$2:$J$1001))&gt;=Calc!$F$2:$F$1001)*Calc!$F$2:$F$1001))))</f>
        <v/>
      </c>
      <c r="R467">
        <f>IF(I467=0,0,(MIN(MAX((K467+N467),0),L467)*W467+SUMPRODUCT((Calc!$A$2:$A$1001=A467)*Calc!$G$2:$G$1001*((((K467+N467)-(L467+Calc!$J$2:$J$1001))&gt;0)*(((K467+N467)-(L467+Calc!$J$2:$J$1001))&lt;Calc!$F$2:$F$1001)*((K467+N467)-(L467+Calc!$J$2:$J$1001))+(((K467+N467)-(L467+Calc!$J$2:$J$1001))&gt;=Calc!$F$2:$F$1001)*Calc!$F$2:$F$1001))))</f>
        <v/>
      </c>
      <c r="S467">
        <f>IF(I467=0,0,(MIN(MAX((K467+O467),0),L467)*W467+SUMPRODUCT((Calc!$A$2:$A$1001=A467)*Calc!$G$2:$G$1001*((((K467+O467)-(L467+Calc!$J$2:$J$1001))&gt;0)*(((K467+O467)-(L467+Calc!$J$2:$J$1001))&lt;Calc!$F$2:$F$1001)*((K467+O467)-(L467+Calc!$J$2:$J$1001))+(((K467+O467)-(L467+Calc!$J$2:$J$1001))&gt;=Calc!$F$2:$F$1001)*Calc!$F$2:$F$1001))))</f>
        <v/>
      </c>
      <c r="T467">
        <f>IF(AND(E467=1,B467="RETURN"),Transactions!E467*Transactions!G467,0)</f>
        <v/>
      </c>
      <c r="U467">
        <f>IF(AND(E467=1,B467="EXPENSE"),Transactions!J467,0)</f>
        <v/>
      </c>
      <c r="V467">
        <f>IF(AND(Transactions!A467&lt;&gt;"",E467=0),ROW(),"")</f>
        <v/>
      </c>
      <c r="W467">
        <f>IFERROR(VLOOKUP(A467,Opening!$A:$D,4,0),0)</f>
        <v/>
      </c>
    </row>
    <row r="468">
      <c r="A468">
        <f>IF(Transactions!D468="","",UPPER(TRIM(Transactions!D468)))</f>
        <v/>
      </c>
      <c r="B468">
        <f>IF(Transactions!C468="","",UPPER(TRIM(Transactions!C468)))</f>
        <v/>
      </c>
      <c r="C468">
        <f>IF(Transactions!B468="",0,YEAR(Transactions!B468)*100+MONTH(Transactions!B468))</f>
        <v/>
      </c>
      <c r="D468">
        <f>IF(Transactions!A468="",1,IF(COUNTIF(Transactions!$A$1:A467,Transactions!A468)&gt;0,1,0))</f>
        <v/>
      </c>
      <c r="E468">
        <f>IF(D468=1,0,IF(B468="RETURN",IF(COUNTIFS($A$1:A467,A468,$B$1:B467,"SALE",$E$1:E467,1)&gt;0,1,0),1))</f>
        <v/>
      </c>
      <c r="F468">
        <f>IF(E468=1,IF(B468="RECEIPT",Transactions!E468,IF(AND(B468="RETURN",LOWER(TRIM(Transactions!H468))="resellable"),Transactions!E468,0)),0)</f>
        <v/>
      </c>
      <c r="G468">
        <f>IF(F468&gt;0,IF(B468="RECEIPT",Transactions!F468,IF(_xlfn.MAXIFS($H$2:H468,$A$2:A468,A468)&gt;0,INDEX(Transactions!$F:$F,_xlfn.MAXIFS($H$2:H468,$A$2:A468,A468)),W468)),0)</f>
        <v/>
      </c>
      <c r="H468">
        <f>IF(AND(E468=1,B468="RECEIPT"),ROW(),0)</f>
        <v/>
      </c>
      <c r="I468">
        <f>IF(E468=1,IF(OR(B468="SALE",B468="WRITEOFF"),Transactions!E468,0),0)</f>
        <v/>
      </c>
      <c r="J468">
        <f>SUMIFS($F$1:F467,$A$1:A467,A468)</f>
        <v/>
      </c>
      <c r="K468">
        <f>SUMIFS($I$1:I467,$A$1:A467,A468)</f>
        <v/>
      </c>
      <c r="L468">
        <f>IFERROR(VLOOKUP(A468,Opening!$A:$C,3,0),0)</f>
        <v/>
      </c>
      <c r="M468">
        <f>IF(I468=0,0,MAX(0,MIN(INDEX(Month!H$2:H$13,MATCH($A468,Month!$A$2:$A$13,0))-K468,I468)))</f>
        <v/>
      </c>
      <c r="N468">
        <f>IF(I468=0,0,MAX(0,MIN(INDEX(Month!I$2:I$13,MATCH($A468,Month!$A$2:$A$13,0))-K468,I468)))</f>
        <v/>
      </c>
      <c r="O468">
        <f>IF(I468=0,0,MAX(0,MIN(INDEX(Month!J$2:J$13,MATCH($A468,Month!$A$2:$A$13,0))-K468,I468)))</f>
        <v/>
      </c>
      <c r="P468">
        <f>IF(I468=0,0,(MIN(MAX(K468,0),L468)*W468+SUMPRODUCT((Calc!$A$2:$A$1001=A468)*Calc!$G$2:$G$1001*(((K468-(L468+Calc!$J$2:$J$1001))&gt;0)*((K468-(L468+Calc!$J$2:$J$1001))&lt;Calc!$F$2:$F$1001)*(K468-(L468+Calc!$J$2:$J$1001))+((K468-(L468+Calc!$J$2:$J$1001))&gt;=Calc!$F$2:$F$1001)*Calc!$F$2:$F$1001))))</f>
        <v/>
      </c>
      <c r="Q468">
        <f>IF(I468=0,0,(MIN(MAX((K468+M468),0),L468)*W468+SUMPRODUCT((Calc!$A$2:$A$1001=A468)*Calc!$G$2:$G$1001*((((K468+M468)-(L468+Calc!$J$2:$J$1001))&gt;0)*(((K468+M468)-(L468+Calc!$J$2:$J$1001))&lt;Calc!$F$2:$F$1001)*((K468+M468)-(L468+Calc!$J$2:$J$1001))+(((K468+M468)-(L468+Calc!$J$2:$J$1001))&gt;=Calc!$F$2:$F$1001)*Calc!$F$2:$F$1001))))</f>
        <v/>
      </c>
      <c r="R468">
        <f>IF(I468=0,0,(MIN(MAX((K468+N468),0),L468)*W468+SUMPRODUCT((Calc!$A$2:$A$1001=A468)*Calc!$G$2:$G$1001*((((K468+N468)-(L468+Calc!$J$2:$J$1001))&gt;0)*(((K468+N468)-(L468+Calc!$J$2:$J$1001))&lt;Calc!$F$2:$F$1001)*((K468+N468)-(L468+Calc!$J$2:$J$1001))+(((K468+N468)-(L468+Calc!$J$2:$J$1001))&gt;=Calc!$F$2:$F$1001)*Calc!$F$2:$F$1001))))</f>
        <v/>
      </c>
      <c r="S468">
        <f>IF(I468=0,0,(MIN(MAX((K468+O468),0),L468)*W468+SUMPRODUCT((Calc!$A$2:$A$1001=A468)*Calc!$G$2:$G$1001*((((K468+O468)-(L468+Calc!$J$2:$J$1001))&gt;0)*(((K468+O468)-(L468+Calc!$J$2:$J$1001))&lt;Calc!$F$2:$F$1001)*((K468+O468)-(L468+Calc!$J$2:$J$1001))+(((K468+O468)-(L468+Calc!$J$2:$J$1001))&gt;=Calc!$F$2:$F$1001)*Calc!$F$2:$F$1001))))</f>
        <v/>
      </c>
      <c r="T468">
        <f>IF(AND(E468=1,B468="RETURN"),Transactions!E468*Transactions!G468,0)</f>
        <v/>
      </c>
      <c r="U468">
        <f>IF(AND(E468=1,B468="EXPENSE"),Transactions!J468,0)</f>
        <v/>
      </c>
      <c r="V468">
        <f>IF(AND(Transactions!A468&lt;&gt;"",E468=0),ROW(),"")</f>
        <v/>
      </c>
      <c r="W468">
        <f>IFERROR(VLOOKUP(A468,Opening!$A:$D,4,0),0)</f>
        <v/>
      </c>
    </row>
    <row r="469">
      <c r="A469">
        <f>IF(Transactions!D469="","",UPPER(TRIM(Transactions!D469)))</f>
        <v/>
      </c>
      <c r="B469">
        <f>IF(Transactions!C469="","",UPPER(TRIM(Transactions!C469)))</f>
        <v/>
      </c>
      <c r="C469">
        <f>IF(Transactions!B469="",0,YEAR(Transactions!B469)*100+MONTH(Transactions!B469))</f>
        <v/>
      </c>
      <c r="D469">
        <f>IF(Transactions!A469="",1,IF(COUNTIF(Transactions!$A$1:A468,Transactions!A469)&gt;0,1,0))</f>
        <v/>
      </c>
      <c r="E469">
        <f>IF(D469=1,0,IF(B469="RETURN",IF(COUNTIFS($A$1:A468,A469,$B$1:B468,"SALE",$E$1:E468,1)&gt;0,1,0),1))</f>
        <v/>
      </c>
      <c r="F469">
        <f>IF(E469=1,IF(B469="RECEIPT",Transactions!E469,IF(AND(B469="RETURN",LOWER(TRIM(Transactions!H469))="resellable"),Transactions!E469,0)),0)</f>
        <v/>
      </c>
      <c r="G469">
        <f>IF(F469&gt;0,IF(B469="RECEIPT",Transactions!F469,IF(_xlfn.MAXIFS($H$2:H469,$A$2:A469,A469)&gt;0,INDEX(Transactions!$F:$F,_xlfn.MAXIFS($H$2:H469,$A$2:A469,A469)),W469)),0)</f>
        <v/>
      </c>
      <c r="H469">
        <f>IF(AND(E469=1,B469="RECEIPT"),ROW(),0)</f>
        <v/>
      </c>
      <c r="I469">
        <f>IF(E469=1,IF(OR(B469="SALE",B469="WRITEOFF"),Transactions!E469,0),0)</f>
        <v/>
      </c>
      <c r="J469">
        <f>SUMIFS($F$1:F468,$A$1:A468,A469)</f>
        <v/>
      </c>
      <c r="K469">
        <f>SUMIFS($I$1:I468,$A$1:A468,A469)</f>
        <v/>
      </c>
      <c r="L469">
        <f>IFERROR(VLOOKUP(A469,Opening!$A:$C,3,0),0)</f>
        <v/>
      </c>
      <c r="M469">
        <f>IF(I469=0,0,MAX(0,MIN(INDEX(Month!H$2:H$13,MATCH($A469,Month!$A$2:$A$13,0))-K469,I469)))</f>
        <v/>
      </c>
      <c r="N469">
        <f>IF(I469=0,0,MAX(0,MIN(INDEX(Month!I$2:I$13,MATCH($A469,Month!$A$2:$A$13,0))-K469,I469)))</f>
        <v/>
      </c>
      <c r="O469">
        <f>IF(I469=0,0,MAX(0,MIN(INDEX(Month!J$2:J$13,MATCH($A469,Month!$A$2:$A$13,0))-K469,I469)))</f>
        <v/>
      </c>
      <c r="P469">
        <f>IF(I469=0,0,(MIN(MAX(K469,0),L469)*W469+SUMPRODUCT((Calc!$A$2:$A$1001=A469)*Calc!$G$2:$G$1001*(((K469-(L469+Calc!$J$2:$J$1001))&gt;0)*((K469-(L469+Calc!$J$2:$J$1001))&lt;Calc!$F$2:$F$1001)*(K469-(L469+Calc!$J$2:$J$1001))+((K469-(L469+Calc!$J$2:$J$1001))&gt;=Calc!$F$2:$F$1001)*Calc!$F$2:$F$1001))))</f>
        <v/>
      </c>
      <c r="Q469">
        <f>IF(I469=0,0,(MIN(MAX((K469+M469),0),L469)*W469+SUMPRODUCT((Calc!$A$2:$A$1001=A469)*Calc!$G$2:$G$1001*((((K469+M469)-(L469+Calc!$J$2:$J$1001))&gt;0)*(((K469+M469)-(L469+Calc!$J$2:$J$1001))&lt;Calc!$F$2:$F$1001)*((K469+M469)-(L469+Calc!$J$2:$J$1001))+(((K469+M469)-(L469+Calc!$J$2:$J$1001))&gt;=Calc!$F$2:$F$1001)*Calc!$F$2:$F$1001))))</f>
        <v/>
      </c>
      <c r="R469">
        <f>IF(I469=0,0,(MIN(MAX((K469+N469),0),L469)*W469+SUMPRODUCT((Calc!$A$2:$A$1001=A469)*Calc!$G$2:$G$1001*((((K469+N469)-(L469+Calc!$J$2:$J$1001))&gt;0)*(((K469+N469)-(L469+Calc!$J$2:$J$1001))&lt;Calc!$F$2:$F$1001)*((K469+N469)-(L469+Calc!$J$2:$J$1001))+(((K469+N469)-(L469+Calc!$J$2:$J$1001))&gt;=Calc!$F$2:$F$1001)*Calc!$F$2:$F$1001))))</f>
        <v/>
      </c>
      <c r="S469">
        <f>IF(I469=0,0,(MIN(MAX((K469+O469),0),L469)*W469+SUMPRODUCT((Calc!$A$2:$A$1001=A469)*Calc!$G$2:$G$1001*((((K469+O469)-(L469+Calc!$J$2:$J$1001))&gt;0)*(((K469+O469)-(L469+Calc!$J$2:$J$1001))&lt;Calc!$F$2:$F$1001)*((K469+O469)-(L469+Calc!$J$2:$J$1001))+(((K469+O469)-(L469+Calc!$J$2:$J$1001))&gt;=Calc!$F$2:$F$1001)*Calc!$F$2:$F$1001))))</f>
        <v/>
      </c>
      <c r="T469">
        <f>IF(AND(E469=1,B469="RETURN"),Transactions!E469*Transactions!G469,0)</f>
        <v/>
      </c>
      <c r="U469">
        <f>IF(AND(E469=1,B469="EXPENSE"),Transactions!J469,0)</f>
        <v/>
      </c>
      <c r="V469">
        <f>IF(AND(Transactions!A469&lt;&gt;"",E469=0),ROW(),"")</f>
        <v/>
      </c>
      <c r="W469">
        <f>IFERROR(VLOOKUP(A469,Opening!$A:$D,4,0),0)</f>
        <v/>
      </c>
    </row>
    <row r="470">
      <c r="A470">
        <f>IF(Transactions!D470="","",UPPER(TRIM(Transactions!D470)))</f>
        <v/>
      </c>
      <c r="B470">
        <f>IF(Transactions!C470="","",UPPER(TRIM(Transactions!C470)))</f>
        <v/>
      </c>
      <c r="C470">
        <f>IF(Transactions!B470="",0,YEAR(Transactions!B470)*100+MONTH(Transactions!B470))</f>
        <v/>
      </c>
      <c r="D470">
        <f>IF(Transactions!A470="",1,IF(COUNTIF(Transactions!$A$1:A469,Transactions!A470)&gt;0,1,0))</f>
        <v/>
      </c>
      <c r="E470">
        <f>IF(D470=1,0,IF(B470="RETURN",IF(COUNTIFS($A$1:A469,A470,$B$1:B469,"SALE",$E$1:E469,1)&gt;0,1,0),1))</f>
        <v/>
      </c>
      <c r="F470">
        <f>IF(E470=1,IF(B470="RECEIPT",Transactions!E470,IF(AND(B470="RETURN",LOWER(TRIM(Transactions!H470))="resellable"),Transactions!E470,0)),0)</f>
        <v/>
      </c>
      <c r="G470">
        <f>IF(F470&gt;0,IF(B470="RECEIPT",Transactions!F470,IF(_xlfn.MAXIFS($H$2:H470,$A$2:A470,A470)&gt;0,INDEX(Transactions!$F:$F,_xlfn.MAXIFS($H$2:H470,$A$2:A470,A470)),W470)),0)</f>
        <v/>
      </c>
      <c r="H470">
        <f>IF(AND(E470=1,B470="RECEIPT"),ROW(),0)</f>
        <v/>
      </c>
      <c r="I470">
        <f>IF(E470=1,IF(OR(B470="SALE",B470="WRITEOFF"),Transactions!E470,0),0)</f>
        <v/>
      </c>
      <c r="J470">
        <f>SUMIFS($F$1:F469,$A$1:A469,A470)</f>
        <v/>
      </c>
      <c r="K470">
        <f>SUMIFS($I$1:I469,$A$1:A469,A470)</f>
        <v/>
      </c>
      <c r="L470">
        <f>IFERROR(VLOOKUP(A470,Opening!$A:$C,3,0),0)</f>
        <v/>
      </c>
      <c r="M470">
        <f>IF(I470=0,0,MAX(0,MIN(INDEX(Month!H$2:H$13,MATCH($A470,Month!$A$2:$A$13,0))-K470,I470)))</f>
        <v/>
      </c>
      <c r="N470">
        <f>IF(I470=0,0,MAX(0,MIN(INDEX(Month!I$2:I$13,MATCH($A470,Month!$A$2:$A$13,0))-K470,I470)))</f>
        <v/>
      </c>
      <c r="O470">
        <f>IF(I470=0,0,MAX(0,MIN(INDEX(Month!J$2:J$13,MATCH($A470,Month!$A$2:$A$13,0))-K470,I470)))</f>
        <v/>
      </c>
      <c r="P470">
        <f>IF(I470=0,0,(MIN(MAX(K470,0),L470)*W470+SUMPRODUCT((Calc!$A$2:$A$1001=A470)*Calc!$G$2:$G$1001*(((K470-(L470+Calc!$J$2:$J$1001))&gt;0)*((K470-(L470+Calc!$J$2:$J$1001))&lt;Calc!$F$2:$F$1001)*(K470-(L470+Calc!$J$2:$J$1001))+((K470-(L470+Calc!$J$2:$J$1001))&gt;=Calc!$F$2:$F$1001)*Calc!$F$2:$F$1001))))</f>
        <v/>
      </c>
      <c r="Q470">
        <f>IF(I470=0,0,(MIN(MAX((K470+M470),0),L470)*W470+SUMPRODUCT((Calc!$A$2:$A$1001=A470)*Calc!$G$2:$G$1001*((((K470+M470)-(L470+Calc!$J$2:$J$1001))&gt;0)*(((K470+M470)-(L470+Calc!$J$2:$J$1001))&lt;Calc!$F$2:$F$1001)*((K470+M470)-(L470+Calc!$J$2:$J$1001))+(((K470+M470)-(L470+Calc!$J$2:$J$1001))&gt;=Calc!$F$2:$F$1001)*Calc!$F$2:$F$1001))))</f>
        <v/>
      </c>
      <c r="R470">
        <f>IF(I470=0,0,(MIN(MAX((K470+N470),0),L470)*W470+SUMPRODUCT((Calc!$A$2:$A$1001=A470)*Calc!$G$2:$G$1001*((((K470+N470)-(L470+Calc!$J$2:$J$1001))&gt;0)*(((K470+N470)-(L470+Calc!$J$2:$J$1001))&lt;Calc!$F$2:$F$1001)*((K470+N470)-(L470+Calc!$J$2:$J$1001))+(((K470+N470)-(L470+Calc!$J$2:$J$1001))&gt;=Calc!$F$2:$F$1001)*Calc!$F$2:$F$1001))))</f>
        <v/>
      </c>
      <c r="S470">
        <f>IF(I470=0,0,(MIN(MAX((K470+O470),0),L470)*W470+SUMPRODUCT((Calc!$A$2:$A$1001=A470)*Calc!$G$2:$G$1001*((((K470+O470)-(L470+Calc!$J$2:$J$1001))&gt;0)*(((K470+O470)-(L470+Calc!$J$2:$J$1001))&lt;Calc!$F$2:$F$1001)*((K470+O470)-(L470+Calc!$J$2:$J$1001))+(((K470+O470)-(L470+Calc!$J$2:$J$1001))&gt;=Calc!$F$2:$F$1001)*Calc!$F$2:$F$1001))))</f>
        <v/>
      </c>
      <c r="T470">
        <f>IF(AND(E470=1,B470="RETURN"),Transactions!E470*Transactions!G470,0)</f>
        <v/>
      </c>
      <c r="U470">
        <f>IF(AND(E470=1,B470="EXPENSE"),Transactions!J470,0)</f>
        <v/>
      </c>
      <c r="V470">
        <f>IF(AND(Transactions!A470&lt;&gt;"",E470=0),ROW(),"")</f>
        <v/>
      </c>
      <c r="W470">
        <f>IFERROR(VLOOKUP(A470,Opening!$A:$D,4,0),0)</f>
        <v/>
      </c>
    </row>
    <row r="471">
      <c r="A471">
        <f>IF(Transactions!D471="","",UPPER(TRIM(Transactions!D471)))</f>
        <v/>
      </c>
      <c r="B471">
        <f>IF(Transactions!C471="","",UPPER(TRIM(Transactions!C471)))</f>
        <v/>
      </c>
      <c r="C471">
        <f>IF(Transactions!B471="",0,YEAR(Transactions!B471)*100+MONTH(Transactions!B471))</f>
        <v/>
      </c>
      <c r="D471">
        <f>IF(Transactions!A471="",1,IF(COUNTIF(Transactions!$A$1:A470,Transactions!A471)&gt;0,1,0))</f>
        <v/>
      </c>
      <c r="E471">
        <f>IF(D471=1,0,IF(B471="RETURN",IF(COUNTIFS($A$1:A470,A471,$B$1:B470,"SALE",$E$1:E470,1)&gt;0,1,0),1))</f>
        <v/>
      </c>
      <c r="F471">
        <f>IF(E471=1,IF(B471="RECEIPT",Transactions!E471,IF(AND(B471="RETURN",LOWER(TRIM(Transactions!H471))="resellable"),Transactions!E471,0)),0)</f>
        <v/>
      </c>
      <c r="G471">
        <f>IF(F471&gt;0,IF(B471="RECEIPT",Transactions!F471,IF(_xlfn.MAXIFS($H$2:H471,$A$2:A471,A471)&gt;0,INDEX(Transactions!$F:$F,_xlfn.MAXIFS($H$2:H471,$A$2:A471,A471)),W471)),0)</f>
        <v/>
      </c>
      <c r="H471">
        <f>IF(AND(E471=1,B471="RECEIPT"),ROW(),0)</f>
        <v/>
      </c>
      <c r="I471">
        <f>IF(E471=1,IF(OR(B471="SALE",B471="WRITEOFF"),Transactions!E471,0),0)</f>
        <v/>
      </c>
      <c r="J471">
        <f>SUMIFS($F$1:F470,$A$1:A470,A471)</f>
        <v/>
      </c>
      <c r="K471">
        <f>SUMIFS($I$1:I470,$A$1:A470,A471)</f>
        <v/>
      </c>
      <c r="L471">
        <f>IFERROR(VLOOKUP(A471,Opening!$A:$C,3,0),0)</f>
        <v/>
      </c>
      <c r="M471">
        <f>IF(I471=0,0,MAX(0,MIN(INDEX(Month!H$2:H$13,MATCH($A471,Month!$A$2:$A$13,0))-K471,I471)))</f>
        <v/>
      </c>
      <c r="N471">
        <f>IF(I471=0,0,MAX(0,MIN(INDEX(Month!I$2:I$13,MATCH($A471,Month!$A$2:$A$13,0))-K471,I471)))</f>
        <v/>
      </c>
      <c r="O471">
        <f>IF(I471=0,0,MAX(0,MIN(INDEX(Month!J$2:J$13,MATCH($A471,Month!$A$2:$A$13,0))-K471,I471)))</f>
        <v/>
      </c>
      <c r="P471">
        <f>IF(I471=0,0,(MIN(MAX(K471,0),L471)*W471+SUMPRODUCT((Calc!$A$2:$A$1001=A471)*Calc!$G$2:$G$1001*(((K471-(L471+Calc!$J$2:$J$1001))&gt;0)*((K471-(L471+Calc!$J$2:$J$1001))&lt;Calc!$F$2:$F$1001)*(K471-(L471+Calc!$J$2:$J$1001))+((K471-(L471+Calc!$J$2:$J$1001))&gt;=Calc!$F$2:$F$1001)*Calc!$F$2:$F$1001))))</f>
        <v/>
      </c>
      <c r="Q471">
        <f>IF(I471=0,0,(MIN(MAX((K471+M471),0),L471)*W471+SUMPRODUCT((Calc!$A$2:$A$1001=A471)*Calc!$G$2:$G$1001*((((K471+M471)-(L471+Calc!$J$2:$J$1001))&gt;0)*(((K471+M471)-(L471+Calc!$J$2:$J$1001))&lt;Calc!$F$2:$F$1001)*((K471+M471)-(L471+Calc!$J$2:$J$1001))+(((K471+M471)-(L471+Calc!$J$2:$J$1001))&gt;=Calc!$F$2:$F$1001)*Calc!$F$2:$F$1001))))</f>
        <v/>
      </c>
      <c r="R471">
        <f>IF(I471=0,0,(MIN(MAX((K471+N471),0),L471)*W471+SUMPRODUCT((Calc!$A$2:$A$1001=A471)*Calc!$G$2:$G$1001*((((K471+N471)-(L471+Calc!$J$2:$J$1001))&gt;0)*(((K471+N471)-(L471+Calc!$J$2:$J$1001))&lt;Calc!$F$2:$F$1001)*((K471+N471)-(L471+Calc!$J$2:$J$1001))+(((K471+N471)-(L471+Calc!$J$2:$J$1001))&gt;=Calc!$F$2:$F$1001)*Calc!$F$2:$F$1001))))</f>
        <v/>
      </c>
      <c r="S471">
        <f>IF(I471=0,0,(MIN(MAX((K471+O471),0),L471)*W471+SUMPRODUCT((Calc!$A$2:$A$1001=A471)*Calc!$G$2:$G$1001*((((K471+O471)-(L471+Calc!$J$2:$J$1001))&gt;0)*(((K471+O471)-(L471+Calc!$J$2:$J$1001))&lt;Calc!$F$2:$F$1001)*((K471+O471)-(L471+Calc!$J$2:$J$1001))+(((K471+O471)-(L471+Calc!$J$2:$J$1001))&gt;=Calc!$F$2:$F$1001)*Calc!$F$2:$F$1001))))</f>
        <v/>
      </c>
      <c r="T471">
        <f>IF(AND(E471=1,B471="RETURN"),Transactions!E471*Transactions!G471,0)</f>
        <v/>
      </c>
      <c r="U471">
        <f>IF(AND(E471=1,B471="EXPENSE"),Transactions!J471,0)</f>
        <v/>
      </c>
      <c r="V471">
        <f>IF(AND(Transactions!A471&lt;&gt;"",E471=0),ROW(),"")</f>
        <v/>
      </c>
      <c r="W471">
        <f>IFERROR(VLOOKUP(A471,Opening!$A:$D,4,0),0)</f>
        <v/>
      </c>
    </row>
    <row r="472">
      <c r="A472">
        <f>IF(Transactions!D472="","",UPPER(TRIM(Transactions!D472)))</f>
        <v/>
      </c>
      <c r="B472">
        <f>IF(Transactions!C472="","",UPPER(TRIM(Transactions!C472)))</f>
        <v/>
      </c>
      <c r="C472">
        <f>IF(Transactions!B472="",0,YEAR(Transactions!B472)*100+MONTH(Transactions!B472))</f>
        <v/>
      </c>
      <c r="D472">
        <f>IF(Transactions!A472="",1,IF(COUNTIF(Transactions!$A$1:A471,Transactions!A472)&gt;0,1,0))</f>
        <v/>
      </c>
      <c r="E472">
        <f>IF(D472=1,0,IF(B472="RETURN",IF(COUNTIFS($A$1:A471,A472,$B$1:B471,"SALE",$E$1:E471,1)&gt;0,1,0),1))</f>
        <v/>
      </c>
      <c r="F472">
        <f>IF(E472=1,IF(B472="RECEIPT",Transactions!E472,IF(AND(B472="RETURN",LOWER(TRIM(Transactions!H472))="resellable"),Transactions!E472,0)),0)</f>
        <v/>
      </c>
      <c r="G472">
        <f>IF(F472&gt;0,IF(B472="RECEIPT",Transactions!F472,IF(_xlfn.MAXIFS($H$2:H472,$A$2:A472,A472)&gt;0,INDEX(Transactions!$F:$F,_xlfn.MAXIFS($H$2:H472,$A$2:A472,A472)),W472)),0)</f>
        <v/>
      </c>
      <c r="H472">
        <f>IF(AND(E472=1,B472="RECEIPT"),ROW(),0)</f>
        <v/>
      </c>
      <c r="I472">
        <f>IF(E472=1,IF(OR(B472="SALE",B472="WRITEOFF"),Transactions!E472,0),0)</f>
        <v/>
      </c>
      <c r="J472">
        <f>SUMIFS($F$1:F471,$A$1:A471,A472)</f>
        <v/>
      </c>
      <c r="K472">
        <f>SUMIFS($I$1:I471,$A$1:A471,A472)</f>
        <v/>
      </c>
      <c r="L472">
        <f>IFERROR(VLOOKUP(A472,Opening!$A:$C,3,0),0)</f>
        <v/>
      </c>
      <c r="M472">
        <f>IF(I472=0,0,MAX(0,MIN(INDEX(Month!H$2:H$13,MATCH($A472,Month!$A$2:$A$13,0))-K472,I472)))</f>
        <v/>
      </c>
      <c r="N472">
        <f>IF(I472=0,0,MAX(0,MIN(INDEX(Month!I$2:I$13,MATCH($A472,Month!$A$2:$A$13,0))-K472,I472)))</f>
        <v/>
      </c>
      <c r="O472">
        <f>IF(I472=0,0,MAX(0,MIN(INDEX(Month!J$2:J$13,MATCH($A472,Month!$A$2:$A$13,0))-K472,I472)))</f>
        <v/>
      </c>
      <c r="P472">
        <f>IF(I472=0,0,(MIN(MAX(K472,0),L472)*W472+SUMPRODUCT((Calc!$A$2:$A$1001=A472)*Calc!$G$2:$G$1001*(((K472-(L472+Calc!$J$2:$J$1001))&gt;0)*((K472-(L472+Calc!$J$2:$J$1001))&lt;Calc!$F$2:$F$1001)*(K472-(L472+Calc!$J$2:$J$1001))+((K472-(L472+Calc!$J$2:$J$1001))&gt;=Calc!$F$2:$F$1001)*Calc!$F$2:$F$1001))))</f>
        <v/>
      </c>
      <c r="Q472">
        <f>IF(I472=0,0,(MIN(MAX((K472+M472),0),L472)*W472+SUMPRODUCT((Calc!$A$2:$A$1001=A472)*Calc!$G$2:$G$1001*((((K472+M472)-(L472+Calc!$J$2:$J$1001))&gt;0)*(((K472+M472)-(L472+Calc!$J$2:$J$1001))&lt;Calc!$F$2:$F$1001)*((K472+M472)-(L472+Calc!$J$2:$J$1001))+(((K472+M472)-(L472+Calc!$J$2:$J$1001))&gt;=Calc!$F$2:$F$1001)*Calc!$F$2:$F$1001))))</f>
        <v/>
      </c>
      <c r="R472">
        <f>IF(I472=0,0,(MIN(MAX((K472+N472),0),L472)*W472+SUMPRODUCT((Calc!$A$2:$A$1001=A472)*Calc!$G$2:$G$1001*((((K472+N472)-(L472+Calc!$J$2:$J$1001))&gt;0)*(((K472+N472)-(L472+Calc!$J$2:$J$1001))&lt;Calc!$F$2:$F$1001)*((K472+N472)-(L472+Calc!$J$2:$J$1001))+(((K472+N472)-(L472+Calc!$J$2:$J$1001))&gt;=Calc!$F$2:$F$1001)*Calc!$F$2:$F$1001))))</f>
        <v/>
      </c>
      <c r="S472">
        <f>IF(I472=0,0,(MIN(MAX((K472+O472),0),L472)*W472+SUMPRODUCT((Calc!$A$2:$A$1001=A472)*Calc!$G$2:$G$1001*((((K472+O472)-(L472+Calc!$J$2:$J$1001))&gt;0)*(((K472+O472)-(L472+Calc!$J$2:$J$1001))&lt;Calc!$F$2:$F$1001)*((K472+O472)-(L472+Calc!$J$2:$J$1001))+(((K472+O472)-(L472+Calc!$J$2:$J$1001))&gt;=Calc!$F$2:$F$1001)*Calc!$F$2:$F$1001))))</f>
        <v/>
      </c>
      <c r="T472">
        <f>IF(AND(E472=1,B472="RETURN"),Transactions!E472*Transactions!G472,0)</f>
        <v/>
      </c>
      <c r="U472">
        <f>IF(AND(E472=1,B472="EXPENSE"),Transactions!J472,0)</f>
        <v/>
      </c>
      <c r="V472">
        <f>IF(AND(Transactions!A472&lt;&gt;"",E472=0),ROW(),"")</f>
        <v/>
      </c>
      <c r="W472">
        <f>IFERROR(VLOOKUP(A472,Opening!$A:$D,4,0),0)</f>
        <v/>
      </c>
    </row>
    <row r="473">
      <c r="A473">
        <f>IF(Transactions!D473="","",UPPER(TRIM(Transactions!D473)))</f>
        <v/>
      </c>
      <c r="B473">
        <f>IF(Transactions!C473="","",UPPER(TRIM(Transactions!C473)))</f>
        <v/>
      </c>
      <c r="C473">
        <f>IF(Transactions!B473="",0,YEAR(Transactions!B473)*100+MONTH(Transactions!B473))</f>
        <v/>
      </c>
      <c r="D473">
        <f>IF(Transactions!A473="",1,IF(COUNTIF(Transactions!$A$1:A472,Transactions!A473)&gt;0,1,0))</f>
        <v/>
      </c>
      <c r="E473">
        <f>IF(D473=1,0,IF(B473="RETURN",IF(COUNTIFS($A$1:A472,A473,$B$1:B472,"SALE",$E$1:E472,1)&gt;0,1,0),1))</f>
        <v/>
      </c>
      <c r="F473">
        <f>IF(E473=1,IF(B473="RECEIPT",Transactions!E473,IF(AND(B473="RETURN",LOWER(TRIM(Transactions!H473))="resellable"),Transactions!E473,0)),0)</f>
        <v/>
      </c>
      <c r="G473">
        <f>IF(F473&gt;0,IF(B473="RECEIPT",Transactions!F473,IF(_xlfn.MAXIFS($H$2:H473,$A$2:A473,A473)&gt;0,INDEX(Transactions!$F:$F,_xlfn.MAXIFS($H$2:H473,$A$2:A473,A473)),W473)),0)</f>
        <v/>
      </c>
      <c r="H473">
        <f>IF(AND(E473=1,B473="RECEIPT"),ROW(),0)</f>
        <v/>
      </c>
      <c r="I473">
        <f>IF(E473=1,IF(OR(B473="SALE",B473="WRITEOFF"),Transactions!E473,0),0)</f>
        <v/>
      </c>
      <c r="J473">
        <f>SUMIFS($F$1:F472,$A$1:A472,A473)</f>
        <v/>
      </c>
      <c r="K473">
        <f>SUMIFS($I$1:I472,$A$1:A472,A473)</f>
        <v/>
      </c>
      <c r="L473">
        <f>IFERROR(VLOOKUP(A473,Opening!$A:$C,3,0),0)</f>
        <v/>
      </c>
      <c r="M473">
        <f>IF(I473=0,0,MAX(0,MIN(INDEX(Month!H$2:H$13,MATCH($A473,Month!$A$2:$A$13,0))-K473,I473)))</f>
        <v/>
      </c>
      <c r="N473">
        <f>IF(I473=0,0,MAX(0,MIN(INDEX(Month!I$2:I$13,MATCH($A473,Month!$A$2:$A$13,0))-K473,I473)))</f>
        <v/>
      </c>
      <c r="O473">
        <f>IF(I473=0,0,MAX(0,MIN(INDEX(Month!J$2:J$13,MATCH($A473,Month!$A$2:$A$13,0))-K473,I473)))</f>
        <v/>
      </c>
      <c r="P473">
        <f>IF(I473=0,0,(MIN(MAX(K473,0),L473)*W473+SUMPRODUCT((Calc!$A$2:$A$1001=A473)*Calc!$G$2:$G$1001*(((K473-(L473+Calc!$J$2:$J$1001))&gt;0)*((K473-(L473+Calc!$J$2:$J$1001))&lt;Calc!$F$2:$F$1001)*(K473-(L473+Calc!$J$2:$J$1001))+((K473-(L473+Calc!$J$2:$J$1001))&gt;=Calc!$F$2:$F$1001)*Calc!$F$2:$F$1001))))</f>
        <v/>
      </c>
      <c r="Q473">
        <f>IF(I473=0,0,(MIN(MAX((K473+M473),0),L473)*W473+SUMPRODUCT((Calc!$A$2:$A$1001=A473)*Calc!$G$2:$G$1001*((((K473+M473)-(L473+Calc!$J$2:$J$1001))&gt;0)*(((K473+M473)-(L473+Calc!$J$2:$J$1001))&lt;Calc!$F$2:$F$1001)*((K473+M473)-(L473+Calc!$J$2:$J$1001))+(((K473+M473)-(L473+Calc!$J$2:$J$1001))&gt;=Calc!$F$2:$F$1001)*Calc!$F$2:$F$1001))))</f>
        <v/>
      </c>
      <c r="R473">
        <f>IF(I473=0,0,(MIN(MAX((K473+N473),0),L473)*W473+SUMPRODUCT((Calc!$A$2:$A$1001=A473)*Calc!$G$2:$G$1001*((((K473+N473)-(L473+Calc!$J$2:$J$1001))&gt;0)*(((K473+N473)-(L473+Calc!$J$2:$J$1001))&lt;Calc!$F$2:$F$1001)*((K473+N473)-(L473+Calc!$J$2:$J$1001))+(((K473+N473)-(L473+Calc!$J$2:$J$1001))&gt;=Calc!$F$2:$F$1001)*Calc!$F$2:$F$1001))))</f>
        <v/>
      </c>
      <c r="S473">
        <f>IF(I473=0,0,(MIN(MAX((K473+O473),0),L473)*W473+SUMPRODUCT((Calc!$A$2:$A$1001=A473)*Calc!$G$2:$G$1001*((((K473+O473)-(L473+Calc!$J$2:$J$1001))&gt;0)*(((K473+O473)-(L473+Calc!$J$2:$J$1001))&lt;Calc!$F$2:$F$1001)*((K473+O473)-(L473+Calc!$J$2:$J$1001))+(((K473+O473)-(L473+Calc!$J$2:$J$1001))&gt;=Calc!$F$2:$F$1001)*Calc!$F$2:$F$1001))))</f>
        <v/>
      </c>
      <c r="T473">
        <f>IF(AND(E473=1,B473="RETURN"),Transactions!E473*Transactions!G473,0)</f>
        <v/>
      </c>
      <c r="U473">
        <f>IF(AND(E473=1,B473="EXPENSE"),Transactions!J473,0)</f>
        <v/>
      </c>
      <c r="V473">
        <f>IF(AND(Transactions!A473&lt;&gt;"",E473=0),ROW(),"")</f>
        <v/>
      </c>
      <c r="W473">
        <f>IFERROR(VLOOKUP(A473,Opening!$A:$D,4,0),0)</f>
        <v/>
      </c>
    </row>
    <row r="474">
      <c r="A474">
        <f>IF(Transactions!D474="","",UPPER(TRIM(Transactions!D474)))</f>
        <v/>
      </c>
      <c r="B474">
        <f>IF(Transactions!C474="","",UPPER(TRIM(Transactions!C474)))</f>
        <v/>
      </c>
      <c r="C474">
        <f>IF(Transactions!B474="",0,YEAR(Transactions!B474)*100+MONTH(Transactions!B474))</f>
        <v/>
      </c>
      <c r="D474">
        <f>IF(Transactions!A474="",1,IF(COUNTIF(Transactions!$A$1:A473,Transactions!A474)&gt;0,1,0))</f>
        <v/>
      </c>
      <c r="E474">
        <f>IF(D474=1,0,IF(B474="RETURN",IF(COUNTIFS($A$1:A473,A474,$B$1:B473,"SALE",$E$1:E473,1)&gt;0,1,0),1))</f>
        <v/>
      </c>
      <c r="F474">
        <f>IF(E474=1,IF(B474="RECEIPT",Transactions!E474,IF(AND(B474="RETURN",LOWER(TRIM(Transactions!H474))="resellable"),Transactions!E474,0)),0)</f>
        <v/>
      </c>
      <c r="G474">
        <f>IF(F474&gt;0,IF(B474="RECEIPT",Transactions!F474,IF(_xlfn.MAXIFS($H$2:H474,$A$2:A474,A474)&gt;0,INDEX(Transactions!$F:$F,_xlfn.MAXIFS($H$2:H474,$A$2:A474,A474)),W474)),0)</f>
        <v/>
      </c>
      <c r="H474">
        <f>IF(AND(E474=1,B474="RECEIPT"),ROW(),0)</f>
        <v/>
      </c>
      <c r="I474">
        <f>IF(E474=1,IF(OR(B474="SALE",B474="WRITEOFF"),Transactions!E474,0),0)</f>
        <v/>
      </c>
      <c r="J474">
        <f>SUMIFS($F$1:F473,$A$1:A473,A474)</f>
        <v/>
      </c>
      <c r="K474">
        <f>SUMIFS($I$1:I473,$A$1:A473,A474)</f>
        <v/>
      </c>
      <c r="L474">
        <f>IFERROR(VLOOKUP(A474,Opening!$A:$C,3,0),0)</f>
        <v/>
      </c>
      <c r="M474">
        <f>IF(I474=0,0,MAX(0,MIN(INDEX(Month!H$2:H$13,MATCH($A474,Month!$A$2:$A$13,0))-K474,I474)))</f>
        <v/>
      </c>
      <c r="N474">
        <f>IF(I474=0,0,MAX(0,MIN(INDEX(Month!I$2:I$13,MATCH($A474,Month!$A$2:$A$13,0))-K474,I474)))</f>
        <v/>
      </c>
      <c r="O474">
        <f>IF(I474=0,0,MAX(0,MIN(INDEX(Month!J$2:J$13,MATCH($A474,Month!$A$2:$A$13,0))-K474,I474)))</f>
        <v/>
      </c>
      <c r="P474">
        <f>IF(I474=0,0,(MIN(MAX(K474,0),L474)*W474+SUMPRODUCT((Calc!$A$2:$A$1001=A474)*Calc!$G$2:$G$1001*(((K474-(L474+Calc!$J$2:$J$1001))&gt;0)*((K474-(L474+Calc!$J$2:$J$1001))&lt;Calc!$F$2:$F$1001)*(K474-(L474+Calc!$J$2:$J$1001))+((K474-(L474+Calc!$J$2:$J$1001))&gt;=Calc!$F$2:$F$1001)*Calc!$F$2:$F$1001))))</f>
        <v/>
      </c>
      <c r="Q474">
        <f>IF(I474=0,0,(MIN(MAX((K474+M474),0),L474)*W474+SUMPRODUCT((Calc!$A$2:$A$1001=A474)*Calc!$G$2:$G$1001*((((K474+M474)-(L474+Calc!$J$2:$J$1001))&gt;0)*(((K474+M474)-(L474+Calc!$J$2:$J$1001))&lt;Calc!$F$2:$F$1001)*((K474+M474)-(L474+Calc!$J$2:$J$1001))+(((K474+M474)-(L474+Calc!$J$2:$J$1001))&gt;=Calc!$F$2:$F$1001)*Calc!$F$2:$F$1001))))</f>
        <v/>
      </c>
      <c r="R474">
        <f>IF(I474=0,0,(MIN(MAX((K474+N474),0),L474)*W474+SUMPRODUCT((Calc!$A$2:$A$1001=A474)*Calc!$G$2:$G$1001*((((K474+N474)-(L474+Calc!$J$2:$J$1001))&gt;0)*(((K474+N474)-(L474+Calc!$J$2:$J$1001))&lt;Calc!$F$2:$F$1001)*((K474+N474)-(L474+Calc!$J$2:$J$1001))+(((K474+N474)-(L474+Calc!$J$2:$J$1001))&gt;=Calc!$F$2:$F$1001)*Calc!$F$2:$F$1001))))</f>
        <v/>
      </c>
      <c r="S474">
        <f>IF(I474=0,0,(MIN(MAX((K474+O474),0),L474)*W474+SUMPRODUCT((Calc!$A$2:$A$1001=A474)*Calc!$G$2:$G$1001*((((K474+O474)-(L474+Calc!$J$2:$J$1001))&gt;0)*(((K474+O474)-(L474+Calc!$J$2:$J$1001))&lt;Calc!$F$2:$F$1001)*((K474+O474)-(L474+Calc!$J$2:$J$1001))+(((K474+O474)-(L474+Calc!$J$2:$J$1001))&gt;=Calc!$F$2:$F$1001)*Calc!$F$2:$F$1001))))</f>
        <v/>
      </c>
      <c r="T474">
        <f>IF(AND(E474=1,B474="RETURN"),Transactions!E474*Transactions!G474,0)</f>
        <v/>
      </c>
      <c r="U474">
        <f>IF(AND(E474=1,B474="EXPENSE"),Transactions!J474,0)</f>
        <v/>
      </c>
      <c r="V474">
        <f>IF(AND(Transactions!A474&lt;&gt;"",E474=0),ROW(),"")</f>
        <v/>
      </c>
      <c r="W474">
        <f>IFERROR(VLOOKUP(A474,Opening!$A:$D,4,0),0)</f>
        <v/>
      </c>
    </row>
    <row r="475">
      <c r="A475">
        <f>IF(Transactions!D475="","",UPPER(TRIM(Transactions!D475)))</f>
        <v/>
      </c>
      <c r="B475">
        <f>IF(Transactions!C475="","",UPPER(TRIM(Transactions!C475)))</f>
        <v/>
      </c>
      <c r="C475">
        <f>IF(Transactions!B475="",0,YEAR(Transactions!B475)*100+MONTH(Transactions!B475))</f>
        <v/>
      </c>
      <c r="D475">
        <f>IF(Transactions!A475="",1,IF(COUNTIF(Transactions!$A$1:A474,Transactions!A475)&gt;0,1,0))</f>
        <v/>
      </c>
      <c r="E475">
        <f>IF(D475=1,0,IF(B475="RETURN",IF(COUNTIFS($A$1:A474,A475,$B$1:B474,"SALE",$E$1:E474,1)&gt;0,1,0),1))</f>
        <v/>
      </c>
      <c r="F475">
        <f>IF(E475=1,IF(B475="RECEIPT",Transactions!E475,IF(AND(B475="RETURN",LOWER(TRIM(Transactions!H475))="resellable"),Transactions!E475,0)),0)</f>
        <v/>
      </c>
      <c r="G475">
        <f>IF(F475&gt;0,IF(B475="RECEIPT",Transactions!F475,IF(_xlfn.MAXIFS($H$2:H475,$A$2:A475,A475)&gt;0,INDEX(Transactions!$F:$F,_xlfn.MAXIFS($H$2:H475,$A$2:A475,A475)),W475)),0)</f>
        <v/>
      </c>
      <c r="H475">
        <f>IF(AND(E475=1,B475="RECEIPT"),ROW(),0)</f>
        <v/>
      </c>
      <c r="I475">
        <f>IF(E475=1,IF(OR(B475="SALE",B475="WRITEOFF"),Transactions!E475,0),0)</f>
        <v/>
      </c>
      <c r="J475">
        <f>SUMIFS($F$1:F474,$A$1:A474,A475)</f>
        <v/>
      </c>
      <c r="K475">
        <f>SUMIFS($I$1:I474,$A$1:A474,A475)</f>
        <v/>
      </c>
      <c r="L475">
        <f>IFERROR(VLOOKUP(A475,Opening!$A:$C,3,0),0)</f>
        <v/>
      </c>
      <c r="M475">
        <f>IF(I475=0,0,MAX(0,MIN(INDEX(Month!H$2:H$13,MATCH($A475,Month!$A$2:$A$13,0))-K475,I475)))</f>
        <v/>
      </c>
      <c r="N475">
        <f>IF(I475=0,0,MAX(0,MIN(INDEX(Month!I$2:I$13,MATCH($A475,Month!$A$2:$A$13,0))-K475,I475)))</f>
        <v/>
      </c>
      <c r="O475">
        <f>IF(I475=0,0,MAX(0,MIN(INDEX(Month!J$2:J$13,MATCH($A475,Month!$A$2:$A$13,0))-K475,I475)))</f>
        <v/>
      </c>
      <c r="P475">
        <f>IF(I475=0,0,(MIN(MAX(K475,0),L475)*W475+SUMPRODUCT((Calc!$A$2:$A$1001=A475)*Calc!$G$2:$G$1001*(((K475-(L475+Calc!$J$2:$J$1001))&gt;0)*((K475-(L475+Calc!$J$2:$J$1001))&lt;Calc!$F$2:$F$1001)*(K475-(L475+Calc!$J$2:$J$1001))+((K475-(L475+Calc!$J$2:$J$1001))&gt;=Calc!$F$2:$F$1001)*Calc!$F$2:$F$1001))))</f>
        <v/>
      </c>
      <c r="Q475">
        <f>IF(I475=0,0,(MIN(MAX((K475+M475),0),L475)*W475+SUMPRODUCT((Calc!$A$2:$A$1001=A475)*Calc!$G$2:$G$1001*((((K475+M475)-(L475+Calc!$J$2:$J$1001))&gt;0)*(((K475+M475)-(L475+Calc!$J$2:$J$1001))&lt;Calc!$F$2:$F$1001)*((K475+M475)-(L475+Calc!$J$2:$J$1001))+(((K475+M475)-(L475+Calc!$J$2:$J$1001))&gt;=Calc!$F$2:$F$1001)*Calc!$F$2:$F$1001))))</f>
        <v/>
      </c>
      <c r="R475">
        <f>IF(I475=0,0,(MIN(MAX((K475+N475),0),L475)*W475+SUMPRODUCT((Calc!$A$2:$A$1001=A475)*Calc!$G$2:$G$1001*((((K475+N475)-(L475+Calc!$J$2:$J$1001))&gt;0)*(((K475+N475)-(L475+Calc!$J$2:$J$1001))&lt;Calc!$F$2:$F$1001)*((K475+N475)-(L475+Calc!$J$2:$J$1001))+(((K475+N475)-(L475+Calc!$J$2:$J$1001))&gt;=Calc!$F$2:$F$1001)*Calc!$F$2:$F$1001))))</f>
        <v/>
      </c>
      <c r="S475">
        <f>IF(I475=0,0,(MIN(MAX((K475+O475),0),L475)*W475+SUMPRODUCT((Calc!$A$2:$A$1001=A475)*Calc!$G$2:$G$1001*((((K475+O475)-(L475+Calc!$J$2:$J$1001))&gt;0)*(((K475+O475)-(L475+Calc!$J$2:$J$1001))&lt;Calc!$F$2:$F$1001)*((K475+O475)-(L475+Calc!$J$2:$J$1001))+(((K475+O475)-(L475+Calc!$J$2:$J$1001))&gt;=Calc!$F$2:$F$1001)*Calc!$F$2:$F$1001))))</f>
        <v/>
      </c>
      <c r="T475">
        <f>IF(AND(E475=1,B475="RETURN"),Transactions!E475*Transactions!G475,0)</f>
        <v/>
      </c>
      <c r="U475">
        <f>IF(AND(E475=1,B475="EXPENSE"),Transactions!J475,0)</f>
        <v/>
      </c>
      <c r="V475">
        <f>IF(AND(Transactions!A475&lt;&gt;"",E475=0),ROW(),"")</f>
        <v/>
      </c>
      <c r="W475">
        <f>IFERROR(VLOOKUP(A475,Opening!$A:$D,4,0),0)</f>
        <v/>
      </c>
    </row>
    <row r="476">
      <c r="A476">
        <f>IF(Transactions!D476="","",UPPER(TRIM(Transactions!D476)))</f>
        <v/>
      </c>
      <c r="B476">
        <f>IF(Transactions!C476="","",UPPER(TRIM(Transactions!C476)))</f>
        <v/>
      </c>
      <c r="C476">
        <f>IF(Transactions!B476="",0,YEAR(Transactions!B476)*100+MONTH(Transactions!B476))</f>
        <v/>
      </c>
      <c r="D476">
        <f>IF(Transactions!A476="",1,IF(COUNTIF(Transactions!$A$1:A475,Transactions!A476)&gt;0,1,0))</f>
        <v/>
      </c>
      <c r="E476">
        <f>IF(D476=1,0,IF(B476="RETURN",IF(COUNTIFS($A$1:A475,A476,$B$1:B475,"SALE",$E$1:E475,1)&gt;0,1,0),1))</f>
        <v/>
      </c>
      <c r="F476">
        <f>IF(E476=1,IF(B476="RECEIPT",Transactions!E476,IF(AND(B476="RETURN",LOWER(TRIM(Transactions!H476))="resellable"),Transactions!E476,0)),0)</f>
        <v/>
      </c>
      <c r="G476">
        <f>IF(F476&gt;0,IF(B476="RECEIPT",Transactions!F476,IF(_xlfn.MAXIFS($H$2:H476,$A$2:A476,A476)&gt;0,INDEX(Transactions!$F:$F,_xlfn.MAXIFS($H$2:H476,$A$2:A476,A476)),W476)),0)</f>
        <v/>
      </c>
      <c r="H476">
        <f>IF(AND(E476=1,B476="RECEIPT"),ROW(),0)</f>
        <v/>
      </c>
      <c r="I476">
        <f>IF(E476=1,IF(OR(B476="SALE",B476="WRITEOFF"),Transactions!E476,0),0)</f>
        <v/>
      </c>
      <c r="J476">
        <f>SUMIFS($F$1:F475,$A$1:A475,A476)</f>
        <v/>
      </c>
      <c r="K476">
        <f>SUMIFS($I$1:I475,$A$1:A475,A476)</f>
        <v/>
      </c>
      <c r="L476">
        <f>IFERROR(VLOOKUP(A476,Opening!$A:$C,3,0),0)</f>
        <v/>
      </c>
      <c r="M476">
        <f>IF(I476=0,0,MAX(0,MIN(INDEX(Month!H$2:H$13,MATCH($A476,Month!$A$2:$A$13,0))-K476,I476)))</f>
        <v/>
      </c>
      <c r="N476">
        <f>IF(I476=0,0,MAX(0,MIN(INDEX(Month!I$2:I$13,MATCH($A476,Month!$A$2:$A$13,0))-K476,I476)))</f>
        <v/>
      </c>
      <c r="O476">
        <f>IF(I476=0,0,MAX(0,MIN(INDEX(Month!J$2:J$13,MATCH($A476,Month!$A$2:$A$13,0))-K476,I476)))</f>
        <v/>
      </c>
      <c r="P476">
        <f>IF(I476=0,0,(MIN(MAX(K476,0),L476)*W476+SUMPRODUCT((Calc!$A$2:$A$1001=A476)*Calc!$G$2:$G$1001*(((K476-(L476+Calc!$J$2:$J$1001))&gt;0)*((K476-(L476+Calc!$J$2:$J$1001))&lt;Calc!$F$2:$F$1001)*(K476-(L476+Calc!$J$2:$J$1001))+((K476-(L476+Calc!$J$2:$J$1001))&gt;=Calc!$F$2:$F$1001)*Calc!$F$2:$F$1001))))</f>
        <v/>
      </c>
      <c r="Q476">
        <f>IF(I476=0,0,(MIN(MAX((K476+M476),0),L476)*W476+SUMPRODUCT((Calc!$A$2:$A$1001=A476)*Calc!$G$2:$G$1001*((((K476+M476)-(L476+Calc!$J$2:$J$1001))&gt;0)*(((K476+M476)-(L476+Calc!$J$2:$J$1001))&lt;Calc!$F$2:$F$1001)*((K476+M476)-(L476+Calc!$J$2:$J$1001))+(((K476+M476)-(L476+Calc!$J$2:$J$1001))&gt;=Calc!$F$2:$F$1001)*Calc!$F$2:$F$1001))))</f>
        <v/>
      </c>
      <c r="R476">
        <f>IF(I476=0,0,(MIN(MAX((K476+N476),0),L476)*W476+SUMPRODUCT((Calc!$A$2:$A$1001=A476)*Calc!$G$2:$G$1001*((((K476+N476)-(L476+Calc!$J$2:$J$1001))&gt;0)*(((K476+N476)-(L476+Calc!$J$2:$J$1001))&lt;Calc!$F$2:$F$1001)*((K476+N476)-(L476+Calc!$J$2:$J$1001))+(((K476+N476)-(L476+Calc!$J$2:$J$1001))&gt;=Calc!$F$2:$F$1001)*Calc!$F$2:$F$1001))))</f>
        <v/>
      </c>
      <c r="S476">
        <f>IF(I476=0,0,(MIN(MAX((K476+O476),0),L476)*W476+SUMPRODUCT((Calc!$A$2:$A$1001=A476)*Calc!$G$2:$G$1001*((((K476+O476)-(L476+Calc!$J$2:$J$1001))&gt;0)*(((K476+O476)-(L476+Calc!$J$2:$J$1001))&lt;Calc!$F$2:$F$1001)*((K476+O476)-(L476+Calc!$J$2:$J$1001))+(((K476+O476)-(L476+Calc!$J$2:$J$1001))&gt;=Calc!$F$2:$F$1001)*Calc!$F$2:$F$1001))))</f>
        <v/>
      </c>
      <c r="T476">
        <f>IF(AND(E476=1,B476="RETURN"),Transactions!E476*Transactions!G476,0)</f>
        <v/>
      </c>
      <c r="U476">
        <f>IF(AND(E476=1,B476="EXPENSE"),Transactions!J476,0)</f>
        <v/>
      </c>
      <c r="V476">
        <f>IF(AND(Transactions!A476&lt;&gt;"",E476=0),ROW(),"")</f>
        <v/>
      </c>
      <c r="W476">
        <f>IFERROR(VLOOKUP(A476,Opening!$A:$D,4,0),0)</f>
        <v/>
      </c>
    </row>
    <row r="477">
      <c r="A477">
        <f>IF(Transactions!D477="","",UPPER(TRIM(Transactions!D477)))</f>
        <v/>
      </c>
      <c r="B477">
        <f>IF(Transactions!C477="","",UPPER(TRIM(Transactions!C477)))</f>
        <v/>
      </c>
      <c r="C477">
        <f>IF(Transactions!B477="",0,YEAR(Transactions!B477)*100+MONTH(Transactions!B477))</f>
        <v/>
      </c>
      <c r="D477">
        <f>IF(Transactions!A477="",1,IF(COUNTIF(Transactions!$A$1:A476,Transactions!A477)&gt;0,1,0))</f>
        <v/>
      </c>
      <c r="E477">
        <f>IF(D477=1,0,IF(B477="RETURN",IF(COUNTIFS($A$1:A476,A477,$B$1:B476,"SALE",$E$1:E476,1)&gt;0,1,0),1))</f>
        <v/>
      </c>
      <c r="F477">
        <f>IF(E477=1,IF(B477="RECEIPT",Transactions!E477,IF(AND(B477="RETURN",LOWER(TRIM(Transactions!H477))="resellable"),Transactions!E477,0)),0)</f>
        <v/>
      </c>
      <c r="G477">
        <f>IF(F477&gt;0,IF(B477="RECEIPT",Transactions!F477,IF(_xlfn.MAXIFS($H$2:H477,$A$2:A477,A477)&gt;0,INDEX(Transactions!$F:$F,_xlfn.MAXIFS($H$2:H477,$A$2:A477,A477)),W477)),0)</f>
        <v/>
      </c>
      <c r="H477">
        <f>IF(AND(E477=1,B477="RECEIPT"),ROW(),0)</f>
        <v/>
      </c>
      <c r="I477">
        <f>IF(E477=1,IF(OR(B477="SALE",B477="WRITEOFF"),Transactions!E477,0),0)</f>
        <v/>
      </c>
      <c r="J477">
        <f>SUMIFS($F$1:F476,$A$1:A476,A477)</f>
        <v/>
      </c>
      <c r="K477">
        <f>SUMIFS($I$1:I476,$A$1:A476,A477)</f>
        <v/>
      </c>
      <c r="L477">
        <f>IFERROR(VLOOKUP(A477,Opening!$A:$C,3,0),0)</f>
        <v/>
      </c>
      <c r="M477">
        <f>IF(I477=0,0,MAX(0,MIN(INDEX(Month!H$2:H$13,MATCH($A477,Month!$A$2:$A$13,0))-K477,I477)))</f>
        <v/>
      </c>
      <c r="N477">
        <f>IF(I477=0,0,MAX(0,MIN(INDEX(Month!I$2:I$13,MATCH($A477,Month!$A$2:$A$13,0))-K477,I477)))</f>
        <v/>
      </c>
      <c r="O477">
        <f>IF(I477=0,0,MAX(0,MIN(INDEX(Month!J$2:J$13,MATCH($A477,Month!$A$2:$A$13,0))-K477,I477)))</f>
        <v/>
      </c>
      <c r="P477">
        <f>IF(I477=0,0,(MIN(MAX(K477,0),L477)*W477+SUMPRODUCT((Calc!$A$2:$A$1001=A477)*Calc!$G$2:$G$1001*(((K477-(L477+Calc!$J$2:$J$1001))&gt;0)*((K477-(L477+Calc!$J$2:$J$1001))&lt;Calc!$F$2:$F$1001)*(K477-(L477+Calc!$J$2:$J$1001))+((K477-(L477+Calc!$J$2:$J$1001))&gt;=Calc!$F$2:$F$1001)*Calc!$F$2:$F$1001))))</f>
        <v/>
      </c>
      <c r="Q477">
        <f>IF(I477=0,0,(MIN(MAX((K477+M477),0),L477)*W477+SUMPRODUCT((Calc!$A$2:$A$1001=A477)*Calc!$G$2:$G$1001*((((K477+M477)-(L477+Calc!$J$2:$J$1001))&gt;0)*(((K477+M477)-(L477+Calc!$J$2:$J$1001))&lt;Calc!$F$2:$F$1001)*((K477+M477)-(L477+Calc!$J$2:$J$1001))+(((K477+M477)-(L477+Calc!$J$2:$J$1001))&gt;=Calc!$F$2:$F$1001)*Calc!$F$2:$F$1001))))</f>
        <v/>
      </c>
      <c r="R477">
        <f>IF(I477=0,0,(MIN(MAX((K477+N477),0),L477)*W477+SUMPRODUCT((Calc!$A$2:$A$1001=A477)*Calc!$G$2:$G$1001*((((K477+N477)-(L477+Calc!$J$2:$J$1001))&gt;0)*(((K477+N477)-(L477+Calc!$J$2:$J$1001))&lt;Calc!$F$2:$F$1001)*((K477+N477)-(L477+Calc!$J$2:$J$1001))+(((K477+N477)-(L477+Calc!$J$2:$J$1001))&gt;=Calc!$F$2:$F$1001)*Calc!$F$2:$F$1001))))</f>
        <v/>
      </c>
      <c r="S477">
        <f>IF(I477=0,0,(MIN(MAX((K477+O477),0),L477)*W477+SUMPRODUCT((Calc!$A$2:$A$1001=A477)*Calc!$G$2:$G$1001*((((K477+O477)-(L477+Calc!$J$2:$J$1001))&gt;0)*(((K477+O477)-(L477+Calc!$J$2:$J$1001))&lt;Calc!$F$2:$F$1001)*((K477+O477)-(L477+Calc!$J$2:$J$1001))+(((K477+O477)-(L477+Calc!$J$2:$J$1001))&gt;=Calc!$F$2:$F$1001)*Calc!$F$2:$F$1001))))</f>
        <v/>
      </c>
      <c r="T477">
        <f>IF(AND(E477=1,B477="RETURN"),Transactions!E477*Transactions!G477,0)</f>
        <v/>
      </c>
      <c r="U477">
        <f>IF(AND(E477=1,B477="EXPENSE"),Transactions!J477,0)</f>
        <v/>
      </c>
      <c r="V477">
        <f>IF(AND(Transactions!A477&lt;&gt;"",E477=0),ROW(),"")</f>
        <v/>
      </c>
      <c r="W477">
        <f>IFERROR(VLOOKUP(A477,Opening!$A:$D,4,0),0)</f>
        <v/>
      </c>
    </row>
    <row r="478">
      <c r="A478">
        <f>IF(Transactions!D478="","",UPPER(TRIM(Transactions!D478)))</f>
        <v/>
      </c>
      <c r="B478">
        <f>IF(Transactions!C478="","",UPPER(TRIM(Transactions!C478)))</f>
        <v/>
      </c>
      <c r="C478">
        <f>IF(Transactions!B478="",0,YEAR(Transactions!B478)*100+MONTH(Transactions!B478))</f>
        <v/>
      </c>
      <c r="D478">
        <f>IF(Transactions!A478="",1,IF(COUNTIF(Transactions!$A$1:A477,Transactions!A478)&gt;0,1,0))</f>
        <v/>
      </c>
      <c r="E478">
        <f>IF(D478=1,0,IF(B478="RETURN",IF(COUNTIFS($A$1:A477,A478,$B$1:B477,"SALE",$E$1:E477,1)&gt;0,1,0),1))</f>
        <v/>
      </c>
      <c r="F478">
        <f>IF(E478=1,IF(B478="RECEIPT",Transactions!E478,IF(AND(B478="RETURN",LOWER(TRIM(Transactions!H478))="resellable"),Transactions!E478,0)),0)</f>
        <v/>
      </c>
      <c r="G478">
        <f>IF(F478&gt;0,IF(B478="RECEIPT",Transactions!F478,IF(_xlfn.MAXIFS($H$2:H478,$A$2:A478,A478)&gt;0,INDEX(Transactions!$F:$F,_xlfn.MAXIFS($H$2:H478,$A$2:A478,A478)),W478)),0)</f>
        <v/>
      </c>
      <c r="H478">
        <f>IF(AND(E478=1,B478="RECEIPT"),ROW(),0)</f>
        <v/>
      </c>
      <c r="I478">
        <f>IF(E478=1,IF(OR(B478="SALE",B478="WRITEOFF"),Transactions!E478,0),0)</f>
        <v/>
      </c>
      <c r="J478">
        <f>SUMIFS($F$1:F477,$A$1:A477,A478)</f>
        <v/>
      </c>
      <c r="K478">
        <f>SUMIFS($I$1:I477,$A$1:A477,A478)</f>
        <v/>
      </c>
      <c r="L478">
        <f>IFERROR(VLOOKUP(A478,Opening!$A:$C,3,0),0)</f>
        <v/>
      </c>
      <c r="M478">
        <f>IF(I478=0,0,MAX(0,MIN(INDEX(Month!H$2:H$13,MATCH($A478,Month!$A$2:$A$13,0))-K478,I478)))</f>
        <v/>
      </c>
      <c r="N478">
        <f>IF(I478=0,0,MAX(0,MIN(INDEX(Month!I$2:I$13,MATCH($A478,Month!$A$2:$A$13,0))-K478,I478)))</f>
        <v/>
      </c>
      <c r="O478">
        <f>IF(I478=0,0,MAX(0,MIN(INDEX(Month!J$2:J$13,MATCH($A478,Month!$A$2:$A$13,0))-K478,I478)))</f>
        <v/>
      </c>
      <c r="P478">
        <f>IF(I478=0,0,(MIN(MAX(K478,0),L478)*W478+SUMPRODUCT((Calc!$A$2:$A$1001=A478)*Calc!$G$2:$G$1001*(((K478-(L478+Calc!$J$2:$J$1001))&gt;0)*((K478-(L478+Calc!$J$2:$J$1001))&lt;Calc!$F$2:$F$1001)*(K478-(L478+Calc!$J$2:$J$1001))+((K478-(L478+Calc!$J$2:$J$1001))&gt;=Calc!$F$2:$F$1001)*Calc!$F$2:$F$1001))))</f>
        <v/>
      </c>
      <c r="Q478">
        <f>IF(I478=0,0,(MIN(MAX((K478+M478),0),L478)*W478+SUMPRODUCT((Calc!$A$2:$A$1001=A478)*Calc!$G$2:$G$1001*((((K478+M478)-(L478+Calc!$J$2:$J$1001))&gt;0)*(((K478+M478)-(L478+Calc!$J$2:$J$1001))&lt;Calc!$F$2:$F$1001)*((K478+M478)-(L478+Calc!$J$2:$J$1001))+(((K478+M478)-(L478+Calc!$J$2:$J$1001))&gt;=Calc!$F$2:$F$1001)*Calc!$F$2:$F$1001))))</f>
        <v/>
      </c>
      <c r="R478">
        <f>IF(I478=0,0,(MIN(MAX((K478+N478),0),L478)*W478+SUMPRODUCT((Calc!$A$2:$A$1001=A478)*Calc!$G$2:$G$1001*((((K478+N478)-(L478+Calc!$J$2:$J$1001))&gt;0)*(((K478+N478)-(L478+Calc!$J$2:$J$1001))&lt;Calc!$F$2:$F$1001)*((K478+N478)-(L478+Calc!$J$2:$J$1001))+(((K478+N478)-(L478+Calc!$J$2:$J$1001))&gt;=Calc!$F$2:$F$1001)*Calc!$F$2:$F$1001))))</f>
        <v/>
      </c>
      <c r="S478">
        <f>IF(I478=0,0,(MIN(MAX((K478+O478),0),L478)*W478+SUMPRODUCT((Calc!$A$2:$A$1001=A478)*Calc!$G$2:$G$1001*((((K478+O478)-(L478+Calc!$J$2:$J$1001))&gt;0)*(((K478+O478)-(L478+Calc!$J$2:$J$1001))&lt;Calc!$F$2:$F$1001)*((K478+O478)-(L478+Calc!$J$2:$J$1001))+(((K478+O478)-(L478+Calc!$J$2:$J$1001))&gt;=Calc!$F$2:$F$1001)*Calc!$F$2:$F$1001))))</f>
        <v/>
      </c>
      <c r="T478">
        <f>IF(AND(E478=1,B478="RETURN"),Transactions!E478*Transactions!G478,0)</f>
        <v/>
      </c>
      <c r="U478">
        <f>IF(AND(E478=1,B478="EXPENSE"),Transactions!J478,0)</f>
        <v/>
      </c>
      <c r="V478">
        <f>IF(AND(Transactions!A478&lt;&gt;"",E478=0),ROW(),"")</f>
        <v/>
      </c>
      <c r="W478">
        <f>IFERROR(VLOOKUP(A478,Opening!$A:$D,4,0),0)</f>
        <v/>
      </c>
    </row>
    <row r="479">
      <c r="A479">
        <f>IF(Transactions!D479="","",UPPER(TRIM(Transactions!D479)))</f>
        <v/>
      </c>
      <c r="B479">
        <f>IF(Transactions!C479="","",UPPER(TRIM(Transactions!C479)))</f>
        <v/>
      </c>
      <c r="C479">
        <f>IF(Transactions!B479="",0,YEAR(Transactions!B479)*100+MONTH(Transactions!B479))</f>
        <v/>
      </c>
      <c r="D479">
        <f>IF(Transactions!A479="",1,IF(COUNTIF(Transactions!$A$1:A478,Transactions!A479)&gt;0,1,0))</f>
        <v/>
      </c>
      <c r="E479">
        <f>IF(D479=1,0,IF(B479="RETURN",IF(COUNTIFS($A$1:A478,A479,$B$1:B478,"SALE",$E$1:E478,1)&gt;0,1,0),1))</f>
        <v/>
      </c>
      <c r="F479">
        <f>IF(E479=1,IF(B479="RECEIPT",Transactions!E479,IF(AND(B479="RETURN",LOWER(TRIM(Transactions!H479))="resellable"),Transactions!E479,0)),0)</f>
        <v/>
      </c>
      <c r="G479">
        <f>IF(F479&gt;0,IF(B479="RECEIPT",Transactions!F479,IF(_xlfn.MAXIFS($H$2:H479,$A$2:A479,A479)&gt;0,INDEX(Transactions!$F:$F,_xlfn.MAXIFS($H$2:H479,$A$2:A479,A479)),W479)),0)</f>
        <v/>
      </c>
      <c r="H479">
        <f>IF(AND(E479=1,B479="RECEIPT"),ROW(),0)</f>
        <v/>
      </c>
      <c r="I479">
        <f>IF(E479=1,IF(OR(B479="SALE",B479="WRITEOFF"),Transactions!E479,0),0)</f>
        <v/>
      </c>
      <c r="J479">
        <f>SUMIFS($F$1:F478,$A$1:A478,A479)</f>
        <v/>
      </c>
      <c r="K479">
        <f>SUMIFS($I$1:I478,$A$1:A478,A479)</f>
        <v/>
      </c>
      <c r="L479">
        <f>IFERROR(VLOOKUP(A479,Opening!$A:$C,3,0),0)</f>
        <v/>
      </c>
      <c r="M479">
        <f>IF(I479=0,0,MAX(0,MIN(INDEX(Month!H$2:H$13,MATCH($A479,Month!$A$2:$A$13,0))-K479,I479)))</f>
        <v/>
      </c>
      <c r="N479">
        <f>IF(I479=0,0,MAX(0,MIN(INDEX(Month!I$2:I$13,MATCH($A479,Month!$A$2:$A$13,0))-K479,I479)))</f>
        <v/>
      </c>
      <c r="O479">
        <f>IF(I479=0,0,MAX(0,MIN(INDEX(Month!J$2:J$13,MATCH($A479,Month!$A$2:$A$13,0))-K479,I479)))</f>
        <v/>
      </c>
      <c r="P479">
        <f>IF(I479=0,0,(MIN(MAX(K479,0),L479)*W479+SUMPRODUCT((Calc!$A$2:$A$1001=A479)*Calc!$G$2:$G$1001*(((K479-(L479+Calc!$J$2:$J$1001))&gt;0)*((K479-(L479+Calc!$J$2:$J$1001))&lt;Calc!$F$2:$F$1001)*(K479-(L479+Calc!$J$2:$J$1001))+((K479-(L479+Calc!$J$2:$J$1001))&gt;=Calc!$F$2:$F$1001)*Calc!$F$2:$F$1001))))</f>
        <v/>
      </c>
      <c r="Q479">
        <f>IF(I479=0,0,(MIN(MAX((K479+M479),0),L479)*W479+SUMPRODUCT((Calc!$A$2:$A$1001=A479)*Calc!$G$2:$G$1001*((((K479+M479)-(L479+Calc!$J$2:$J$1001))&gt;0)*(((K479+M479)-(L479+Calc!$J$2:$J$1001))&lt;Calc!$F$2:$F$1001)*((K479+M479)-(L479+Calc!$J$2:$J$1001))+(((K479+M479)-(L479+Calc!$J$2:$J$1001))&gt;=Calc!$F$2:$F$1001)*Calc!$F$2:$F$1001))))</f>
        <v/>
      </c>
      <c r="R479">
        <f>IF(I479=0,0,(MIN(MAX((K479+N479),0),L479)*W479+SUMPRODUCT((Calc!$A$2:$A$1001=A479)*Calc!$G$2:$G$1001*((((K479+N479)-(L479+Calc!$J$2:$J$1001))&gt;0)*(((K479+N479)-(L479+Calc!$J$2:$J$1001))&lt;Calc!$F$2:$F$1001)*((K479+N479)-(L479+Calc!$J$2:$J$1001))+(((K479+N479)-(L479+Calc!$J$2:$J$1001))&gt;=Calc!$F$2:$F$1001)*Calc!$F$2:$F$1001))))</f>
        <v/>
      </c>
      <c r="S479">
        <f>IF(I479=0,0,(MIN(MAX((K479+O479),0),L479)*W479+SUMPRODUCT((Calc!$A$2:$A$1001=A479)*Calc!$G$2:$G$1001*((((K479+O479)-(L479+Calc!$J$2:$J$1001))&gt;0)*(((K479+O479)-(L479+Calc!$J$2:$J$1001))&lt;Calc!$F$2:$F$1001)*((K479+O479)-(L479+Calc!$J$2:$J$1001))+(((K479+O479)-(L479+Calc!$J$2:$J$1001))&gt;=Calc!$F$2:$F$1001)*Calc!$F$2:$F$1001))))</f>
        <v/>
      </c>
      <c r="T479">
        <f>IF(AND(E479=1,B479="RETURN"),Transactions!E479*Transactions!G479,0)</f>
        <v/>
      </c>
      <c r="U479">
        <f>IF(AND(E479=1,B479="EXPENSE"),Transactions!J479,0)</f>
        <v/>
      </c>
      <c r="V479">
        <f>IF(AND(Transactions!A479&lt;&gt;"",E479=0),ROW(),"")</f>
        <v/>
      </c>
      <c r="W479">
        <f>IFERROR(VLOOKUP(A479,Opening!$A:$D,4,0),0)</f>
        <v/>
      </c>
    </row>
    <row r="480">
      <c r="A480">
        <f>IF(Transactions!D480="","",UPPER(TRIM(Transactions!D480)))</f>
        <v/>
      </c>
      <c r="B480">
        <f>IF(Transactions!C480="","",UPPER(TRIM(Transactions!C480)))</f>
        <v/>
      </c>
      <c r="C480">
        <f>IF(Transactions!B480="",0,YEAR(Transactions!B480)*100+MONTH(Transactions!B480))</f>
        <v/>
      </c>
      <c r="D480">
        <f>IF(Transactions!A480="",1,IF(COUNTIF(Transactions!$A$1:A479,Transactions!A480)&gt;0,1,0))</f>
        <v/>
      </c>
      <c r="E480">
        <f>IF(D480=1,0,IF(B480="RETURN",IF(COUNTIFS($A$1:A479,A480,$B$1:B479,"SALE",$E$1:E479,1)&gt;0,1,0),1))</f>
        <v/>
      </c>
      <c r="F480">
        <f>IF(E480=1,IF(B480="RECEIPT",Transactions!E480,IF(AND(B480="RETURN",LOWER(TRIM(Transactions!H480))="resellable"),Transactions!E480,0)),0)</f>
        <v/>
      </c>
      <c r="G480">
        <f>IF(F480&gt;0,IF(B480="RECEIPT",Transactions!F480,IF(_xlfn.MAXIFS($H$2:H480,$A$2:A480,A480)&gt;0,INDEX(Transactions!$F:$F,_xlfn.MAXIFS($H$2:H480,$A$2:A480,A480)),W480)),0)</f>
        <v/>
      </c>
      <c r="H480">
        <f>IF(AND(E480=1,B480="RECEIPT"),ROW(),0)</f>
        <v/>
      </c>
      <c r="I480">
        <f>IF(E480=1,IF(OR(B480="SALE",B480="WRITEOFF"),Transactions!E480,0),0)</f>
        <v/>
      </c>
      <c r="J480">
        <f>SUMIFS($F$1:F479,$A$1:A479,A480)</f>
        <v/>
      </c>
      <c r="K480">
        <f>SUMIFS($I$1:I479,$A$1:A479,A480)</f>
        <v/>
      </c>
      <c r="L480">
        <f>IFERROR(VLOOKUP(A480,Opening!$A:$C,3,0),0)</f>
        <v/>
      </c>
      <c r="M480">
        <f>IF(I480=0,0,MAX(0,MIN(INDEX(Month!H$2:H$13,MATCH($A480,Month!$A$2:$A$13,0))-K480,I480)))</f>
        <v/>
      </c>
      <c r="N480">
        <f>IF(I480=0,0,MAX(0,MIN(INDEX(Month!I$2:I$13,MATCH($A480,Month!$A$2:$A$13,0))-K480,I480)))</f>
        <v/>
      </c>
      <c r="O480">
        <f>IF(I480=0,0,MAX(0,MIN(INDEX(Month!J$2:J$13,MATCH($A480,Month!$A$2:$A$13,0))-K480,I480)))</f>
        <v/>
      </c>
      <c r="P480">
        <f>IF(I480=0,0,(MIN(MAX(K480,0),L480)*W480+SUMPRODUCT((Calc!$A$2:$A$1001=A480)*Calc!$G$2:$G$1001*(((K480-(L480+Calc!$J$2:$J$1001))&gt;0)*((K480-(L480+Calc!$J$2:$J$1001))&lt;Calc!$F$2:$F$1001)*(K480-(L480+Calc!$J$2:$J$1001))+((K480-(L480+Calc!$J$2:$J$1001))&gt;=Calc!$F$2:$F$1001)*Calc!$F$2:$F$1001))))</f>
        <v/>
      </c>
      <c r="Q480">
        <f>IF(I480=0,0,(MIN(MAX((K480+M480),0),L480)*W480+SUMPRODUCT((Calc!$A$2:$A$1001=A480)*Calc!$G$2:$G$1001*((((K480+M480)-(L480+Calc!$J$2:$J$1001))&gt;0)*(((K480+M480)-(L480+Calc!$J$2:$J$1001))&lt;Calc!$F$2:$F$1001)*((K480+M480)-(L480+Calc!$J$2:$J$1001))+(((K480+M480)-(L480+Calc!$J$2:$J$1001))&gt;=Calc!$F$2:$F$1001)*Calc!$F$2:$F$1001))))</f>
        <v/>
      </c>
      <c r="R480">
        <f>IF(I480=0,0,(MIN(MAX((K480+N480),0),L480)*W480+SUMPRODUCT((Calc!$A$2:$A$1001=A480)*Calc!$G$2:$G$1001*((((K480+N480)-(L480+Calc!$J$2:$J$1001))&gt;0)*(((K480+N480)-(L480+Calc!$J$2:$J$1001))&lt;Calc!$F$2:$F$1001)*((K480+N480)-(L480+Calc!$J$2:$J$1001))+(((K480+N480)-(L480+Calc!$J$2:$J$1001))&gt;=Calc!$F$2:$F$1001)*Calc!$F$2:$F$1001))))</f>
        <v/>
      </c>
      <c r="S480">
        <f>IF(I480=0,0,(MIN(MAX((K480+O480),0),L480)*W480+SUMPRODUCT((Calc!$A$2:$A$1001=A480)*Calc!$G$2:$G$1001*((((K480+O480)-(L480+Calc!$J$2:$J$1001))&gt;0)*(((K480+O480)-(L480+Calc!$J$2:$J$1001))&lt;Calc!$F$2:$F$1001)*((K480+O480)-(L480+Calc!$J$2:$J$1001))+(((K480+O480)-(L480+Calc!$J$2:$J$1001))&gt;=Calc!$F$2:$F$1001)*Calc!$F$2:$F$1001))))</f>
        <v/>
      </c>
      <c r="T480">
        <f>IF(AND(E480=1,B480="RETURN"),Transactions!E480*Transactions!G480,0)</f>
        <v/>
      </c>
      <c r="U480">
        <f>IF(AND(E480=1,B480="EXPENSE"),Transactions!J480,0)</f>
        <v/>
      </c>
      <c r="V480">
        <f>IF(AND(Transactions!A480&lt;&gt;"",E480=0),ROW(),"")</f>
        <v/>
      </c>
      <c r="W480">
        <f>IFERROR(VLOOKUP(A480,Opening!$A:$D,4,0),0)</f>
        <v/>
      </c>
    </row>
    <row r="481">
      <c r="A481">
        <f>IF(Transactions!D481="","",UPPER(TRIM(Transactions!D481)))</f>
        <v/>
      </c>
      <c r="B481">
        <f>IF(Transactions!C481="","",UPPER(TRIM(Transactions!C481)))</f>
        <v/>
      </c>
      <c r="C481">
        <f>IF(Transactions!B481="",0,YEAR(Transactions!B481)*100+MONTH(Transactions!B481))</f>
        <v/>
      </c>
      <c r="D481">
        <f>IF(Transactions!A481="",1,IF(COUNTIF(Transactions!$A$1:A480,Transactions!A481)&gt;0,1,0))</f>
        <v/>
      </c>
      <c r="E481">
        <f>IF(D481=1,0,IF(B481="RETURN",IF(COUNTIFS($A$1:A480,A481,$B$1:B480,"SALE",$E$1:E480,1)&gt;0,1,0),1))</f>
        <v/>
      </c>
      <c r="F481">
        <f>IF(E481=1,IF(B481="RECEIPT",Transactions!E481,IF(AND(B481="RETURN",LOWER(TRIM(Transactions!H481))="resellable"),Transactions!E481,0)),0)</f>
        <v/>
      </c>
      <c r="G481">
        <f>IF(F481&gt;0,IF(B481="RECEIPT",Transactions!F481,IF(_xlfn.MAXIFS($H$2:H481,$A$2:A481,A481)&gt;0,INDEX(Transactions!$F:$F,_xlfn.MAXIFS($H$2:H481,$A$2:A481,A481)),W481)),0)</f>
        <v/>
      </c>
      <c r="H481">
        <f>IF(AND(E481=1,B481="RECEIPT"),ROW(),0)</f>
        <v/>
      </c>
      <c r="I481">
        <f>IF(E481=1,IF(OR(B481="SALE",B481="WRITEOFF"),Transactions!E481,0),0)</f>
        <v/>
      </c>
      <c r="J481">
        <f>SUMIFS($F$1:F480,$A$1:A480,A481)</f>
        <v/>
      </c>
      <c r="K481">
        <f>SUMIFS($I$1:I480,$A$1:A480,A481)</f>
        <v/>
      </c>
      <c r="L481">
        <f>IFERROR(VLOOKUP(A481,Opening!$A:$C,3,0),0)</f>
        <v/>
      </c>
      <c r="M481">
        <f>IF(I481=0,0,MAX(0,MIN(INDEX(Month!H$2:H$13,MATCH($A481,Month!$A$2:$A$13,0))-K481,I481)))</f>
        <v/>
      </c>
      <c r="N481">
        <f>IF(I481=0,0,MAX(0,MIN(INDEX(Month!I$2:I$13,MATCH($A481,Month!$A$2:$A$13,0))-K481,I481)))</f>
        <v/>
      </c>
      <c r="O481">
        <f>IF(I481=0,0,MAX(0,MIN(INDEX(Month!J$2:J$13,MATCH($A481,Month!$A$2:$A$13,0))-K481,I481)))</f>
        <v/>
      </c>
      <c r="P481">
        <f>IF(I481=0,0,(MIN(MAX(K481,0),L481)*W481+SUMPRODUCT((Calc!$A$2:$A$1001=A481)*Calc!$G$2:$G$1001*(((K481-(L481+Calc!$J$2:$J$1001))&gt;0)*((K481-(L481+Calc!$J$2:$J$1001))&lt;Calc!$F$2:$F$1001)*(K481-(L481+Calc!$J$2:$J$1001))+((K481-(L481+Calc!$J$2:$J$1001))&gt;=Calc!$F$2:$F$1001)*Calc!$F$2:$F$1001))))</f>
        <v/>
      </c>
      <c r="Q481">
        <f>IF(I481=0,0,(MIN(MAX((K481+M481),0),L481)*W481+SUMPRODUCT((Calc!$A$2:$A$1001=A481)*Calc!$G$2:$G$1001*((((K481+M481)-(L481+Calc!$J$2:$J$1001))&gt;0)*(((K481+M481)-(L481+Calc!$J$2:$J$1001))&lt;Calc!$F$2:$F$1001)*((K481+M481)-(L481+Calc!$J$2:$J$1001))+(((K481+M481)-(L481+Calc!$J$2:$J$1001))&gt;=Calc!$F$2:$F$1001)*Calc!$F$2:$F$1001))))</f>
        <v/>
      </c>
      <c r="R481">
        <f>IF(I481=0,0,(MIN(MAX((K481+N481),0),L481)*W481+SUMPRODUCT((Calc!$A$2:$A$1001=A481)*Calc!$G$2:$G$1001*((((K481+N481)-(L481+Calc!$J$2:$J$1001))&gt;0)*(((K481+N481)-(L481+Calc!$J$2:$J$1001))&lt;Calc!$F$2:$F$1001)*((K481+N481)-(L481+Calc!$J$2:$J$1001))+(((K481+N481)-(L481+Calc!$J$2:$J$1001))&gt;=Calc!$F$2:$F$1001)*Calc!$F$2:$F$1001))))</f>
        <v/>
      </c>
      <c r="S481">
        <f>IF(I481=0,0,(MIN(MAX((K481+O481),0),L481)*W481+SUMPRODUCT((Calc!$A$2:$A$1001=A481)*Calc!$G$2:$G$1001*((((K481+O481)-(L481+Calc!$J$2:$J$1001))&gt;0)*(((K481+O481)-(L481+Calc!$J$2:$J$1001))&lt;Calc!$F$2:$F$1001)*((K481+O481)-(L481+Calc!$J$2:$J$1001))+(((K481+O481)-(L481+Calc!$J$2:$J$1001))&gt;=Calc!$F$2:$F$1001)*Calc!$F$2:$F$1001))))</f>
        <v/>
      </c>
      <c r="T481">
        <f>IF(AND(E481=1,B481="RETURN"),Transactions!E481*Transactions!G481,0)</f>
        <v/>
      </c>
      <c r="U481">
        <f>IF(AND(E481=1,B481="EXPENSE"),Transactions!J481,0)</f>
        <v/>
      </c>
      <c r="V481">
        <f>IF(AND(Transactions!A481&lt;&gt;"",E481=0),ROW(),"")</f>
        <v/>
      </c>
      <c r="W481">
        <f>IFERROR(VLOOKUP(A481,Opening!$A:$D,4,0),0)</f>
        <v/>
      </c>
    </row>
    <row r="482">
      <c r="A482">
        <f>IF(Transactions!D482="","",UPPER(TRIM(Transactions!D482)))</f>
        <v/>
      </c>
      <c r="B482">
        <f>IF(Transactions!C482="","",UPPER(TRIM(Transactions!C482)))</f>
        <v/>
      </c>
      <c r="C482">
        <f>IF(Transactions!B482="",0,YEAR(Transactions!B482)*100+MONTH(Transactions!B482))</f>
        <v/>
      </c>
      <c r="D482">
        <f>IF(Transactions!A482="",1,IF(COUNTIF(Transactions!$A$1:A481,Transactions!A482)&gt;0,1,0))</f>
        <v/>
      </c>
      <c r="E482">
        <f>IF(D482=1,0,IF(B482="RETURN",IF(COUNTIFS($A$1:A481,A482,$B$1:B481,"SALE",$E$1:E481,1)&gt;0,1,0),1))</f>
        <v/>
      </c>
      <c r="F482">
        <f>IF(E482=1,IF(B482="RECEIPT",Transactions!E482,IF(AND(B482="RETURN",LOWER(TRIM(Transactions!H482))="resellable"),Transactions!E482,0)),0)</f>
        <v/>
      </c>
      <c r="G482">
        <f>IF(F482&gt;0,IF(B482="RECEIPT",Transactions!F482,IF(_xlfn.MAXIFS($H$2:H482,$A$2:A482,A482)&gt;0,INDEX(Transactions!$F:$F,_xlfn.MAXIFS($H$2:H482,$A$2:A482,A482)),W482)),0)</f>
        <v/>
      </c>
      <c r="H482">
        <f>IF(AND(E482=1,B482="RECEIPT"),ROW(),0)</f>
        <v/>
      </c>
      <c r="I482">
        <f>IF(E482=1,IF(OR(B482="SALE",B482="WRITEOFF"),Transactions!E482,0),0)</f>
        <v/>
      </c>
      <c r="J482">
        <f>SUMIFS($F$1:F481,$A$1:A481,A482)</f>
        <v/>
      </c>
      <c r="K482">
        <f>SUMIFS($I$1:I481,$A$1:A481,A482)</f>
        <v/>
      </c>
      <c r="L482">
        <f>IFERROR(VLOOKUP(A482,Opening!$A:$C,3,0),0)</f>
        <v/>
      </c>
      <c r="M482">
        <f>IF(I482=0,0,MAX(0,MIN(INDEX(Month!H$2:H$13,MATCH($A482,Month!$A$2:$A$13,0))-K482,I482)))</f>
        <v/>
      </c>
      <c r="N482">
        <f>IF(I482=0,0,MAX(0,MIN(INDEX(Month!I$2:I$13,MATCH($A482,Month!$A$2:$A$13,0))-K482,I482)))</f>
        <v/>
      </c>
      <c r="O482">
        <f>IF(I482=0,0,MAX(0,MIN(INDEX(Month!J$2:J$13,MATCH($A482,Month!$A$2:$A$13,0))-K482,I482)))</f>
        <v/>
      </c>
      <c r="P482">
        <f>IF(I482=0,0,(MIN(MAX(K482,0),L482)*W482+SUMPRODUCT((Calc!$A$2:$A$1001=A482)*Calc!$G$2:$G$1001*(((K482-(L482+Calc!$J$2:$J$1001))&gt;0)*((K482-(L482+Calc!$J$2:$J$1001))&lt;Calc!$F$2:$F$1001)*(K482-(L482+Calc!$J$2:$J$1001))+((K482-(L482+Calc!$J$2:$J$1001))&gt;=Calc!$F$2:$F$1001)*Calc!$F$2:$F$1001))))</f>
        <v/>
      </c>
      <c r="Q482">
        <f>IF(I482=0,0,(MIN(MAX((K482+M482),0),L482)*W482+SUMPRODUCT((Calc!$A$2:$A$1001=A482)*Calc!$G$2:$G$1001*((((K482+M482)-(L482+Calc!$J$2:$J$1001))&gt;0)*(((K482+M482)-(L482+Calc!$J$2:$J$1001))&lt;Calc!$F$2:$F$1001)*((K482+M482)-(L482+Calc!$J$2:$J$1001))+(((K482+M482)-(L482+Calc!$J$2:$J$1001))&gt;=Calc!$F$2:$F$1001)*Calc!$F$2:$F$1001))))</f>
        <v/>
      </c>
      <c r="R482">
        <f>IF(I482=0,0,(MIN(MAX((K482+N482),0),L482)*W482+SUMPRODUCT((Calc!$A$2:$A$1001=A482)*Calc!$G$2:$G$1001*((((K482+N482)-(L482+Calc!$J$2:$J$1001))&gt;0)*(((K482+N482)-(L482+Calc!$J$2:$J$1001))&lt;Calc!$F$2:$F$1001)*((K482+N482)-(L482+Calc!$J$2:$J$1001))+(((K482+N482)-(L482+Calc!$J$2:$J$1001))&gt;=Calc!$F$2:$F$1001)*Calc!$F$2:$F$1001))))</f>
        <v/>
      </c>
      <c r="S482">
        <f>IF(I482=0,0,(MIN(MAX((K482+O482),0),L482)*W482+SUMPRODUCT((Calc!$A$2:$A$1001=A482)*Calc!$G$2:$G$1001*((((K482+O482)-(L482+Calc!$J$2:$J$1001))&gt;0)*(((K482+O482)-(L482+Calc!$J$2:$J$1001))&lt;Calc!$F$2:$F$1001)*((K482+O482)-(L482+Calc!$J$2:$J$1001))+(((K482+O482)-(L482+Calc!$J$2:$J$1001))&gt;=Calc!$F$2:$F$1001)*Calc!$F$2:$F$1001))))</f>
        <v/>
      </c>
      <c r="T482">
        <f>IF(AND(E482=1,B482="RETURN"),Transactions!E482*Transactions!G482,0)</f>
        <v/>
      </c>
      <c r="U482">
        <f>IF(AND(E482=1,B482="EXPENSE"),Transactions!J482,0)</f>
        <v/>
      </c>
      <c r="V482">
        <f>IF(AND(Transactions!A482&lt;&gt;"",E482=0),ROW(),"")</f>
        <v/>
      </c>
      <c r="W482">
        <f>IFERROR(VLOOKUP(A482,Opening!$A:$D,4,0),0)</f>
        <v/>
      </c>
    </row>
    <row r="483">
      <c r="A483">
        <f>IF(Transactions!D483="","",UPPER(TRIM(Transactions!D483)))</f>
        <v/>
      </c>
      <c r="B483">
        <f>IF(Transactions!C483="","",UPPER(TRIM(Transactions!C483)))</f>
        <v/>
      </c>
      <c r="C483">
        <f>IF(Transactions!B483="",0,YEAR(Transactions!B483)*100+MONTH(Transactions!B483))</f>
        <v/>
      </c>
      <c r="D483">
        <f>IF(Transactions!A483="",1,IF(COUNTIF(Transactions!$A$1:A482,Transactions!A483)&gt;0,1,0))</f>
        <v/>
      </c>
      <c r="E483">
        <f>IF(D483=1,0,IF(B483="RETURN",IF(COUNTIFS($A$1:A482,A483,$B$1:B482,"SALE",$E$1:E482,1)&gt;0,1,0),1))</f>
        <v/>
      </c>
      <c r="F483">
        <f>IF(E483=1,IF(B483="RECEIPT",Transactions!E483,IF(AND(B483="RETURN",LOWER(TRIM(Transactions!H483))="resellable"),Transactions!E483,0)),0)</f>
        <v/>
      </c>
      <c r="G483">
        <f>IF(F483&gt;0,IF(B483="RECEIPT",Transactions!F483,IF(_xlfn.MAXIFS($H$2:H483,$A$2:A483,A483)&gt;0,INDEX(Transactions!$F:$F,_xlfn.MAXIFS($H$2:H483,$A$2:A483,A483)),W483)),0)</f>
        <v/>
      </c>
      <c r="H483">
        <f>IF(AND(E483=1,B483="RECEIPT"),ROW(),0)</f>
        <v/>
      </c>
      <c r="I483">
        <f>IF(E483=1,IF(OR(B483="SALE",B483="WRITEOFF"),Transactions!E483,0),0)</f>
        <v/>
      </c>
      <c r="J483">
        <f>SUMIFS($F$1:F482,$A$1:A482,A483)</f>
        <v/>
      </c>
      <c r="K483">
        <f>SUMIFS($I$1:I482,$A$1:A482,A483)</f>
        <v/>
      </c>
      <c r="L483">
        <f>IFERROR(VLOOKUP(A483,Opening!$A:$C,3,0),0)</f>
        <v/>
      </c>
      <c r="M483">
        <f>IF(I483=0,0,MAX(0,MIN(INDEX(Month!H$2:H$13,MATCH($A483,Month!$A$2:$A$13,0))-K483,I483)))</f>
        <v/>
      </c>
      <c r="N483">
        <f>IF(I483=0,0,MAX(0,MIN(INDEX(Month!I$2:I$13,MATCH($A483,Month!$A$2:$A$13,0))-K483,I483)))</f>
        <v/>
      </c>
      <c r="O483">
        <f>IF(I483=0,0,MAX(0,MIN(INDEX(Month!J$2:J$13,MATCH($A483,Month!$A$2:$A$13,0))-K483,I483)))</f>
        <v/>
      </c>
      <c r="P483">
        <f>IF(I483=0,0,(MIN(MAX(K483,0),L483)*W483+SUMPRODUCT((Calc!$A$2:$A$1001=A483)*Calc!$G$2:$G$1001*(((K483-(L483+Calc!$J$2:$J$1001))&gt;0)*((K483-(L483+Calc!$J$2:$J$1001))&lt;Calc!$F$2:$F$1001)*(K483-(L483+Calc!$J$2:$J$1001))+((K483-(L483+Calc!$J$2:$J$1001))&gt;=Calc!$F$2:$F$1001)*Calc!$F$2:$F$1001))))</f>
        <v/>
      </c>
      <c r="Q483">
        <f>IF(I483=0,0,(MIN(MAX((K483+M483),0),L483)*W483+SUMPRODUCT((Calc!$A$2:$A$1001=A483)*Calc!$G$2:$G$1001*((((K483+M483)-(L483+Calc!$J$2:$J$1001))&gt;0)*(((K483+M483)-(L483+Calc!$J$2:$J$1001))&lt;Calc!$F$2:$F$1001)*((K483+M483)-(L483+Calc!$J$2:$J$1001))+(((K483+M483)-(L483+Calc!$J$2:$J$1001))&gt;=Calc!$F$2:$F$1001)*Calc!$F$2:$F$1001))))</f>
        <v/>
      </c>
      <c r="R483">
        <f>IF(I483=0,0,(MIN(MAX((K483+N483),0),L483)*W483+SUMPRODUCT((Calc!$A$2:$A$1001=A483)*Calc!$G$2:$G$1001*((((K483+N483)-(L483+Calc!$J$2:$J$1001))&gt;0)*(((K483+N483)-(L483+Calc!$J$2:$J$1001))&lt;Calc!$F$2:$F$1001)*((K483+N483)-(L483+Calc!$J$2:$J$1001))+(((K483+N483)-(L483+Calc!$J$2:$J$1001))&gt;=Calc!$F$2:$F$1001)*Calc!$F$2:$F$1001))))</f>
        <v/>
      </c>
      <c r="S483">
        <f>IF(I483=0,0,(MIN(MAX((K483+O483),0),L483)*W483+SUMPRODUCT((Calc!$A$2:$A$1001=A483)*Calc!$G$2:$G$1001*((((K483+O483)-(L483+Calc!$J$2:$J$1001))&gt;0)*(((K483+O483)-(L483+Calc!$J$2:$J$1001))&lt;Calc!$F$2:$F$1001)*((K483+O483)-(L483+Calc!$J$2:$J$1001))+(((K483+O483)-(L483+Calc!$J$2:$J$1001))&gt;=Calc!$F$2:$F$1001)*Calc!$F$2:$F$1001))))</f>
        <v/>
      </c>
      <c r="T483">
        <f>IF(AND(E483=1,B483="RETURN"),Transactions!E483*Transactions!G483,0)</f>
        <v/>
      </c>
      <c r="U483">
        <f>IF(AND(E483=1,B483="EXPENSE"),Transactions!J483,0)</f>
        <v/>
      </c>
      <c r="V483">
        <f>IF(AND(Transactions!A483&lt;&gt;"",E483=0),ROW(),"")</f>
        <v/>
      </c>
      <c r="W483">
        <f>IFERROR(VLOOKUP(A483,Opening!$A:$D,4,0),0)</f>
        <v/>
      </c>
    </row>
    <row r="484">
      <c r="A484">
        <f>IF(Transactions!D484="","",UPPER(TRIM(Transactions!D484)))</f>
        <v/>
      </c>
      <c r="B484">
        <f>IF(Transactions!C484="","",UPPER(TRIM(Transactions!C484)))</f>
        <v/>
      </c>
      <c r="C484">
        <f>IF(Transactions!B484="",0,YEAR(Transactions!B484)*100+MONTH(Transactions!B484))</f>
        <v/>
      </c>
      <c r="D484">
        <f>IF(Transactions!A484="",1,IF(COUNTIF(Transactions!$A$1:A483,Transactions!A484)&gt;0,1,0))</f>
        <v/>
      </c>
      <c r="E484">
        <f>IF(D484=1,0,IF(B484="RETURN",IF(COUNTIFS($A$1:A483,A484,$B$1:B483,"SALE",$E$1:E483,1)&gt;0,1,0),1))</f>
        <v/>
      </c>
      <c r="F484">
        <f>IF(E484=1,IF(B484="RECEIPT",Transactions!E484,IF(AND(B484="RETURN",LOWER(TRIM(Transactions!H484))="resellable"),Transactions!E484,0)),0)</f>
        <v/>
      </c>
      <c r="G484">
        <f>IF(F484&gt;0,IF(B484="RECEIPT",Transactions!F484,IF(_xlfn.MAXIFS($H$2:H484,$A$2:A484,A484)&gt;0,INDEX(Transactions!$F:$F,_xlfn.MAXIFS($H$2:H484,$A$2:A484,A484)),W484)),0)</f>
        <v/>
      </c>
      <c r="H484">
        <f>IF(AND(E484=1,B484="RECEIPT"),ROW(),0)</f>
        <v/>
      </c>
      <c r="I484">
        <f>IF(E484=1,IF(OR(B484="SALE",B484="WRITEOFF"),Transactions!E484,0),0)</f>
        <v/>
      </c>
      <c r="J484">
        <f>SUMIFS($F$1:F483,$A$1:A483,A484)</f>
        <v/>
      </c>
      <c r="K484">
        <f>SUMIFS($I$1:I483,$A$1:A483,A484)</f>
        <v/>
      </c>
      <c r="L484">
        <f>IFERROR(VLOOKUP(A484,Opening!$A:$C,3,0),0)</f>
        <v/>
      </c>
      <c r="M484">
        <f>IF(I484=0,0,MAX(0,MIN(INDEX(Month!H$2:H$13,MATCH($A484,Month!$A$2:$A$13,0))-K484,I484)))</f>
        <v/>
      </c>
      <c r="N484">
        <f>IF(I484=0,0,MAX(0,MIN(INDEX(Month!I$2:I$13,MATCH($A484,Month!$A$2:$A$13,0))-K484,I484)))</f>
        <v/>
      </c>
      <c r="O484">
        <f>IF(I484=0,0,MAX(0,MIN(INDEX(Month!J$2:J$13,MATCH($A484,Month!$A$2:$A$13,0))-K484,I484)))</f>
        <v/>
      </c>
      <c r="P484">
        <f>IF(I484=0,0,(MIN(MAX(K484,0),L484)*W484+SUMPRODUCT((Calc!$A$2:$A$1001=A484)*Calc!$G$2:$G$1001*(((K484-(L484+Calc!$J$2:$J$1001))&gt;0)*((K484-(L484+Calc!$J$2:$J$1001))&lt;Calc!$F$2:$F$1001)*(K484-(L484+Calc!$J$2:$J$1001))+((K484-(L484+Calc!$J$2:$J$1001))&gt;=Calc!$F$2:$F$1001)*Calc!$F$2:$F$1001))))</f>
        <v/>
      </c>
      <c r="Q484">
        <f>IF(I484=0,0,(MIN(MAX((K484+M484),0),L484)*W484+SUMPRODUCT((Calc!$A$2:$A$1001=A484)*Calc!$G$2:$G$1001*((((K484+M484)-(L484+Calc!$J$2:$J$1001))&gt;0)*(((K484+M484)-(L484+Calc!$J$2:$J$1001))&lt;Calc!$F$2:$F$1001)*((K484+M484)-(L484+Calc!$J$2:$J$1001))+(((K484+M484)-(L484+Calc!$J$2:$J$1001))&gt;=Calc!$F$2:$F$1001)*Calc!$F$2:$F$1001))))</f>
        <v/>
      </c>
      <c r="R484">
        <f>IF(I484=0,0,(MIN(MAX((K484+N484),0),L484)*W484+SUMPRODUCT((Calc!$A$2:$A$1001=A484)*Calc!$G$2:$G$1001*((((K484+N484)-(L484+Calc!$J$2:$J$1001))&gt;0)*(((K484+N484)-(L484+Calc!$J$2:$J$1001))&lt;Calc!$F$2:$F$1001)*((K484+N484)-(L484+Calc!$J$2:$J$1001))+(((K484+N484)-(L484+Calc!$J$2:$J$1001))&gt;=Calc!$F$2:$F$1001)*Calc!$F$2:$F$1001))))</f>
        <v/>
      </c>
      <c r="S484">
        <f>IF(I484=0,0,(MIN(MAX((K484+O484),0),L484)*W484+SUMPRODUCT((Calc!$A$2:$A$1001=A484)*Calc!$G$2:$G$1001*((((K484+O484)-(L484+Calc!$J$2:$J$1001))&gt;0)*(((K484+O484)-(L484+Calc!$J$2:$J$1001))&lt;Calc!$F$2:$F$1001)*((K484+O484)-(L484+Calc!$J$2:$J$1001))+(((K484+O484)-(L484+Calc!$J$2:$J$1001))&gt;=Calc!$F$2:$F$1001)*Calc!$F$2:$F$1001))))</f>
        <v/>
      </c>
      <c r="T484">
        <f>IF(AND(E484=1,B484="RETURN"),Transactions!E484*Transactions!G484,0)</f>
        <v/>
      </c>
      <c r="U484">
        <f>IF(AND(E484=1,B484="EXPENSE"),Transactions!J484,0)</f>
        <v/>
      </c>
      <c r="V484">
        <f>IF(AND(Transactions!A484&lt;&gt;"",E484=0),ROW(),"")</f>
        <v/>
      </c>
      <c r="W484">
        <f>IFERROR(VLOOKUP(A484,Opening!$A:$D,4,0),0)</f>
        <v/>
      </c>
    </row>
    <row r="485">
      <c r="A485">
        <f>IF(Transactions!D485="","",UPPER(TRIM(Transactions!D485)))</f>
        <v/>
      </c>
      <c r="B485">
        <f>IF(Transactions!C485="","",UPPER(TRIM(Transactions!C485)))</f>
        <v/>
      </c>
      <c r="C485">
        <f>IF(Transactions!B485="",0,YEAR(Transactions!B485)*100+MONTH(Transactions!B485))</f>
        <v/>
      </c>
      <c r="D485">
        <f>IF(Transactions!A485="",1,IF(COUNTIF(Transactions!$A$1:A484,Transactions!A485)&gt;0,1,0))</f>
        <v/>
      </c>
      <c r="E485">
        <f>IF(D485=1,0,IF(B485="RETURN",IF(COUNTIFS($A$1:A484,A485,$B$1:B484,"SALE",$E$1:E484,1)&gt;0,1,0),1))</f>
        <v/>
      </c>
      <c r="F485">
        <f>IF(E485=1,IF(B485="RECEIPT",Transactions!E485,IF(AND(B485="RETURN",LOWER(TRIM(Transactions!H485))="resellable"),Transactions!E485,0)),0)</f>
        <v/>
      </c>
      <c r="G485">
        <f>IF(F485&gt;0,IF(B485="RECEIPT",Transactions!F485,IF(_xlfn.MAXIFS($H$2:H485,$A$2:A485,A485)&gt;0,INDEX(Transactions!$F:$F,_xlfn.MAXIFS($H$2:H485,$A$2:A485,A485)),W485)),0)</f>
        <v/>
      </c>
      <c r="H485">
        <f>IF(AND(E485=1,B485="RECEIPT"),ROW(),0)</f>
        <v/>
      </c>
      <c r="I485">
        <f>IF(E485=1,IF(OR(B485="SALE",B485="WRITEOFF"),Transactions!E485,0),0)</f>
        <v/>
      </c>
      <c r="J485">
        <f>SUMIFS($F$1:F484,$A$1:A484,A485)</f>
        <v/>
      </c>
      <c r="K485">
        <f>SUMIFS($I$1:I484,$A$1:A484,A485)</f>
        <v/>
      </c>
      <c r="L485">
        <f>IFERROR(VLOOKUP(A485,Opening!$A:$C,3,0),0)</f>
        <v/>
      </c>
      <c r="M485">
        <f>IF(I485=0,0,MAX(0,MIN(INDEX(Month!H$2:H$13,MATCH($A485,Month!$A$2:$A$13,0))-K485,I485)))</f>
        <v/>
      </c>
      <c r="N485">
        <f>IF(I485=0,0,MAX(0,MIN(INDEX(Month!I$2:I$13,MATCH($A485,Month!$A$2:$A$13,0))-K485,I485)))</f>
        <v/>
      </c>
      <c r="O485">
        <f>IF(I485=0,0,MAX(0,MIN(INDEX(Month!J$2:J$13,MATCH($A485,Month!$A$2:$A$13,0))-K485,I485)))</f>
        <v/>
      </c>
      <c r="P485">
        <f>IF(I485=0,0,(MIN(MAX(K485,0),L485)*W485+SUMPRODUCT((Calc!$A$2:$A$1001=A485)*Calc!$G$2:$G$1001*(((K485-(L485+Calc!$J$2:$J$1001))&gt;0)*((K485-(L485+Calc!$J$2:$J$1001))&lt;Calc!$F$2:$F$1001)*(K485-(L485+Calc!$J$2:$J$1001))+((K485-(L485+Calc!$J$2:$J$1001))&gt;=Calc!$F$2:$F$1001)*Calc!$F$2:$F$1001))))</f>
        <v/>
      </c>
      <c r="Q485">
        <f>IF(I485=0,0,(MIN(MAX((K485+M485),0),L485)*W485+SUMPRODUCT((Calc!$A$2:$A$1001=A485)*Calc!$G$2:$G$1001*((((K485+M485)-(L485+Calc!$J$2:$J$1001))&gt;0)*(((K485+M485)-(L485+Calc!$J$2:$J$1001))&lt;Calc!$F$2:$F$1001)*((K485+M485)-(L485+Calc!$J$2:$J$1001))+(((K485+M485)-(L485+Calc!$J$2:$J$1001))&gt;=Calc!$F$2:$F$1001)*Calc!$F$2:$F$1001))))</f>
        <v/>
      </c>
      <c r="R485">
        <f>IF(I485=0,0,(MIN(MAX((K485+N485),0),L485)*W485+SUMPRODUCT((Calc!$A$2:$A$1001=A485)*Calc!$G$2:$G$1001*((((K485+N485)-(L485+Calc!$J$2:$J$1001))&gt;0)*(((K485+N485)-(L485+Calc!$J$2:$J$1001))&lt;Calc!$F$2:$F$1001)*((K485+N485)-(L485+Calc!$J$2:$J$1001))+(((K485+N485)-(L485+Calc!$J$2:$J$1001))&gt;=Calc!$F$2:$F$1001)*Calc!$F$2:$F$1001))))</f>
        <v/>
      </c>
      <c r="S485">
        <f>IF(I485=0,0,(MIN(MAX((K485+O485),0),L485)*W485+SUMPRODUCT((Calc!$A$2:$A$1001=A485)*Calc!$G$2:$G$1001*((((K485+O485)-(L485+Calc!$J$2:$J$1001))&gt;0)*(((K485+O485)-(L485+Calc!$J$2:$J$1001))&lt;Calc!$F$2:$F$1001)*((K485+O485)-(L485+Calc!$J$2:$J$1001))+(((K485+O485)-(L485+Calc!$J$2:$J$1001))&gt;=Calc!$F$2:$F$1001)*Calc!$F$2:$F$1001))))</f>
        <v/>
      </c>
      <c r="T485">
        <f>IF(AND(E485=1,B485="RETURN"),Transactions!E485*Transactions!G485,0)</f>
        <v/>
      </c>
      <c r="U485">
        <f>IF(AND(E485=1,B485="EXPENSE"),Transactions!J485,0)</f>
        <v/>
      </c>
      <c r="V485">
        <f>IF(AND(Transactions!A485&lt;&gt;"",E485=0),ROW(),"")</f>
        <v/>
      </c>
      <c r="W485">
        <f>IFERROR(VLOOKUP(A485,Opening!$A:$D,4,0),0)</f>
        <v/>
      </c>
    </row>
    <row r="486">
      <c r="A486">
        <f>IF(Transactions!D486="","",UPPER(TRIM(Transactions!D486)))</f>
        <v/>
      </c>
      <c r="B486">
        <f>IF(Transactions!C486="","",UPPER(TRIM(Transactions!C486)))</f>
        <v/>
      </c>
      <c r="C486">
        <f>IF(Transactions!B486="",0,YEAR(Transactions!B486)*100+MONTH(Transactions!B486))</f>
        <v/>
      </c>
      <c r="D486">
        <f>IF(Transactions!A486="",1,IF(COUNTIF(Transactions!$A$1:A485,Transactions!A486)&gt;0,1,0))</f>
        <v/>
      </c>
      <c r="E486">
        <f>IF(D486=1,0,IF(B486="RETURN",IF(COUNTIFS($A$1:A485,A486,$B$1:B485,"SALE",$E$1:E485,1)&gt;0,1,0),1))</f>
        <v/>
      </c>
      <c r="F486">
        <f>IF(E486=1,IF(B486="RECEIPT",Transactions!E486,IF(AND(B486="RETURN",LOWER(TRIM(Transactions!H486))="resellable"),Transactions!E486,0)),0)</f>
        <v/>
      </c>
      <c r="G486">
        <f>IF(F486&gt;0,IF(B486="RECEIPT",Transactions!F486,IF(_xlfn.MAXIFS($H$2:H486,$A$2:A486,A486)&gt;0,INDEX(Transactions!$F:$F,_xlfn.MAXIFS($H$2:H486,$A$2:A486,A486)),W486)),0)</f>
        <v/>
      </c>
      <c r="H486">
        <f>IF(AND(E486=1,B486="RECEIPT"),ROW(),0)</f>
        <v/>
      </c>
      <c r="I486">
        <f>IF(E486=1,IF(OR(B486="SALE",B486="WRITEOFF"),Transactions!E486,0),0)</f>
        <v/>
      </c>
      <c r="J486">
        <f>SUMIFS($F$1:F485,$A$1:A485,A486)</f>
        <v/>
      </c>
      <c r="K486">
        <f>SUMIFS($I$1:I485,$A$1:A485,A486)</f>
        <v/>
      </c>
      <c r="L486">
        <f>IFERROR(VLOOKUP(A486,Opening!$A:$C,3,0),0)</f>
        <v/>
      </c>
      <c r="M486">
        <f>IF(I486=0,0,MAX(0,MIN(INDEX(Month!H$2:H$13,MATCH($A486,Month!$A$2:$A$13,0))-K486,I486)))</f>
        <v/>
      </c>
      <c r="N486">
        <f>IF(I486=0,0,MAX(0,MIN(INDEX(Month!I$2:I$13,MATCH($A486,Month!$A$2:$A$13,0))-K486,I486)))</f>
        <v/>
      </c>
      <c r="O486">
        <f>IF(I486=0,0,MAX(0,MIN(INDEX(Month!J$2:J$13,MATCH($A486,Month!$A$2:$A$13,0))-K486,I486)))</f>
        <v/>
      </c>
      <c r="P486">
        <f>IF(I486=0,0,(MIN(MAX(K486,0),L486)*W486+SUMPRODUCT((Calc!$A$2:$A$1001=A486)*Calc!$G$2:$G$1001*(((K486-(L486+Calc!$J$2:$J$1001))&gt;0)*((K486-(L486+Calc!$J$2:$J$1001))&lt;Calc!$F$2:$F$1001)*(K486-(L486+Calc!$J$2:$J$1001))+((K486-(L486+Calc!$J$2:$J$1001))&gt;=Calc!$F$2:$F$1001)*Calc!$F$2:$F$1001))))</f>
        <v/>
      </c>
      <c r="Q486">
        <f>IF(I486=0,0,(MIN(MAX((K486+M486),0),L486)*W486+SUMPRODUCT((Calc!$A$2:$A$1001=A486)*Calc!$G$2:$G$1001*((((K486+M486)-(L486+Calc!$J$2:$J$1001))&gt;0)*(((K486+M486)-(L486+Calc!$J$2:$J$1001))&lt;Calc!$F$2:$F$1001)*((K486+M486)-(L486+Calc!$J$2:$J$1001))+(((K486+M486)-(L486+Calc!$J$2:$J$1001))&gt;=Calc!$F$2:$F$1001)*Calc!$F$2:$F$1001))))</f>
        <v/>
      </c>
      <c r="R486">
        <f>IF(I486=0,0,(MIN(MAX((K486+N486),0),L486)*W486+SUMPRODUCT((Calc!$A$2:$A$1001=A486)*Calc!$G$2:$G$1001*((((K486+N486)-(L486+Calc!$J$2:$J$1001))&gt;0)*(((K486+N486)-(L486+Calc!$J$2:$J$1001))&lt;Calc!$F$2:$F$1001)*((K486+N486)-(L486+Calc!$J$2:$J$1001))+(((K486+N486)-(L486+Calc!$J$2:$J$1001))&gt;=Calc!$F$2:$F$1001)*Calc!$F$2:$F$1001))))</f>
        <v/>
      </c>
      <c r="S486">
        <f>IF(I486=0,0,(MIN(MAX((K486+O486),0),L486)*W486+SUMPRODUCT((Calc!$A$2:$A$1001=A486)*Calc!$G$2:$G$1001*((((K486+O486)-(L486+Calc!$J$2:$J$1001))&gt;0)*(((K486+O486)-(L486+Calc!$J$2:$J$1001))&lt;Calc!$F$2:$F$1001)*((K486+O486)-(L486+Calc!$J$2:$J$1001))+(((K486+O486)-(L486+Calc!$J$2:$J$1001))&gt;=Calc!$F$2:$F$1001)*Calc!$F$2:$F$1001))))</f>
        <v/>
      </c>
      <c r="T486">
        <f>IF(AND(E486=1,B486="RETURN"),Transactions!E486*Transactions!G486,0)</f>
        <v/>
      </c>
      <c r="U486">
        <f>IF(AND(E486=1,B486="EXPENSE"),Transactions!J486,0)</f>
        <v/>
      </c>
      <c r="V486">
        <f>IF(AND(Transactions!A486&lt;&gt;"",E486=0),ROW(),"")</f>
        <v/>
      </c>
      <c r="W486">
        <f>IFERROR(VLOOKUP(A486,Opening!$A:$D,4,0),0)</f>
        <v/>
      </c>
    </row>
    <row r="487">
      <c r="A487">
        <f>IF(Transactions!D487="","",UPPER(TRIM(Transactions!D487)))</f>
        <v/>
      </c>
      <c r="B487">
        <f>IF(Transactions!C487="","",UPPER(TRIM(Transactions!C487)))</f>
        <v/>
      </c>
      <c r="C487">
        <f>IF(Transactions!B487="",0,YEAR(Transactions!B487)*100+MONTH(Transactions!B487))</f>
        <v/>
      </c>
      <c r="D487">
        <f>IF(Transactions!A487="",1,IF(COUNTIF(Transactions!$A$1:A486,Transactions!A487)&gt;0,1,0))</f>
        <v/>
      </c>
      <c r="E487">
        <f>IF(D487=1,0,IF(B487="RETURN",IF(COUNTIFS($A$1:A486,A487,$B$1:B486,"SALE",$E$1:E486,1)&gt;0,1,0),1))</f>
        <v/>
      </c>
      <c r="F487">
        <f>IF(E487=1,IF(B487="RECEIPT",Transactions!E487,IF(AND(B487="RETURN",LOWER(TRIM(Transactions!H487))="resellable"),Transactions!E487,0)),0)</f>
        <v/>
      </c>
      <c r="G487">
        <f>IF(F487&gt;0,IF(B487="RECEIPT",Transactions!F487,IF(_xlfn.MAXIFS($H$2:H487,$A$2:A487,A487)&gt;0,INDEX(Transactions!$F:$F,_xlfn.MAXIFS($H$2:H487,$A$2:A487,A487)),W487)),0)</f>
        <v/>
      </c>
      <c r="H487">
        <f>IF(AND(E487=1,B487="RECEIPT"),ROW(),0)</f>
        <v/>
      </c>
      <c r="I487">
        <f>IF(E487=1,IF(OR(B487="SALE",B487="WRITEOFF"),Transactions!E487,0),0)</f>
        <v/>
      </c>
      <c r="J487">
        <f>SUMIFS($F$1:F486,$A$1:A486,A487)</f>
        <v/>
      </c>
      <c r="K487">
        <f>SUMIFS($I$1:I486,$A$1:A486,A487)</f>
        <v/>
      </c>
      <c r="L487">
        <f>IFERROR(VLOOKUP(A487,Opening!$A:$C,3,0),0)</f>
        <v/>
      </c>
      <c r="M487">
        <f>IF(I487=0,0,MAX(0,MIN(INDEX(Month!H$2:H$13,MATCH($A487,Month!$A$2:$A$13,0))-K487,I487)))</f>
        <v/>
      </c>
      <c r="N487">
        <f>IF(I487=0,0,MAX(0,MIN(INDEX(Month!I$2:I$13,MATCH($A487,Month!$A$2:$A$13,0))-K487,I487)))</f>
        <v/>
      </c>
      <c r="O487">
        <f>IF(I487=0,0,MAX(0,MIN(INDEX(Month!J$2:J$13,MATCH($A487,Month!$A$2:$A$13,0))-K487,I487)))</f>
        <v/>
      </c>
      <c r="P487">
        <f>IF(I487=0,0,(MIN(MAX(K487,0),L487)*W487+SUMPRODUCT((Calc!$A$2:$A$1001=A487)*Calc!$G$2:$G$1001*(((K487-(L487+Calc!$J$2:$J$1001))&gt;0)*((K487-(L487+Calc!$J$2:$J$1001))&lt;Calc!$F$2:$F$1001)*(K487-(L487+Calc!$J$2:$J$1001))+((K487-(L487+Calc!$J$2:$J$1001))&gt;=Calc!$F$2:$F$1001)*Calc!$F$2:$F$1001))))</f>
        <v/>
      </c>
      <c r="Q487">
        <f>IF(I487=0,0,(MIN(MAX((K487+M487),0),L487)*W487+SUMPRODUCT((Calc!$A$2:$A$1001=A487)*Calc!$G$2:$G$1001*((((K487+M487)-(L487+Calc!$J$2:$J$1001))&gt;0)*(((K487+M487)-(L487+Calc!$J$2:$J$1001))&lt;Calc!$F$2:$F$1001)*((K487+M487)-(L487+Calc!$J$2:$J$1001))+(((K487+M487)-(L487+Calc!$J$2:$J$1001))&gt;=Calc!$F$2:$F$1001)*Calc!$F$2:$F$1001))))</f>
        <v/>
      </c>
      <c r="R487">
        <f>IF(I487=0,0,(MIN(MAX((K487+N487),0),L487)*W487+SUMPRODUCT((Calc!$A$2:$A$1001=A487)*Calc!$G$2:$G$1001*((((K487+N487)-(L487+Calc!$J$2:$J$1001))&gt;0)*(((K487+N487)-(L487+Calc!$J$2:$J$1001))&lt;Calc!$F$2:$F$1001)*((K487+N487)-(L487+Calc!$J$2:$J$1001))+(((K487+N487)-(L487+Calc!$J$2:$J$1001))&gt;=Calc!$F$2:$F$1001)*Calc!$F$2:$F$1001))))</f>
        <v/>
      </c>
      <c r="S487">
        <f>IF(I487=0,0,(MIN(MAX((K487+O487),0),L487)*W487+SUMPRODUCT((Calc!$A$2:$A$1001=A487)*Calc!$G$2:$G$1001*((((K487+O487)-(L487+Calc!$J$2:$J$1001))&gt;0)*(((K487+O487)-(L487+Calc!$J$2:$J$1001))&lt;Calc!$F$2:$F$1001)*((K487+O487)-(L487+Calc!$J$2:$J$1001))+(((K487+O487)-(L487+Calc!$J$2:$J$1001))&gt;=Calc!$F$2:$F$1001)*Calc!$F$2:$F$1001))))</f>
        <v/>
      </c>
      <c r="T487">
        <f>IF(AND(E487=1,B487="RETURN"),Transactions!E487*Transactions!G487,0)</f>
        <v/>
      </c>
      <c r="U487">
        <f>IF(AND(E487=1,B487="EXPENSE"),Transactions!J487,0)</f>
        <v/>
      </c>
      <c r="V487">
        <f>IF(AND(Transactions!A487&lt;&gt;"",E487=0),ROW(),"")</f>
        <v/>
      </c>
      <c r="W487">
        <f>IFERROR(VLOOKUP(A487,Opening!$A:$D,4,0),0)</f>
        <v/>
      </c>
    </row>
    <row r="488">
      <c r="A488">
        <f>IF(Transactions!D488="","",UPPER(TRIM(Transactions!D488)))</f>
        <v/>
      </c>
      <c r="B488">
        <f>IF(Transactions!C488="","",UPPER(TRIM(Transactions!C488)))</f>
        <v/>
      </c>
      <c r="C488">
        <f>IF(Transactions!B488="",0,YEAR(Transactions!B488)*100+MONTH(Transactions!B488))</f>
        <v/>
      </c>
      <c r="D488">
        <f>IF(Transactions!A488="",1,IF(COUNTIF(Transactions!$A$1:A487,Transactions!A488)&gt;0,1,0))</f>
        <v/>
      </c>
      <c r="E488">
        <f>IF(D488=1,0,IF(B488="RETURN",IF(COUNTIFS($A$1:A487,A488,$B$1:B487,"SALE",$E$1:E487,1)&gt;0,1,0),1))</f>
        <v/>
      </c>
      <c r="F488">
        <f>IF(E488=1,IF(B488="RECEIPT",Transactions!E488,IF(AND(B488="RETURN",LOWER(TRIM(Transactions!H488))="resellable"),Transactions!E488,0)),0)</f>
        <v/>
      </c>
      <c r="G488">
        <f>IF(F488&gt;0,IF(B488="RECEIPT",Transactions!F488,IF(_xlfn.MAXIFS($H$2:H488,$A$2:A488,A488)&gt;0,INDEX(Transactions!$F:$F,_xlfn.MAXIFS($H$2:H488,$A$2:A488,A488)),W488)),0)</f>
        <v/>
      </c>
      <c r="H488">
        <f>IF(AND(E488=1,B488="RECEIPT"),ROW(),0)</f>
        <v/>
      </c>
      <c r="I488">
        <f>IF(E488=1,IF(OR(B488="SALE",B488="WRITEOFF"),Transactions!E488,0),0)</f>
        <v/>
      </c>
      <c r="J488">
        <f>SUMIFS($F$1:F487,$A$1:A487,A488)</f>
        <v/>
      </c>
      <c r="K488">
        <f>SUMIFS($I$1:I487,$A$1:A487,A488)</f>
        <v/>
      </c>
      <c r="L488">
        <f>IFERROR(VLOOKUP(A488,Opening!$A:$C,3,0),0)</f>
        <v/>
      </c>
      <c r="M488">
        <f>IF(I488=0,0,MAX(0,MIN(INDEX(Month!H$2:H$13,MATCH($A488,Month!$A$2:$A$13,0))-K488,I488)))</f>
        <v/>
      </c>
      <c r="N488">
        <f>IF(I488=0,0,MAX(0,MIN(INDEX(Month!I$2:I$13,MATCH($A488,Month!$A$2:$A$13,0))-K488,I488)))</f>
        <v/>
      </c>
      <c r="O488">
        <f>IF(I488=0,0,MAX(0,MIN(INDEX(Month!J$2:J$13,MATCH($A488,Month!$A$2:$A$13,0))-K488,I488)))</f>
        <v/>
      </c>
      <c r="P488">
        <f>IF(I488=0,0,(MIN(MAX(K488,0),L488)*W488+SUMPRODUCT((Calc!$A$2:$A$1001=A488)*Calc!$G$2:$G$1001*(((K488-(L488+Calc!$J$2:$J$1001))&gt;0)*((K488-(L488+Calc!$J$2:$J$1001))&lt;Calc!$F$2:$F$1001)*(K488-(L488+Calc!$J$2:$J$1001))+((K488-(L488+Calc!$J$2:$J$1001))&gt;=Calc!$F$2:$F$1001)*Calc!$F$2:$F$1001))))</f>
        <v/>
      </c>
      <c r="Q488">
        <f>IF(I488=0,0,(MIN(MAX((K488+M488),0),L488)*W488+SUMPRODUCT((Calc!$A$2:$A$1001=A488)*Calc!$G$2:$G$1001*((((K488+M488)-(L488+Calc!$J$2:$J$1001))&gt;0)*(((K488+M488)-(L488+Calc!$J$2:$J$1001))&lt;Calc!$F$2:$F$1001)*((K488+M488)-(L488+Calc!$J$2:$J$1001))+(((K488+M488)-(L488+Calc!$J$2:$J$1001))&gt;=Calc!$F$2:$F$1001)*Calc!$F$2:$F$1001))))</f>
        <v/>
      </c>
      <c r="R488">
        <f>IF(I488=0,0,(MIN(MAX((K488+N488),0),L488)*W488+SUMPRODUCT((Calc!$A$2:$A$1001=A488)*Calc!$G$2:$G$1001*((((K488+N488)-(L488+Calc!$J$2:$J$1001))&gt;0)*(((K488+N488)-(L488+Calc!$J$2:$J$1001))&lt;Calc!$F$2:$F$1001)*((K488+N488)-(L488+Calc!$J$2:$J$1001))+(((K488+N488)-(L488+Calc!$J$2:$J$1001))&gt;=Calc!$F$2:$F$1001)*Calc!$F$2:$F$1001))))</f>
        <v/>
      </c>
      <c r="S488">
        <f>IF(I488=0,0,(MIN(MAX((K488+O488),0),L488)*W488+SUMPRODUCT((Calc!$A$2:$A$1001=A488)*Calc!$G$2:$G$1001*((((K488+O488)-(L488+Calc!$J$2:$J$1001))&gt;0)*(((K488+O488)-(L488+Calc!$J$2:$J$1001))&lt;Calc!$F$2:$F$1001)*((K488+O488)-(L488+Calc!$J$2:$J$1001))+(((K488+O488)-(L488+Calc!$J$2:$J$1001))&gt;=Calc!$F$2:$F$1001)*Calc!$F$2:$F$1001))))</f>
        <v/>
      </c>
      <c r="T488">
        <f>IF(AND(E488=1,B488="RETURN"),Transactions!E488*Transactions!G488,0)</f>
        <v/>
      </c>
      <c r="U488">
        <f>IF(AND(E488=1,B488="EXPENSE"),Transactions!J488,0)</f>
        <v/>
      </c>
      <c r="V488">
        <f>IF(AND(Transactions!A488&lt;&gt;"",E488=0),ROW(),"")</f>
        <v/>
      </c>
      <c r="W488">
        <f>IFERROR(VLOOKUP(A488,Opening!$A:$D,4,0),0)</f>
        <v/>
      </c>
    </row>
    <row r="489">
      <c r="A489">
        <f>IF(Transactions!D489="","",UPPER(TRIM(Transactions!D489)))</f>
        <v/>
      </c>
      <c r="B489">
        <f>IF(Transactions!C489="","",UPPER(TRIM(Transactions!C489)))</f>
        <v/>
      </c>
      <c r="C489">
        <f>IF(Transactions!B489="",0,YEAR(Transactions!B489)*100+MONTH(Transactions!B489))</f>
        <v/>
      </c>
      <c r="D489">
        <f>IF(Transactions!A489="",1,IF(COUNTIF(Transactions!$A$1:A488,Transactions!A489)&gt;0,1,0))</f>
        <v/>
      </c>
      <c r="E489">
        <f>IF(D489=1,0,IF(B489="RETURN",IF(COUNTIFS($A$1:A488,A489,$B$1:B488,"SALE",$E$1:E488,1)&gt;0,1,0),1))</f>
        <v/>
      </c>
      <c r="F489">
        <f>IF(E489=1,IF(B489="RECEIPT",Transactions!E489,IF(AND(B489="RETURN",LOWER(TRIM(Transactions!H489))="resellable"),Transactions!E489,0)),0)</f>
        <v/>
      </c>
      <c r="G489">
        <f>IF(F489&gt;0,IF(B489="RECEIPT",Transactions!F489,IF(_xlfn.MAXIFS($H$2:H489,$A$2:A489,A489)&gt;0,INDEX(Transactions!$F:$F,_xlfn.MAXIFS($H$2:H489,$A$2:A489,A489)),W489)),0)</f>
        <v/>
      </c>
      <c r="H489">
        <f>IF(AND(E489=1,B489="RECEIPT"),ROW(),0)</f>
        <v/>
      </c>
      <c r="I489">
        <f>IF(E489=1,IF(OR(B489="SALE",B489="WRITEOFF"),Transactions!E489,0),0)</f>
        <v/>
      </c>
      <c r="J489">
        <f>SUMIFS($F$1:F488,$A$1:A488,A489)</f>
        <v/>
      </c>
      <c r="K489">
        <f>SUMIFS($I$1:I488,$A$1:A488,A489)</f>
        <v/>
      </c>
      <c r="L489">
        <f>IFERROR(VLOOKUP(A489,Opening!$A:$C,3,0),0)</f>
        <v/>
      </c>
      <c r="M489">
        <f>IF(I489=0,0,MAX(0,MIN(INDEX(Month!H$2:H$13,MATCH($A489,Month!$A$2:$A$13,0))-K489,I489)))</f>
        <v/>
      </c>
      <c r="N489">
        <f>IF(I489=0,0,MAX(0,MIN(INDEX(Month!I$2:I$13,MATCH($A489,Month!$A$2:$A$13,0))-K489,I489)))</f>
        <v/>
      </c>
      <c r="O489">
        <f>IF(I489=0,0,MAX(0,MIN(INDEX(Month!J$2:J$13,MATCH($A489,Month!$A$2:$A$13,0))-K489,I489)))</f>
        <v/>
      </c>
      <c r="P489">
        <f>IF(I489=0,0,(MIN(MAX(K489,0),L489)*W489+SUMPRODUCT((Calc!$A$2:$A$1001=A489)*Calc!$G$2:$G$1001*(((K489-(L489+Calc!$J$2:$J$1001))&gt;0)*((K489-(L489+Calc!$J$2:$J$1001))&lt;Calc!$F$2:$F$1001)*(K489-(L489+Calc!$J$2:$J$1001))+((K489-(L489+Calc!$J$2:$J$1001))&gt;=Calc!$F$2:$F$1001)*Calc!$F$2:$F$1001))))</f>
        <v/>
      </c>
      <c r="Q489">
        <f>IF(I489=0,0,(MIN(MAX((K489+M489),0),L489)*W489+SUMPRODUCT((Calc!$A$2:$A$1001=A489)*Calc!$G$2:$G$1001*((((K489+M489)-(L489+Calc!$J$2:$J$1001))&gt;0)*(((K489+M489)-(L489+Calc!$J$2:$J$1001))&lt;Calc!$F$2:$F$1001)*((K489+M489)-(L489+Calc!$J$2:$J$1001))+(((K489+M489)-(L489+Calc!$J$2:$J$1001))&gt;=Calc!$F$2:$F$1001)*Calc!$F$2:$F$1001))))</f>
        <v/>
      </c>
      <c r="R489">
        <f>IF(I489=0,0,(MIN(MAX((K489+N489),0),L489)*W489+SUMPRODUCT((Calc!$A$2:$A$1001=A489)*Calc!$G$2:$G$1001*((((K489+N489)-(L489+Calc!$J$2:$J$1001))&gt;0)*(((K489+N489)-(L489+Calc!$J$2:$J$1001))&lt;Calc!$F$2:$F$1001)*((K489+N489)-(L489+Calc!$J$2:$J$1001))+(((K489+N489)-(L489+Calc!$J$2:$J$1001))&gt;=Calc!$F$2:$F$1001)*Calc!$F$2:$F$1001))))</f>
        <v/>
      </c>
      <c r="S489">
        <f>IF(I489=0,0,(MIN(MAX((K489+O489),0),L489)*W489+SUMPRODUCT((Calc!$A$2:$A$1001=A489)*Calc!$G$2:$G$1001*((((K489+O489)-(L489+Calc!$J$2:$J$1001))&gt;0)*(((K489+O489)-(L489+Calc!$J$2:$J$1001))&lt;Calc!$F$2:$F$1001)*((K489+O489)-(L489+Calc!$J$2:$J$1001))+(((K489+O489)-(L489+Calc!$J$2:$J$1001))&gt;=Calc!$F$2:$F$1001)*Calc!$F$2:$F$1001))))</f>
        <v/>
      </c>
      <c r="T489">
        <f>IF(AND(E489=1,B489="RETURN"),Transactions!E489*Transactions!G489,0)</f>
        <v/>
      </c>
      <c r="U489">
        <f>IF(AND(E489=1,B489="EXPENSE"),Transactions!J489,0)</f>
        <v/>
      </c>
      <c r="V489">
        <f>IF(AND(Transactions!A489&lt;&gt;"",E489=0),ROW(),"")</f>
        <v/>
      </c>
      <c r="W489">
        <f>IFERROR(VLOOKUP(A489,Opening!$A:$D,4,0),0)</f>
        <v/>
      </c>
    </row>
    <row r="490">
      <c r="A490">
        <f>IF(Transactions!D490="","",UPPER(TRIM(Transactions!D490)))</f>
        <v/>
      </c>
      <c r="B490">
        <f>IF(Transactions!C490="","",UPPER(TRIM(Transactions!C490)))</f>
        <v/>
      </c>
      <c r="C490">
        <f>IF(Transactions!B490="",0,YEAR(Transactions!B490)*100+MONTH(Transactions!B490))</f>
        <v/>
      </c>
      <c r="D490">
        <f>IF(Transactions!A490="",1,IF(COUNTIF(Transactions!$A$1:A489,Transactions!A490)&gt;0,1,0))</f>
        <v/>
      </c>
      <c r="E490">
        <f>IF(D490=1,0,IF(B490="RETURN",IF(COUNTIFS($A$1:A489,A490,$B$1:B489,"SALE",$E$1:E489,1)&gt;0,1,0),1))</f>
        <v/>
      </c>
      <c r="F490">
        <f>IF(E490=1,IF(B490="RECEIPT",Transactions!E490,IF(AND(B490="RETURN",LOWER(TRIM(Transactions!H490))="resellable"),Transactions!E490,0)),0)</f>
        <v/>
      </c>
      <c r="G490">
        <f>IF(F490&gt;0,IF(B490="RECEIPT",Transactions!F490,IF(_xlfn.MAXIFS($H$2:H490,$A$2:A490,A490)&gt;0,INDEX(Transactions!$F:$F,_xlfn.MAXIFS($H$2:H490,$A$2:A490,A490)),W490)),0)</f>
        <v/>
      </c>
      <c r="H490">
        <f>IF(AND(E490=1,B490="RECEIPT"),ROW(),0)</f>
        <v/>
      </c>
      <c r="I490">
        <f>IF(E490=1,IF(OR(B490="SALE",B490="WRITEOFF"),Transactions!E490,0),0)</f>
        <v/>
      </c>
      <c r="J490">
        <f>SUMIFS($F$1:F489,$A$1:A489,A490)</f>
        <v/>
      </c>
      <c r="K490">
        <f>SUMIFS($I$1:I489,$A$1:A489,A490)</f>
        <v/>
      </c>
      <c r="L490">
        <f>IFERROR(VLOOKUP(A490,Opening!$A:$C,3,0),0)</f>
        <v/>
      </c>
      <c r="M490">
        <f>IF(I490=0,0,MAX(0,MIN(INDEX(Month!H$2:H$13,MATCH($A490,Month!$A$2:$A$13,0))-K490,I490)))</f>
        <v/>
      </c>
      <c r="N490">
        <f>IF(I490=0,0,MAX(0,MIN(INDEX(Month!I$2:I$13,MATCH($A490,Month!$A$2:$A$13,0))-K490,I490)))</f>
        <v/>
      </c>
      <c r="O490">
        <f>IF(I490=0,0,MAX(0,MIN(INDEX(Month!J$2:J$13,MATCH($A490,Month!$A$2:$A$13,0))-K490,I490)))</f>
        <v/>
      </c>
      <c r="P490">
        <f>IF(I490=0,0,(MIN(MAX(K490,0),L490)*W490+SUMPRODUCT((Calc!$A$2:$A$1001=A490)*Calc!$G$2:$G$1001*(((K490-(L490+Calc!$J$2:$J$1001))&gt;0)*((K490-(L490+Calc!$J$2:$J$1001))&lt;Calc!$F$2:$F$1001)*(K490-(L490+Calc!$J$2:$J$1001))+((K490-(L490+Calc!$J$2:$J$1001))&gt;=Calc!$F$2:$F$1001)*Calc!$F$2:$F$1001))))</f>
        <v/>
      </c>
      <c r="Q490">
        <f>IF(I490=0,0,(MIN(MAX((K490+M490),0),L490)*W490+SUMPRODUCT((Calc!$A$2:$A$1001=A490)*Calc!$G$2:$G$1001*((((K490+M490)-(L490+Calc!$J$2:$J$1001))&gt;0)*(((K490+M490)-(L490+Calc!$J$2:$J$1001))&lt;Calc!$F$2:$F$1001)*((K490+M490)-(L490+Calc!$J$2:$J$1001))+(((K490+M490)-(L490+Calc!$J$2:$J$1001))&gt;=Calc!$F$2:$F$1001)*Calc!$F$2:$F$1001))))</f>
        <v/>
      </c>
      <c r="R490">
        <f>IF(I490=0,0,(MIN(MAX((K490+N490),0),L490)*W490+SUMPRODUCT((Calc!$A$2:$A$1001=A490)*Calc!$G$2:$G$1001*((((K490+N490)-(L490+Calc!$J$2:$J$1001))&gt;0)*(((K490+N490)-(L490+Calc!$J$2:$J$1001))&lt;Calc!$F$2:$F$1001)*((K490+N490)-(L490+Calc!$J$2:$J$1001))+(((K490+N490)-(L490+Calc!$J$2:$J$1001))&gt;=Calc!$F$2:$F$1001)*Calc!$F$2:$F$1001))))</f>
        <v/>
      </c>
      <c r="S490">
        <f>IF(I490=0,0,(MIN(MAX((K490+O490),0),L490)*W490+SUMPRODUCT((Calc!$A$2:$A$1001=A490)*Calc!$G$2:$G$1001*((((K490+O490)-(L490+Calc!$J$2:$J$1001))&gt;0)*(((K490+O490)-(L490+Calc!$J$2:$J$1001))&lt;Calc!$F$2:$F$1001)*((K490+O490)-(L490+Calc!$J$2:$J$1001))+(((K490+O490)-(L490+Calc!$J$2:$J$1001))&gt;=Calc!$F$2:$F$1001)*Calc!$F$2:$F$1001))))</f>
        <v/>
      </c>
      <c r="T490">
        <f>IF(AND(E490=1,B490="RETURN"),Transactions!E490*Transactions!G490,0)</f>
        <v/>
      </c>
      <c r="U490">
        <f>IF(AND(E490=1,B490="EXPENSE"),Transactions!J490,0)</f>
        <v/>
      </c>
      <c r="V490">
        <f>IF(AND(Transactions!A490&lt;&gt;"",E490=0),ROW(),"")</f>
        <v/>
      </c>
      <c r="W490">
        <f>IFERROR(VLOOKUP(A490,Opening!$A:$D,4,0),0)</f>
        <v/>
      </c>
    </row>
    <row r="491">
      <c r="A491">
        <f>IF(Transactions!D491="","",UPPER(TRIM(Transactions!D491)))</f>
        <v/>
      </c>
      <c r="B491">
        <f>IF(Transactions!C491="","",UPPER(TRIM(Transactions!C491)))</f>
        <v/>
      </c>
      <c r="C491">
        <f>IF(Transactions!B491="",0,YEAR(Transactions!B491)*100+MONTH(Transactions!B491))</f>
        <v/>
      </c>
      <c r="D491">
        <f>IF(Transactions!A491="",1,IF(COUNTIF(Transactions!$A$1:A490,Transactions!A491)&gt;0,1,0))</f>
        <v/>
      </c>
      <c r="E491">
        <f>IF(D491=1,0,IF(B491="RETURN",IF(COUNTIFS($A$1:A490,A491,$B$1:B490,"SALE",$E$1:E490,1)&gt;0,1,0),1))</f>
        <v/>
      </c>
      <c r="F491">
        <f>IF(E491=1,IF(B491="RECEIPT",Transactions!E491,IF(AND(B491="RETURN",LOWER(TRIM(Transactions!H491))="resellable"),Transactions!E491,0)),0)</f>
        <v/>
      </c>
      <c r="G491">
        <f>IF(F491&gt;0,IF(B491="RECEIPT",Transactions!F491,IF(_xlfn.MAXIFS($H$2:H491,$A$2:A491,A491)&gt;0,INDEX(Transactions!$F:$F,_xlfn.MAXIFS($H$2:H491,$A$2:A491,A491)),W491)),0)</f>
        <v/>
      </c>
      <c r="H491">
        <f>IF(AND(E491=1,B491="RECEIPT"),ROW(),0)</f>
        <v/>
      </c>
      <c r="I491">
        <f>IF(E491=1,IF(OR(B491="SALE",B491="WRITEOFF"),Transactions!E491,0),0)</f>
        <v/>
      </c>
      <c r="J491">
        <f>SUMIFS($F$1:F490,$A$1:A490,A491)</f>
        <v/>
      </c>
      <c r="K491">
        <f>SUMIFS($I$1:I490,$A$1:A490,A491)</f>
        <v/>
      </c>
      <c r="L491">
        <f>IFERROR(VLOOKUP(A491,Opening!$A:$C,3,0),0)</f>
        <v/>
      </c>
      <c r="M491">
        <f>IF(I491=0,0,MAX(0,MIN(INDEX(Month!H$2:H$13,MATCH($A491,Month!$A$2:$A$13,0))-K491,I491)))</f>
        <v/>
      </c>
      <c r="N491">
        <f>IF(I491=0,0,MAX(0,MIN(INDEX(Month!I$2:I$13,MATCH($A491,Month!$A$2:$A$13,0))-K491,I491)))</f>
        <v/>
      </c>
      <c r="O491">
        <f>IF(I491=0,0,MAX(0,MIN(INDEX(Month!J$2:J$13,MATCH($A491,Month!$A$2:$A$13,0))-K491,I491)))</f>
        <v/>
      </c>
      <c r="P491">
        <f>IF(I491=0,0,(MIN(MAX(K491,0),L491)*W491+SUMPRODUCT((Calc!$A$2:$A$1001=A491)*Calc!$G$2:$G$1001*(((K491-(L491+Calc!$J$2:$J$1001))&gt;0)*((K491-(L491+Calc!$J$2:$J$1001))&lt;Calc!$F$2:$F$1001)*(K491-(L491+Calc!$J$2:$J$1001))+((K491-(L491+Calc!$J$2:$J$1001))&gt;=Calc!$F$2:$F$1001)*Calc!$F$2:$F$1001))))</f>
        <v/>
      </c>
      <c r="Q491">
        <f>IF(I491=0,0,(MIN(MAX((K491+M491),0),L491)*W491+SUMPRODUCT((Calc!$A$2:$A$1001=A491)*Calc!$G$2:$G$1001*((((K491+M491)-(L491+Calc!$J$2:$J$1001))&gt;0)*(((K491+M491)-(L491+Calc!$J$2:$J$1001))&lt;Calc!$F$2:$F$1001)*((K491+M491)-(L491+Calc!$J$2:$J$1001))+(((K491+M491)-(L491+Calc!$J$2:$J$1001))&gt;=Calc!$F$2:$F$1001)*Calc!$F$2:$F$1001))))</f>
        <v/>
      </c>
      <c r="R491">
        <f>IF(I491=0,0,(MIN(MAX((K491+N491),0),L491)*W491+SUMPRODUCT((Calc!$A$2:$A$1001=A491)*Calc!$G$2:$G$1001*((((K491+N491)-(L491+Calc!$J$2:$J$1001))&gt;0)*(((K491+N491)-(L491+Calc!$J$2:$J$1001))&lt;Calc!$F$2:$F$1001)*((K491+N491)-(L491+Calc!$J$2:$J$1001))+(((K491+N491)-(L491+Calc!$J$2:$J$1001))&gt;=Calc!$F$2:$F$1001)*Calc!$F$2:$F$1001))))</f>
        <v/>
      </c>
      <c r="S491">
        <f>IF(I491=0,0,(MIN(MAX((K491+O491),0),L491)*W491+SUMPRODUCT((Calc!$A$2:$A$1001=A491)*Calc!$G$2:$G$1001*((((K491+O491)-(L491+Calc!$J$2:$J$1001))&gt;0)*(((K491+O491)-(L491+Calc!$J$2:$J$1001))&lt;Calc!$F$2:$F$1001)*((K491+O491)-(L491+Calc!$J$2:$J$1001))+(((K491+O491)-(L491+Calc!$J$2:$J$1001))&gt;=Calc!$F$2:$F$1001)*Calc!$F$2:$F$1001))))</f>
        <v/>
      </c>
      <c r="T491">
        <f>IF(AND(E491=1,B491="RETURN"),Transactions!E491*Transactions!G491,0)</f>
        <v/>
      </c>
      <c r="U491">
        <f>IF(AND(E491=1,B491="EXPENSE"),Transactions!J491,0)</f>
        <v/>
      </c>
      <c r="V491">
        <f>IF(AND(Transactions!A491&lt;&gt;"",E491=0),ROW(),"")</f>
        <v/>
      </c>
      <c r="W491">
        <f>IFERROR(VLOOKUP(A491,Opening!$A:$D,4,0),0)</f>
        <v/>
      </c>
    </row>
    <row r="492">
      <c r="A492">
        <f>IF(Transactions!D492="","",UPPER(TRIM(Transactions!D492)))</f>
        <v/>
      </c>
      <c r="B492">
        <f>IF(Transactions!C492="","",UPPER(TRIM(Transactions!C492)))</f>
        <v/>
      </c>
      <c r="C492">
        <f>IF(Transactions!B492="",0,YEAR(Transactions!B492)*100+MONTH(Transactions!B492))</f>
        <v/>
      </c>
      <c r="D492">
        <f>IF(Transactions!A492="",1,IF(COUNTIF(Transactions!$A$1:A491,Transactions!A492)&gt;0,1,0))</f>
        <v/>
      </c>
      <c r="E492">
        <f>IF(D492=1,0,IF(B492="RETURN",IF(COUNTIFS($A$1:A491,A492,$B$1:B491,"SALE",$E$1:E491,1)&gt;0,1,0),1))</f>
        <v/>
      </c>
      <c r="F492">
        <f>IF(E492=1,IF(B492="RECEIPT",Transactions!E492,IF(AND(B492="RETURN",LOWER(TRIM(Transactions!H492))="resellable"),Transactions!E492,0)),0)</f>
        <v/>
      </c>
      <c r="G492">
        <f>IF(F492&gt;0,IF(B492="RECEIPT",Transactions!F492,IF(_xlfn.MAXIFS($H$2:H492,$A$2:A492,A492)&gt;0,INDEX(Transactions!$F:$F,_xlfn.MAXIFS($H$2:H492,$A$2:A492,A492)),W492)),0)</f>
        <v/>
      </c>
      <c r="H492">
        <f>IF(AND(E492=1,B492="RECEIPT"),ROW(),0)</f>
        <v/>
      </c>
      <c r="I492">
        <f>IF(E492=1,IF(OR(B492="SALE",B492="WRITEOFF"),Transactions!E492,0),0)</f>
        <v/>
      </c>
      <c r="J492">
        <f>SUMIFS($F$1:F491,$A$1:A491,A492)</f>
        <v/>
      </c>
      <c r="K492">
        <f>SUMIFS($I$1:I491,$A$1:A491,A492)</f>
        <v/>
      </c>
      <c r="L492">
        <f>IFERROR(VLOOKUP(A492,Opening!$A:$C,3,0),0)</f>
        <v/>
      </c>
      <c r="M492">
        <f>IF(I492=0,0,MAX(0,MIN(INDEX(Month!H$2:H$13,MATCH($A492,Month!$A$2:$A$13,0))-K492,I492)))</f>
        <v/>
      </c>
      <c r="N492">
        <f>IF(I492=0,0,MAX(0,MIN(INDEX(Month!I$2:I$13,MATCH($A492,Month!$A$2:$A$13,0))-K492,I492)))</f>
        <v/>
      </c>
      <c r="O492">
        <f>IF(I492=0,0,MAX(0,MIN(INDEX(Month!J$2:J$13,MATCH($A492,Month!$A$2:$A$13,0))-K492,I492)))</f>
        <v/>
      </c>
      <c r="P492">
        <f>IF(I492=0,0,(MIN(MAX(K492,0),L492)*W492+SUMPRODUCT((Calc!$A$2:$A$1001=A492)*Calc!$G$2:$G$1001*(((K492-(L492+Calc!$J$2:$J$1001))&gt;0)*((K492-(L492+Calc!$J$2:$J$1001))&lt;Calc!$F$2:$F$1001)*(K492-(L492+Calc!$J$2:$J$1001))+((K492-(L492+Calc!$J$2:$J$1001))&gt;=Calc!$F$2:$F$1001)*Calc!$F$2:$F$1001))))</f>
        <v/>
      </c>
      <c r="Q492">
        <f>IF(I492=0,0,(MIN(MAX((K492+M492),0),L492)*W492+SUMPRODUCT((Calc!$A$2:$A$1001=A492)*Calc!$G$2:$G$1001*((((K492+M492)-(L492+Calc!$J$2:$J$1001))&gt;0)*(((K492+M492)-(L492+Calc!$J$2:$J$1001))&lt;Calc!$F$2:$F$1001)*((K492+M492)-(L492+Calc!$J$2:$J$1001))+(((K492+M492)-(L492+Calc!$J$2:$J$1001))&gt;=Calc!$F$2:$F$1001)*Calc!$F$2:$F$1001))))</f>
        <v/>
      </c>
      <c r="R492">
        <f>IF(I492=0,0,(MIN(MAX((K492+N492),0),L492)*W492+SUMPRODUCT((Calc!$A$2:$A$1001=A492)*Calc!$G$2:$G$1001*((((K492+N492)-(L492+Calc!$J$2:$J$1001))&gt;0)*(((K492+N492)-(L492+Calc!$J$2:$J$1001))&lt;Calc!$F$2:$F$1001)*((K492+N492)-(L492+Calc!$J$2:$J$1001))+(((K492+N492)-(L492+Calc!$J$2:$J$1001))&gt;=Calc!$F$2:$F$1001)*Calc!$F$2:$F$1001))))</f>
        <v/>
      </c>
      <c r="S492">
        <f>IF(I492=0,0,(MIN(MAX((K492+O492),0),L492)*W492+SUMPRODUCT((Calc!$A$2:$A$1001=A492)*Calc!$G$2:$G$1001*((((K492+O492)-(L492+Calc!$J$2:$J$1001))&gt;0)*(((K492+O492)-(L492+Calc!$J$2:$J$1001))&lt;Calc!$F$2:$F$1001)*((K492+O492)-(L492+Calc!$J$2:$J$1001))+(((K492+O492)-(L492+Calc!$J$2:$J$1001))&gt;=Calc!$F$2:$F$1001)*Calc!$F$2:$F$1001))))</f>
        <v/>
      </c>
      <c r="T492">
        <f>IF(AND(E492=1,B492="RETURN"),Transactions!E492*Transactions!G492,0)</f>
        <v/>
      </c>
      <c r="U492">
        <f>IF(AND(E492=1,B492="EXPENSE"),Transactions!J492,0)</f>
        <v/>
      </c>
      <c r="V492">
        <f>IF(AND(Transactions!A492&lt;&gt;"",E492=0),ROW(),"")</f>
        <v/>
      </c>
      <c r="W492">
        <f>IFERROR(VLOOKUP(A492,Opening!$A:$D,4,0),0)</f>
        <v/>
      </c>
    </row>
    <row r="493">
      <c r="A493">
        <f>IF(Transactions!D493="","",UPPER(TRIM(Transactions!D493)))</f>
        <v/>
      </c>
      <c r="B493">
        <f>IF(Transactions!C493="","",UPPER(TRIM(Transactions!C493)))</f>
        <v/>
      </c>
      <c r="C493">
        <f>IF(Transactions!B493="",0,YEAR(Transactions!B493)*100+MONTH(Transactions!B493))</f>
        <v/>
      </c>
      <c r="D493">
        <f>IF(Transactions!A493="",1,IF(COUNTIF(Transactions!$A$1:A492,Transactions!A493)&gt;0,1,0))</f>
        <v/>
      </c>
      <c r="E493">
        <f>IF(D493=1,0,IF(B493="RETURN",IF(COUNTIFS($A$1:A492,A493,$B$1:B492,"SALE",$E$1:E492,1)&gt;0,1,0),1))</f>
        <v/>
      </c>
      <c r="F493">
        <f>IF(E493=1,IF(B493="RECEIPT",Transactions!E493,IF(AND(B493="RETURN",LOWER(TRIM(Transactions!H493))="resellable"),Transactions!E493,0)),0)</f>
        <v/>
      </c>
      <c r="G493">
        <f>IF(F493&gt;0,IF(B493="RECEIPT",Transactions!F493,IF(_xlfn.MAXIFS($H$2:H493,$A$2:A493,A493)&gt;0,INDEX(Transactions!$F:$F,_xlfn.MAXIFS($H$2:H493,$A$2:A493,A493)),W493)),0)</f>
        <v/>
      </c>
      <c r="H493">
        <f>IF(AND(E493=1,B493="RECEIPT"),ROW(),0)</f>
        <v/>
      </c>
      <c r="I493">
        <f>IF(E493=1,IF(OR(B493="SALE",B493="WRITEOFF"),Transactions!E493,0),0)</f>
        <v/>
      </c>
      <c r="J493">
        <f>SUMIFS($F$1:F492,$A$1:A492,A493)</f>
        <v/>
      </c>
      <c r="K493">
        <f>SUMIFS($I$1:I492,$A$1:A492,A493)</f>
        <v/>
      </c>
      <c r="L493">
        <f>IFERROR(VLOOKUP(A493,Opening!$A:$C,3,0),0)</f>
        <v/>
      </c>
      <c r="M493">
        <f>IF(I493=0,0,MAX(0,MIN(INDEX(Month!H$2:H$13,MATCH($A493,Month!$A$2:$A$13,0))-K493,I493)))</f>
        <v/>
      </c>
      <c r="N493">
        <f>IF(I493=0,0,MAX(0,MIN(INDEX(Month!I$2:I$13,MATCH($A493,Month!$A$2:$A$13,0))-K493,I493)))</f>
        <v/>
      </c>
      <c r="O493">
        <f>IF(I493=0,0,MAX(0,MIN(INDEX(Month!J$2:J$13,MATCH($A493,Month!$A$2:$A$13,0))-K493,I493)))</f>
        <v/>
      </c>
      <c r="P493">
        <f>IF(I493=0,0,(MIN(MAX(K493,0),L493)*W493+SUMPRODUCT((Calc!$A$2:$A$1001=A493)*Calc!$G$2:$G$1001*(((K493-(L493+Calc!$J$2:$J$1001))&gt;0)*((K493-(L493+Calc!$J$2:$J$1001))&lt;Calc!$F$2:$F$1001)*(K493-(L493+Calc!$J$2:$J$1001))+((K493-(L493+Calc!$J$2:$J$1001))&gt;=Calc!$F$2:$F$1001)*Calc!$F$2:$F$1001))))</f>
        <v/>
      </c>
      <c r="Q493">
        <f>IF(I493=0,0,(MIN(MAX((K493+M493),0),L493)*W493+SUMPRODUCT((Calc!$A$2:$A$1001=A493)*Calc!$G$2:$G$1001*((((K493+M493)-(L493+Calc!$J$2:$J$1001))&gt;0)*(((K493+M493)-(L493+Calc!$J$2:$J$1001))&lt;Calc!$F$2:$F$1001)*((K493+M493)-(L493+Calc!$J$2:$J$1001))+(((K493+M493)-(L493+Calc!$J$2:$J$1001))&gt;=Calc!$F$2:$F$1001)*Calc!$F$2:$F$1001))))</f>
        <v/>
      </c>
      <c r="R493">
        <f>IF(I493=0,0,(MIN(MAX((K493+N493),0),L493)*W493+SUMPRODUCT((Calc!$A$2:$A$1001=A493)*Calc!$G$2:$G$1001*((((K493+N493)-(L493+Calc!$J$2:$J$1001))&gt;0)*(((K493+N493)-(L493+Calc!$J$2:$J$1001))&lt;Calc!$F$2:$F$1001)*((K493+N493)-(L493+Calc!$J$2:$J$1001))+(((K493+N493)-(L493+Calc!$J$2:$J$1001))&gt;=Calc!$F$2:$F$1001)*Calc!$F$2:$F$1001))))</f>
        <v/>
      </c>
      <c r="S493">
        <f>IF(I493=0,0,(MIN(MAX((K493+O493),0),L493)*W493+SUMPRODUCT((Calc!$A$2:$A$1001=A493)*Calc!$G$2:$G$1001*((((K493+O493)-(L493+Calc!$J$2:$J$1001))&gt;0)*(((K493+O493)-(L493+Calc!$J$2:$J$1001))&lt;Calc!$F$2:$F$1001)*((K493+O493)-(L493+Calc!$J$2:$J$1001))+(((K493+O493)-(L493+Calc!$J$2:$J$1001))&gt;=Calc!$F$2:$F$1001)*Calc!$F$2:$F$1001))))</f>
        <v/>
      </c>
      <c r="T493">
        <f>IF(AND(E493=1,B493="RETURN"),Transactions!E493*Transactions!G493,0)</f>
        <v/>
      </c>
      <c r="U493">
        <f>IF(AND(E493=1,B493="EXPENSE"),Transactions!J493,0)</f>
        <v/>
      </c>
      <c r="V493">
        <f>IF(AND(Transactions!A493&lt;&gt;"",E493=0),ROW(),"")</f>
        <v/>
      </c>
      <c r="W493">
        <f>IFERROR(VLOOKUP(A493,Opening!$A:$D,4,0),0)</f>
        <v/>
      </c>
    </row>
    <row r="494">
      <c r="A494">
        <f>IF(Transactions!D494="","",UPPER(TRIM(Transactions!D494)))</f>
        <v/>
      </c>
      <c r="B494">
        <f>IF(Transactions!C494="","",UPPER(TRIM(Transactions!C494)))</f>
        <v/>
      </c>
      <c r="C494">
        <f>IF(Transactions!B494="",0,YEAR(Transactions!B494)*100+MONTH(Transactions!B494))</f>
        <v/>
      </c>
      <c r="D494">
        <f>IF(Transactions!A494="",1,IF(COUNTIF(Transactions!$A$1:A493,Transactions!A494)&gt;0,1,0))</f>
        <v/>
      </c>
      <c r="E494">
        <f>IF(D494=1,0,IF(B494="RETURN",IF(COUNTIFS($A$1:A493,A494,$B$1:B493,"SALE",$E$1:E493,1)&gt;0,1,0),1))</f>
        <v/>
      </c>
      <c r="F494">
        <f>IF(E494=1,IF(B494="RECEIPT",Transactions!E494,IF(AND(B494="RETURN",LOWER(TRIM(Transactions!H494))="resellable"),Transactions!E494,0)),0)</f>
        <v/>
      </c>
      <c r="G494">
        <f>IF(F494&gt;0,IF(B494="RECEIPT",Transactions!F494,IF(_xlfn.MAXIFS($H$2:H494,$A$2:A494,A494)&gt;0,INDEX(Transactions!$F:$F,_xlfn.MAXIFS($H$2:H494,$A$2:A494,A494)),W494)),0)</f>
        <v/>
      </c>
      <c r="H494">
        <f>IF(AND(E494=1,B494="RECEIPT"),ROW(),0)</f>
        <v/>
      </c>
      <c r="I494">
        <f>IF(E494=1,IF(OR(B494="SALE",B494="WRITEOFF"),Transactions!E494,0),0)</f>
        <v/>
      </c>
      <c r="J494">
        <f>SUMIFS($F$1:F493,$A$1:A493,A494)</f>
        <v/>
      </c>
      <c r="K494">
        <f>SUMIFS($I$1:I493,$A$1:A493,A494)</f>
        <v/>
      </c>
      <c r="L494">
        <f>IFERROR(VLOOKUP(A494,Opening!$A:$C,3,0),0)</f>
        <v/>
      </c>
      <c r="M494">
        <f>IF(I494=0,0,MAX(0,MIN(INDEX(Month!H$2:H$13,MATCH($A494,Month!$A$2:$A$13,0))-K494,I494)))</f>
        <v/>
      </c>
      <c r="N494">
        <f>IF(I494=0,0,MAX(0,MIN(INDEX(Month!I$2:I$13,MATCH($A494,Month!$A$2:$A$13,0))-K494,I494)))</f>
        <v/>
      </c>
      <c r="O494">
        <f>IF(I494=0,0,MAX(0,MIN(INDEX(Month!J$2:J$13,MATCH($A494,Month!$A$2:$A$13,0))-K494,I494)))</f>
        <v/>
      </c>
      <c r="P494">
        <f>IF(I494=0,0,(MIN(MAX(K494,0),L494)*W494+SUMPRODUCT((Calc!$A$2:$A$1001=A494)*Calc!$G$2:$G$1001*(((K494-(L494+Calc!$J$2:$J$1001))&gt;0)*((K494-(L494+Calc!$J$2:$J$1001))&lt;Calc!$F$2:$F$1001)*(K494-(L494+Calc!$J$2:$J$1001))+((K494-(L494+Calc!$J$2:$J$1001))&gt;=Calc!$F$2:$F$1001)*Calc!$F$2:$F$1001))))</f>
        <v/>
      </c>
      <c r="Q494">
        <f>IF(I494=0,0,(MIN(MAX((K494+M494),0),L494)*W494+SUMPRODUCT((Calc!$A$2:$A$1001=A494)*Calc!$G$2:$G$1001*((((K494+M494)-(L494+Calc!$J$2:$J$1001))&gt;0)*(((K494+M494)-(L494+Calc!$J$2:$J$1001))&lt;Calc!$F$2:$F$1001)*((K494+M494)-(L494+Calc!$J$2:$J$1001))+(((K494+M494)-(L494+Calc!$J$2:$J$1001))&gt;=Calc!$F$2:$F$1001)*Calc!$F$2:$F$1001))))</f>
        <v/>
      </c>
      <c r="R494">
        <f>IF(I494=0,0,(MIN(MAX((K494+N494),0),L494)*W494+SUMPRODUCT((Calc!$A$2:$A$1001=A494)*Calc!$G$2:$G$1001*((((K494+N494)-(L494+Calc!$J$2:$J$1001))&gt;0)*(((K494+N494)-(L494+Calc!$J$2:$J$1001))&lt;Calc!$F$2:$F$1001)*((K494+N494)-(L494+Calc!$J$2:$J$1001))+(((K494+N494)-(L494+Calc!$J$2:$J$1001))&gt;=Calc!$F$2:$F$1001)*Calc!$F$2:$F$1001))))</f>
        <v/>
      </c>
      <c r="S494">
        <f>IF(I494=0,0,(MIN(MAX((K494+O494),0),L494)*W494+SUMPRODUCT((Calc!$A$2:$A$1001=A494)*Calc!$G$2:$G$1001*((((K494+O494)-(L494+Calc!$J$2:$J$1001))&gt;0)*(((K494+O494)-(L494+Calc!$J$2:$J$1001))&lt;Calc!$F$2:$F$1001)*((K494+O494)-(L494+Calc!$J$2:$J$1001))+(((K494+O494)-(L494+Calc!$J$2:$J$1001))&gt;=Calc!$F$2:$F$1001)*Calc!$F$2:$F$1001))))</f>
        <v/>
      </c>
      <c r="T494">
        <f>IF(AND(E494=1,B494="RETURN"),Transactions!E494*Transactions!G494,0)</f>
        <v/>
      </c>
      <c r="U494">
        <f>IF(AND(E494=1,B494="EXPENSE"),Transactions!J494,0)</f>
        <v/>
      </c>
      <c r="V494">
        <f>IF(AND(Transactions!A494&lt;&gt;"",E494=0),ROW(),"")</f>
        <v/>
      </c>
      <c r="W494">
        <f>IFERROR(VLOOKUP(A494,Opening!$A:$D,4,0),0)</f>
        <v/>
      </c>
    </row>
    <row r="495">
      <c r="A495">
        <f>IF(Transactions!D495="","",UPPER(TRIM(Transactions!D495)))</f>
        <v/>
      </c>
      <c r="B495">
        <f>IF(Transactions!C495="","",UPPER(TRIM(Transactions!C495)))</f>
        <v/>
      </c>
      <c r="C495">
        <f>IF(Transactions!B495="",0,YEAR(Transactions!B495)*100+MONTH(Transactions!B495))</f>
        <v/>
      </c>
      <c r="D495">
        <f>IF(Transactions!A495="",1,IF(COUNTIF(Transactions!$A$1:A494,Transactions!A495)&gt;0,1,0))</f>
        <v/>
      </c>
      <c r="E495">
        <f>IF(D495=1,0,IF(B495="RETURN",IF(COUNTIFS($A$1:A494,A495,$B$1:B494,"SALE",$E$1:E494,1)&gt;0,1,0),1))</f>
        <v/>
      </c>
      <c r="F495">
        <f>IF(E495=1,IF(B495="RECEIPT",Transactions!E495,IF(AND(B495="RETURN",LOWER(TRIM(Transactions!H495))="resellable"),Transactions!E495,0)),0)</f>
        <v/>
      </c>
      <c r="G495">
        <f>IF(F495&gt;0,IF(B495="RECEIPT",Transactions!F495,IF(_xlfn.MAXIFS($H$2:H495,$A$2:A495,A495)&gt;0,INDEX(Transactions!$F:$F,_xlfn.MAXIFS($H$2:H495,$A$2:A495,A495)),W495)),0)</f>
        <v/>
      </c>
      <c r="H495">
        <f>IF(AND(E495=1,B495="RECEIPT"),ROW(),0)</f>
        <v/>
      </c>
      <c r="I495">
        <f>IF(E495=1,IF(OR(B495="SALE",B495="WRITEOFF"),Transactions!E495,0),0)</f>
        <v/>
      </c>
      <c r="J495">
        <f>SUMIFS($F$1:F494,$A$1:A494,A495)</f>
        <v/>
      </c>
      <c r="K495">
        <f>SUMIFS($I$1:I494,$A$1:A494,A495)</f>
        <v/>
      </c>
      <c r="L495">
        <f>IFERROR(VLOOKUP(A495,Opening!$A:$C,3,0),0)</f>
        <v/>
      </c>
      <c r="M495">
        <f>IF(I495=0,0,MAX(0,MIN(INDEX(Month!H$2:H$13,MATCH($A495,Month!$A$2:$A$13,0))-K495,I495)))</f>
        <v/>
      </c>
      <c r="N495">
        <f>IF(I495=0,0,MAX(0,MIN(INDEX(Month!I$2:I$13,MATCH($A495,Month!$A$2:$A$13,0))-K495,I495)))</f>
        <v/>
      </c>
      <c r="O495">
        <f>IF(I495=0,0,MAX(0,MIN(INDEX(Month!J$2:J$13,MATCH($A495,Month!$A$2:$A$13,0))-K495,I495)))</f>
        <v/>
      </c>
      <c r="P495">
        <f>IF(I495=0,0,(MIN(MAX(K495,0),L495)*W495+SUMPRODUCT((Calc!$A$2:$A$1001=A495)*Calc!$G$2:$G$1001*(((K495-(L495+Calc!$J$2:$J$1001))&gt;0)*((K495-(L495+Calc!$J$2:$J$1001))&lt;Calc!$F$2:$F$1001)*(K495-(L495+Calc!$J$2:$J$1001))+((K495-(L495+Calc!$J$2:$J$1001))&gt;=Calc!$F$2:$F$1001)*Calc!$F$2:$F$1001))))</f>
        <v/>
      </c>
      <c r="Q495">
        <f>IF(I495=0,0,(MIN(MAX((K495+M495),0),L495)*W495+SUMPRODUCT((Calc!$A$2:$A$1001=A495)*Calc!$G$2:$G$1001*((((K495+M495)-(L495+Calc!$J$2:$J$1001))&gt;0)*(((K495+M495)-(L495+Calc!$J$2:$J$1001))&lt;Calc!$F$2:$F$1001)*((K495+M495)-(L495+Calc!$J$2:$J$1001))+(((K495+M495)-(L495+Calc!$J$2:$J$1001))&gt;=Calc!$F$2:$F$1001)*Calc!$F$2:$F$1001))))</f>
        <v/>
      </c>
      <c r="R495">
        <f>IF(I495=0,0,(MIN(MAX((K495+N495),0),L495)*W495+SUMPRODUCT((Calc!$A$2:$A$1001=A495)*Calc!$G$2:$G$1001*((((K495+N495)-(L495+Calc!$J$2:$J$1001))&gt;0)*(((K495+N495)-(L495+Calc!$J$2:$J$1001))&lt;Calc!$F$2:$F$1001)*((K495+N495)-(L495+Calc!$J$2:$J$1001))+(((K495+N495)-(L495+Calc!$J$2:$J$1001))&gt;=Calc!$F$2:$F$1001)*Calc!$F$2:$F$1001))))</f>
        <v/>
      </c>
      <c r="S495">
        <f>IF(I495=0,0,(MIN(MAX((K495+O495),0),L495)*W495+SUMPRODUCT((Calc!$A$2:$A$1001=A495)*Calc!$G$2:$G$1001*((((K495+O495)-(L495+Calc!$J$2:$J$1001))&gt;0)*(((K495+O495)-(L495+Calc!$J$2:$J$1001))&lt;Calc!$F$2:$F$1001)*((K495+O495)-(L495+Calc!$J$2:$J$1001))+(((K495+O495)-(L495+Calc!$J$2:$J$1001))&gt;=Calc!$F$2:$F$1001)*Calc!$F$2:$F$1001))))</f>
        <v/>
      </c>
      <c r="T495">
        <f>IF(AND(E495=1,B495="RETURN"),Transactions!E495*Transactions!G495,0)</f>
        <v/>
      </c>
      <c r="U495">
        <f>IF(AND(E495=1,B495="EXPENSE"),Transactions!J495,0)</f>
        <v/>
      </c>
      <c r="V495">
        <f>IF(AND(Transactions!A495&lt;&gt;"",E495=0),ROW(),"")</f>
        <v/>
      </c>
      <c r="W495">
        <f>IFERROR(VLOOKUP(A495,Opening!$A:$D,4,0),0)</f>
        <v/>
      </c>
    </row>
    <row r="496">
      <c r="A496">
        <f>IF(Transactions!D496="","",UPPER(TRIM(Transactions!D496)))</f>
        <v/>
      </c>
      <c r="B496">
        <f>IF(Transactions!C496="","",UPPER(TRIM(Transactions!C496)))</f>
        <v/>
      </c>
      <c r="C496">
        <f>IF(Transactions!B496="",0,YEAR(Transactions!B496)*100+MONTH(Transactions!B496))</f>
        <v/>
      </c>
      <c r="D496">
        <f>IF(Transactions!A496="",1,IF(COUNTIF(Transactions!$A$1:A495,Transactions!A496)&gt;0,1,0))</f>
        <v/>
      </c>
      <c r="E496">
        <f>IF(D496=1,0,IF(B496="RETURN",IF(COUNTIFS($A$1:A495,A496,$B$1:B495,"SALE",$E$1:E495,1)&gt;0,1,0),1))</f>
        <v/>
      </c>
      <c r="F496">
        <f>IF(E496=1,IF(B496="RECEIPT",Transactions!E496,IF(AND(B496="RETURN",LOWER(TRIM(Transactions!H496))="resellable"),Transactions!E496,0)),0)</f>
        <v/>
      </c>
      <c r="G496">
        <f>IF(F496&gt;0,IF(B496="RECEIPT",Transactions!F496,IF(_xlfn.MAXIFS($H$2:H496,$A$2:A496,A496)&gt;0,INDEX(Transactions!$F:$F,_xlfn.MAXIFS($H$2:H496,$A$2:A496,A496)),W496)),0)</f>
        <v/>
      </c>
      <c r="H496">
        <f>IF(AND(E496=1,B496="RECEIPT"),ROW(),0)</f>
        <v/>
      </c>
      <c r="I496">
        <f>IF(E496=1,IF(OR(B496="SALE",B496="WRITEOFF"),Transactions!E496,0),0)</f>
        <v/>
      </c>
      <c r="J496">
        <f>SUMIFS($F$1:F495,$A$1:A495,A496)</f>
        <v/>
      </c>
      <c r="K496">
        <f>SUMIFS($I$1:I495,$A$1:A495,A496)</f>
        <v/>
      </c>
      <c r="L496">
        <f>IFERROR(VLOOKUP(A496,Opening!$A:$C,3,0),0)</f>
        <v/>
      </c>
      <c r="M496">
        <f>IF(I496=0,0,MAX(0,MIN(INDEX(Month!H$2:H$13,MATCH($A496,Month!$A$2:$A$13,0))-K496,I496)))</f>
        <v/>
      </c>
      <c r="N496">
        <f>IF(I496=0,0,MAX(0,MIN(INDEX(Month!I$2:I$13,MATCH($A496,Month!$A$2:$A$13,0))-K496,I496)))</f>
        <v/>
      </c>
      <c r="O496">
        <f>IF(I496=0,0,MAX(0,MIN(INDEX(Month!J$2:J$13,MATCH($A496,Month!$A$2:$A$13,0))-K496,I496)))</f>
        <v/>
      </c>
      <c r="P496">
        <f>IF(I496=0,0,(MIN(MAX(K496,0),L496)*W496+SUMPRODUCT((Calc!$A$2:$A$1001=A496)*Calc!$G$2:$G$1001*(((K496-(L496+Calc!$J$2:$J$1001))&gt;0)*((K496-(L496+Calc!$J$2:$J$1001))&lt;Calc!$F$2:$F$1001)*(K496-(L496+Calc!$J$2:$J$1001))+((K496-(L496+Calc!$J$2:$J$1001))&gt;=Calc!$F$2:$F$1001)*Calc!$F$2:$F$1001))))</f>
        <v/>
      </c>
      <c r="Q496">
        <f>IF(I496=0,0,(MIN(MAX((K496+M496),0),L496)*W496+SUMPRODUCT((Calc!$A$2:$A$1001=A496)*Calc!$G$2:$G$1001*((((K496+M496)-(L496+Calc!$J$2:$J$1001))&gt;0)*(((K496+M496)-(L496+Calc!$J$2:$J$1001))&lt;Calc!$F$2:$F$1001)*((K496+M496)-(L496+Calc!$J$2:$J$1001))+(((K496+M496)-(L496+Calc!$J$2:$J$1001))&gt;=Calc!$F$2:$F$1001)*Calc!$F$2:$F$1001))))</f>
        <v/>
      </c>
      <c r="R496">
        <f>IF(I496=0,0,(MIN(MAX((K496+N496),0),L496)*W496+SUMPRODUCT((Calc!$A$2:$A$1001=A496)*Calc!$G$2:$G$1001*((((K496+N496)-(L496+Calc!$J$2:$J$1001))&gt;0)*(((K496+N496)-(L496+Calc!$J$2:$J$1001))&lt;Calc!$F$2:$F$1001)*((K496+N496)-(L496+Calc!$J$2:$J$1001))+(((K496+N496)-(L496+Calc!$J$2:$J$1001))&gt;=Calc!$F$2:$F$1001)*Calc!$F$2:$F$1001))))</f>
        <v/>
      </c>
      <c r="S496">
        <f>IF(I496=0,0,(MIN(MAX((K496+O496),0),L496)*W496+SUMPRODUCT((Calc!$A$2:$A$1001=A496)*Calc!$G$2:$G$1001*((((K496+O496)-(L496+Calc!$J$2:$J$1001))&gt;0)*(((K496+O496)-(L496+Calc!$J$2:$J$1001))&lt;Calc!$F$2:$F$1001)*((K496+O496)-(L496+Calc!$J$2:$J$1001))+(((K496+O496)-(L496+Calc!$J$2:$J$1001))&gt;=Calc!$F$2:$F$1001)*Calc!$F$2:$F$1001))))</f>
        <v/>
      </c>
      <c r="T496">
        <f>IF(AND(E496=1,B496="RETURN"),Transactions!E496*Transactions!G496,0)</f>
        <v/>
      </c>
      <c r="U496">
        <f>IF(AND(E496=1,B496="EXPENSE"),Transactions!J496,0)</f>
        <v/>
      </c>
      <c r="V496">
        <f>IF(AND(Transactions!A496&lt;&gt;"",E496=0),ROW(),"")</f>
        <v/>
      </c>
      <c r="W496">
        <f>IFERROR(VLOOKUP(A496,Opening!$A:$D,4,0),0)</f>
        <v/>
      </c>
    </row>
    <row r="497">
      <c r="A497">
        <f>IF(Transactions!D497="","",UPPER(TRIM(Transactions!D497)))</f>
        <v/>
      </c>
      <c r="B497">
        <f>IF(Transactions!C497="","",UPPER(TRIM(Transactions!C497)))</f>
        <v/>
      </c>
      <c r="C497">
        <f>IF(Transactions!B497="",0,YEAR(Transactions!B497)*100+MONTH(Transactions!B497))</f>
        <v/>
      </c>
      <c r="D497">
        <f>IF(Transactions!A497="",1,IF(COUNTIF(Transactions!$A$1:A496,Transactions!A497)&gt;0,1,0))</f>
        <v/>
      </c>
      <c r="E497">
        <f>IF(D497=1,0,IF(B497="RETURN",IF(COUNTIFS($A$1:A496,A497,$B$1:B496,"SALE",$E$1:E496,1)&gt;0,1,0),1))</f>
        <v/>
      </c>
      <c r="F497">
        <f>IF(E497=1,IF(B497="RECEIPT",Transactions!E497,IF(AND(B497="RETURN",LOWER(TRIM(Transactions!H497))="resellable"),Transactions!E497,0)),0)</f>
        <v/>
      </c>
      <c r="G497">
        <f>IF(F497&gt;0,IF(B497="RECEIPT",Transactions!F497,IF(_xlfn.MAXIFS($H$2:H497,$A$2:A497,A497)&gt;0,INDEX(Transactions!$F:$F,_xlfn.MAXIFS($H$2:H497,$A$2:A497,A497)),W497)),0)</f>
        <v/>
      </c>
      <c r="H497">
        <f>IF(AND(E497=1,B497="RECEIPT"),ROW(),0)</f>
        <v/>
      </c>
      <c r="I497">
        <f>IF(E497=1,IF(OR(B497="SALE",B497="WRITEOFF"),Transactions!E497,0),0)</f>
        <v/>
      </c>
      <c r="J497">
        <f>SUMIFS($F$1:F496,$A$1:A496,A497)</f>
        <v/>
      </c>
      <c r="K497">
        <f>SUMIFS($I$1:I496,$A$1:A496,A497)</f>
        <v/>
      </c>
      <c r="L497">
        <f>IFERROR(VLOOKUP(A497,Opening!$A:$C,3,0),0)</f>
        <v/>
      </c>
      <c r="M497">
        <f>IF(I497=0,0,MAX(0,MIN(INDEX(Month!H$2:H$13,MATCH($A497,Month!$A$2:$A$13,0))-K497,I497)))</f>
        <v/>
      </c>
      <c r="N497">
        <f>IF(I497=0,0,MAX(0,MIN(INDEX(Month!I$2:I$13,MATCH($A497,Month!$A$2:$A$13,0))-K497,I497)))</f>
        <v/>
      </c>
      <c r="O497">
        <f>IF(I497=0,0,MAX(0,MIN(INDEX(Month!J$2:J$13,MATCH($A497,Month!$A$2:$A$13,0))-K497,I497)))</f>
        <v/>
      </c>
      <c r="P497">
        <f>IF(I497=0,0,(MIN(MAX(K497,0),L497)*W497+SUMPRODUCT((Calc!$A$2:$A$1001=A497)*Calc!$G$2:$G$1001*(((K497-(L497+Calc!$J$2:$J$1001))&gt;0)*((K497-(L497+Calc!$J$2:$J$1001))&lt;Calc!$F$2:$F$1001)*(K497-(L497+Calc!$J$2:$J$1001))+((K497-(L497+Calc!$J$2:$J$1001))&gt;=Calc!$F$2:$F$1001)*Calc!$F$2:$F$1001))))</f>
        <v/>
      </c>
      <c r="Q497">
        <f>IF(I497=0,0,(MIN(MAX((K497+M497),0),L497)*W497+SUMPRODUCT((Calc!$A$2:$A$1001=A497)*Calc!$G$2:$G$1001*((((K497+M497)-(L497+Calc!$J$2:$J$1001))&gt;0)*(((K497+M497)-(L497+Calc!$J$2:$J$1001))&lt;Calc!$F$2:$F$1001)*((K497+M497)-(L497+Calc!$J$2:$J$1001))+(((K497+M497)-(L497+Calc!$J$2:$J$1001))&gt;=Calc!$F$2:$F$1001)*Calc!$F$2:$F$1001))))</f>
        <v/>
      </c>
      <c r="R497">
        <f>IF(I497=0,0,(MIN(MAX((K497+N497),0),L497)*W497+SUMPRODUCT((Calc!$A$2:$A$1001=A497)*Calc!$G$2:$G$1001*((((K497+N497)-(L497+Calc!$J$2:$J$1001))&gt;0)*(((K497+N497)-(L497+Calc!$J$2:$J$1001))&lt;Calc!$F$2:$F$1001)*((K497+N497)-(L497+Calc!$J$2:$J$1001))+(((K497+N497)-(L497+Calc!$J$2:$J$1001))&gt;=Calc!$F$2:$F$1001)*Calc!$F$2:$F$1001))))</f>
        <v/>
      </c>
      <c r="S497">
        <f>IF(I497=0,0,(MIN(MAX((K497+O497),0),L497)*W497+SUMPRODUCT((Calc!$A$2:$A$1001=A497)*Calc!$G$2:$G$1001*((((K497+O497)-(L497+Calc!$J$2:$J$1001))&gt;0)*(((K497+O497)-(L497+Calc!$J$2:$J$1001))&lt;Calc!$F$2:$F$1001)*((K497+O497)-(L497+Calc!$J$2:$J$1001))+(((K497+O497)-(L497+Calc!$J$2:$J$1001))&gt;=Calc!$F$2:$F$1001)*Calc!$F$2:$F$1001))))</f>
        <v/>
      </c>
      <c r="T497">
        <f>IF(AND(E497=1,B497="RETURN"),Transactions!E497*Transactions!G497,0)</f>
        <v/>
      </c>
      <c r="U497">
        <f>IF(AND(E497=1,B497="EXPENSE"),Transactions!J497,0)</f>
        <v/>
      </c>
      <c r="V497">
        <f>IF(AND(Transactions!A497&lt;&gt;"",E497=0),ROW(),"")</f>
        <v/>
      </c>
      <c r="W497">
        <f>IFERROR(VLOOKUP(A497,Opening!$A:$D,4,0),0)</f>
        <v/>
      </c>
    </row>
    <row r="498">
      <c r="A498">
        <f>IF(Transactions!D498="","",UPPER(TRIM(Transactions!D498)))</f>
        <v/>
      </c>
      <c r="B498">
        <f>IF(Transactions!C498="","",UPPER(TRIM(Transactions!C498)))</f>
        <v/>
      </c>
      <c r="C498">
        <f>IF(Transactions!B498="",0,YEAR(Transactions!B498)*100+MONTH(Transactions!B498))</f>
        <v/>
      </c>
      <c r="D498">
        <f>IF(Transactions!A498="",1,IF(COUNTIF(Transactions!$A$1:A497,Transactions!A498)&gt;0,1,0))</f>
        <v/>
      </c>
      <c r="E498">
        <f>IF(D498=1,0,IF(B498="RETURN",IF(COUNTIFS($A$1:A497,A498,$B$1:B497,"SALE",$E$1:E497,1)&gt;0,1,0),1))</f>
        <v/>
      </c>
      <c r="F498">
        <f>IF(E498=1,IF(B498="RECEIPT",Transactions!E498,IF(AND(B498="RETURN",LOWER(TRIM(Transactions!H498))="resellable"),Transactions!E498,0)),0)</f>
        <v/>
      </c>
      <c r="G498">
        <f>IF(F498&gt;0,IF(B498="RECEIPT",Transactions!F498,IF(_xlfn.MAXIFS($H$2:H498,$A$2:A498,A498)&gt;0,INDEX(Transactions!$F:$F,_xlfn.MAXIFS($H$2:H498,$A$2:A498,A498)),W498)),0)</f>
        <v/>
      </c>
      <c r="H498">
        <f>IF(AND(E498=1,B498="RECEIPT"),ROW(),0)</f>
        <v/>
      </c>
      <c r="I498">
        <f>IF(E498=1,IF(OR(B498="SALE",B498="WRITEOFF"),Transactions!E498,0),0)</f>
        <v/>
      </c>
      <c r="J498">
        <f>SUMIFS($F$1:F497,$A$1:A497,A498)</f>
        <v/>
      </c>
      <c r="K498">
        <f>SUMIFS($I$1:I497,$A$1:A497,A498)</f>
        <v/>
      </c>
      <c r="L498">
        <f>IFERROR(VLOOKUP(A498,Opening!$A:$C,3,0),0)</f>
        <v/>
      </c>
      <c r="M498">
        <f>IF(I498=0,0,MAX(0,MIN(INDEX(Month!H$2:H$13,MATCH($A498,Month!$A$2:$A$13,0))-K498,I498)))</f>
        <v/>
      </c>
      <c r="N498">
        <f>IF(I498=0,0,MAX(0,MIN(INDEX(Month!I$2:I$13,MATCH($A498,Month!$A$2:$A$13,0))-K498,I498)))</f>
        <v/>
      </c>
      <c r="O498">
        <f>IF(I498=0,0,MAX(0,MIN(INDEX(Month!J$2:J$13,MATCH($A498,Month!$A$2:$A$13,0))-K498,I498)))</f>
        <v/>
      </c>
      <c r="P498">
        <f>IF(I498=0,0,(MIN(MAX(K498,0),L498)*W498+SUMPRODUCT((Calc!$A$2:$A$1001=A498)*Calc!$G$2:$G$1001*(((K498-(L498+Calc!$J$2:$J$1001))&gt;0)*((K498-(L498+Calc!$J$2:$J$1001))&lt;Calc!$F$2:$F$1001)*(K498-(L498+Calc!$J$2:$J$1001))+((K498-(L498+Calc!$J$2:$J$1001))&gt;=Calc!$F$2:$F$1001)*Calc!$F$2:$F$1001))))</f>
        <v/>
      </c>
      <c r="Q498">
        <f>IF(I498=0,0,(MIN(MAX((K498+M498),0),L498)*W498+SUMPRODUCT((Calc!$A$2:$A$1001=A498)*Calc!$G$2:$G$1001*((((K498+M498)-(L498+Calc!$J$2:$J$1001))&gt;0)*(((K498+M498)-(L498+Calc!$J$2:$J$1001))&lt;Calc!$F$2:$F$1001)*((K498+M498)-(L498+Calc!$J$2:$J$1001))+(((K498+M498)-(L498+Calc!$J$2:$J$1001))&gt;=Calc!$F$2:$F$1001)*Calc!$F$2:$F$1001))))</f>
        <v/>
      </c>
      <c r="R498">
        <f>IF(I498=0,0,(MIN(MAX((K498+N498),0),L498)*W498+SUMPRODUCT((Calc!$A$2:$A$1001=A498)*Calc!$G$2:$G$1001*((((K498+N498)-(L498+Calc!$J$2:$J$1001))&gt;0)*(((K498+N498)-(L498+Calc!$J$2:$J$1001))&lt;Calc!$F$2:$F$1001)*((K498+N498)-(L498+Calc!$J$2:$J$1001))+(((K498+N498)-(L498+Calc!$J$2:$J$1001))&gt;=Calc!$F$2:$F$1001)*Calc!$F$2:$F$1001))))</f>
        <v/>
      </c>
      <c r="S498">
        <f>IF(I498=0,0,(MIN(MAX((K498+O498),0),L498)*W498+SUMPRODUCT((Calc!$A$2:$A$1001=A498)*Calc!$G$2:$G$1001*((((K498+O498)-(L498+Calc!$J$2:$J$1001))&gt;0)*(((K498+O498)-(L498+Calc!$J$2:$J$1001))&lt;Calc!$F$2:$F$1001)*((K498+O498)-(L498+Calc!$J$2:$J$1001))+(((K498+O498)-(L498+Calc!$J$2:$J$1001))&gt;=Calc!$F$2:$F$1001)*Calc!$F$2:$F$1001))))</f>
        <v/>
      </c>
      <c r="T498">
        <f>IF(AND(E498=1,B498="RETURN"),Transactions!E498*Transactions!G498,0)</f>
        <v/>
      </c>
      <c r="U498">
        <f>IF(AND(E498=1,B498="EXPENSE"),Transactions!J498,0)</f>
        <v/>
      </c>
      <c r="V498">
        <f>IF(AND(Transactions!A498&lt;&gt;"",E498=0),ROW(),"")</f>
        <v/>
      </c>
      <c r="W498">
        <f>IFERROR(VLOOKUP(A498,Opening!$A:$D,4,0),0)</f>
        <v/>
      </c>
    </row>
    <row r="499">
      <c r="A499">
        <f>IF(Transactions!D499="","",UPPER(TRIM(Transactions!D499)))</f>
        <v/>
      </c>
      <c r="B499">
        <f>IF(Transactions!C499="","",UPPER(TRIM(Transactions!C499)))</f>
        <v/>
      </c>
      <c r="C499">
        <f>IF(Transactions!B499="",0,YEAR(Transactions!B499)*100+MONTH(Transactions!B499))</f>
        <v/>
      </c>
      <c r="D499">
        <f>IF(Transactions!A499="",1,IF(COUNTIF(Transactions!$A$1:A498,Transactions!A499)&gt;0,1,0))</f>
        <v/>
      </c>
      <c r="E499">
        <f>IF(D499=1,0,IF(B499="RETURN",IF(COUNTIFS($A$1:A498,A499,$B$1:B498,"SALE",$E$1:E498,1)&gt;0,1,0),1))</f>
        <v/>
      </c>
      <c r="F499">
        <f>IF(E499=1,IF(B499="RECEIPT",Transactions!E499,IF(AND(B499="RETURN",LOWER(TRIM(Transactions!H499))="resellable"),Transactions!E499,0)),0)</f>
        <v/>
      </c>
      <c r="G499">
        <f>IF(F499&gt;0,IF(B499="RECEIPT",Transactions!F499,IF(_xlfn.MAXIFS($H$2:H499,$A$2:A499,A499)&gt;0,INDEX(Transactions!$F:$F,_xlfn.MAXIFS($H$2:H499,$A$2:A499,A499)),W499)),0)</f>
        <v/>
      </c>
      <c r="H499">
        <f>IF(AND(E499=1,B499="RECEIPT"),ROW(),0)</f>
        <v/>
      </c>
      <c r="I499">
        <f>IF(E499=1,IF(OR(B499="SALE",B499="WRITEOFF"),Transactions!E499,0),0)</f>
        <v/>
      </c>
      <c r="J499">
        <f>SUMIFS($F$1:F498,$A$1:A498,A499)</f>
        <v/>
      </c>
      <c r="K499">
        <f>SUMIFS($I$1:I498,$A$1:A498,A499)</f>
        <v/>
      </c>
      <c r="L499">
        <f>IFERROR(VLOOKUP(A499,Opening!$A:$C,3,0),0)</f>
        <v/>
      </c>
      <c r="M499">
        <f>IF(I499=0,0,MAX(0,MIN(INDEX(Month!H$2:H$13,MATCH($A499,Month!$A$2:$A$13,0))-K499,I499)))</f>
        <v/>
      </c>
      <c r="N499">
        <f>IF(I499=0,0,MAX(0,MIN(INDEX(Month!I$2:I$13,MATCH($A499,Month!$A$2:$A$13,0))-K499,I499)))</f>
        <v/>
      </c>
      <c r="O499">
        <f>IF(I499=0,0,MAX(0,MIN(INDEX(Month!J$2:J$13,MATCH($A499,Month!$A$2:$A$13,0))-K499,I499)))</f>
        <v/>
      </c>
      <c r="P499">
        <f>IF(I499=0,0,(MIN(MAX(K499,0),L499)*W499+SUMPRODUCT((Calc!$A$2:$A$1001=A499)*Calc!$G$2:$G$1001*(((K499-(L499+Calc!$J$2:$J$1001))&gt;0)*((K499-(L499+Calc!$J$2:$J$1001))&lt;Calc!$F$2:$F$1001)*(K499-(L499+Calc!$J$2:$J$1001))+((K499-(L499+Calc!$J$2:$J$1001))&gt;=Calc!$F$2:$F$1001)*Calc!$F$2:$F$1001))))</f>
        <v/>
      </c>
      <c r="Q499">
        <f>IF(I499=0,0,(MIN(MAX((K499+M499),0),L499)*W499+SUMPRODUCT((Calc!$A$2:$A$1001=A499)*Calc!$G$2:$G$1001*((((K499+M499)-(L499+Calc!$J$2:$J$1001))&gt;0)*(((K499+M499)-(L499+Calc!$J$2:$J$1001))&lt;Calc!$F$2:$F$1001)*((K499+M499)-(L499+Calc!$J$2:$J$1001))+(((K499+M499)-(L499+Calc!$J$2:$J$1001))&gt;=Calc!$F$2:$F$1001)*Calc!$F$2:$F$1001))))</f>
        <v/>
      </c>
      <c r="R499">
        <f>IF(I499=0,0,(MIN(MAX((K499+N499),0),L499)*W499+SUMPRODUCT((Calc!$A$2:$A$1001=A499)*Calc!$G$2:$G$1001*((((K499+N499)-(L499+Calc!$J$2:$J$1001))&gt;0)*(((K499+N499)-(L499+Calc!$J$2:$J$1001))&lt;Calc!$F$2:$F$1001)*((K499+N499)-(L499+Calc!$J$2:$J$1001))+(((K499+N499)-(L499+Calc!$J$2:$J$1001))&gt;=Calc!$F$2:$F$1001)*Calc!$F$2:$F$1001))))</f>
        <v/>
      </c>
      <c r="S499">
        <f>IF(I499=0,0,(MIN(MAX((K499+O499),0),L499)*W499+SUMPRODUCT((Calc!$A$2:$A$1001=A499)*Calc!$G$2:$G$1001*((((K499+O499)-(L499+Calc!$J$2:$J$1001))&gt;0)*(((K499+O499)-(L499+Calc!$J$2:$J$1001))&lt;Calc!$F$2:$F$1001)*((K499+O499)-(L499+Calc!$J$2:$J$1001))+(((K499+O499)-(L499+Calc!$J$2:$J$1001))&gt;=Calc!$F$2:$F$1001)*Calc!$F$2:$F$1001))))</f>
        <v/>
      </c>
      <c r="T499">
        <f>IF(AND(E499=1,B499="RETURN"),Transactions!E499*Transactions!G499,0)</f>
        <v/>
      </c>
      <c r="U499">
        <f>IF(AND(E499=1,B499="EXPENSE"),Transactions!J499,0)</f>
        <v/>
      </c>
      <c r="V499">
        <f>IF(AND(Transactions!A499&lt;&gt;"",E499=0),ROW(),"")</f>
        <v/>
      </c>
      <c r="W499">
        <f>IFERROR(VLOOKUP(A499,Opening!$A:$D,4,0),0)</f>
        <v/>
      </c>
    </row>
    <row r="500">
      <c r="A500">
        <f>IF(Transactions!D500="","",UPPER(TRIM(Transactions!D500)))</f>
        <v/>
      </c>
      <c r="B500">
        <f>IF(Transactions!C500="","",UPPER(TRIM(Transactions!C500)))</f>
        <v/>
      </c>
      <c r="C500">
        <f>IF(Transactions!B500="",0,YEAR(Transactions!B500)*100+MONTH(Transactions!B500))</f>
        <v/>
      </c>
      <c r="D500">
        <f>IF(Transactions!A500="",1,IF(COUNTIF(Transactions!$A$1:A499,Transactions!A500)&gt;0,1,0))</f>
        <v/>
      </c>
      <c r="E500">
        <f>IF(D500=1,0,IF(B500="RETURN",IF(COUNTIFS($A$1:A499,A500,$B$1:B499,"SALE",$E$1:E499,1)&gt;0,1,0),1))</f>
        <v/>
      </c>
      <c r="F500">
        <f>IF(E500=1,IF(B500="RECEIPT",Transactions!E500,IF(AND(B500="RETURN",LOWER(TRIM(Transactions!H500))="resellable"),Transactions!E500,0)),0)</f>
        <v/>
      </c>
      <c r="G500">
        <f>IF(F500&gt;0,IF(B500="RECEIPT",Transactions!F500,IF(_xlfn.MAXIFS($H$2:H500,$A$2:A500,A500)&gt;0,INDEX(Transactions!$F:$F,_xlfn.MAXIFS($H$2:H500,$A$2:A500,A500)),W500)),0)</f>
        <v/>
      </c>
      <c r="H500">
        <f>IF(AND(E500=1,B500="RECEIPT"),ROW(),0)</f>
        <v/>
      </c>
      <c r="I500">
        <f>IF(E500=1,IF(OR(B500="SALE",B500="WRITEOFF"),Transactions!E500,0),0)</f>
        <v/>
      </c>
      <c r="J500">
        <f>SUMIFS($F$1:F499,$A$1:A499,A500)</f>
        <v/>
      </c>
      <c r="K500">
        <f>SUMIFS($I$1:I499,$A$1:A499,A500)</f>
        <v/>
      </c>
      <c r="L500">
        <f>IFERROR(VLOOKUP(A500,Opening!$A:$C,3,0),0)</f>
        <v/>
      </c>
      <c r="M500">
        <f>IF(I500=0,0,MAX(0,MIN(INDEX(Month!H$2:H$13,MATCH($A500,Month!$A$2:$A$13,0))-K500,I500)))</f>
        <v/>
      </c>
      <c r="N500">
        <f>IF(I500=0,0,MAX(0,MIN(INDEX(Month!I$2:I$13,MATCH($A500,Month!$A$2:$A$13,0))-K500,I500)))</f>
        <v/>
      </c>
      <c r="O500">
        <f>IF(I500=0,0,MAX(0,MIN(INDEX(Month!J$2:J$13,MATCH($A500,Month!$A$2:$A$13,0))-K500,I500)))</f>
        <v/>
      </c>
      <c r="P500">
        <f>IF(I500=0,0,(MIN(MAX(K500,0),L500)*W500+SUMPRODUCT((Calc!$A$2:$A$1001=A500)*Calc!$G$2:$G$1001*(((K500-(L500+Calc!$J$2:$J$1001))&gt;0)*((K500-(L500+Calc!$J$2:$J$1001))&lt;Calc!$F$2:$F$1001)*(K500-(L500+Calc!$J$2:$J$1001))+((K500-(L500+Calc!$J$2:$J$1001))&gt;=Calc!$F$2:$F$1001)*Calc!$F$2:$F$1001))))</f>
        <v/>
      </c>
      <c r="Q500">
        <f>IF(I500=0,0,(MIN(MAX((K500+M500),0),L500)*W500+SUMPRODUCT((Calc!$A$2:$A$1001=A500)*Calc!$G$2:$G$1001*((((K500+M500)-(L500+Calc!$J$2:$J$1001))&gt;0)*(((K500+M500)-(L500+Calc!$J$2:$J$1001))&lt;Calc!$F$2:$F$1001)*((K500+M500)-(L500+Calc!$J$2:$J$1001))+(((K500+M500)-(L500+Calc!$J$2:$J$1001))&gt;=Calc!$F$2:$F$1001)*Calc!$F$2:$F$1001))))</f>
        <v/>
      </c>
      <c r="R500">
        <f>IF(I500=0,0,(MIN(MAX((K500+N500),0),L500)*W500+SUMPRODUCT((Calc!$A$2:$A$1001=A500)*Calc!$G$2:$G$1001*((((K500+N500)-(L500+Calc!$J$2:$J$1001))&gt;0)*(((K500+N500)-(L500+Calc!$J$2:$J$1001))&lt;Calc!$F$2:$F$1001)*((K500+N500)-(L500+Calc!$J$2:$J$1001))+(((K500+N500)-(L500+Calc!$J$2:$J$1001))&gt;=Calc!$F$2:$F$1001)*Calc!$F$2:$F$1001))))</f>
        <v/>
      </c>
      <c r="S500">
        <f>IF(I500=0,0,(MIN(MAX((K500+O500),0),L500)*W500+SUMPRODUCT((Calc!$A$2:$A$1001=A500)*Calc!$G$2:$G$1001*((((K500+O500)-(L500+Calc!$J$2:$J$1001))&gt;0)*(((K500+O500)-(L500+Calc!$J$2:$J$1001))&lt;Calc!$F$2:$F$1001)*((K500+O500)-(L500+Calc!$J$2:$J$1001))+(((K500+O500)-(L500+Calc!$J$2:$J$1001))&gt;=Calc!$F$2:$F$1001)*Calc!$F$2:$F$1001))))</f>
        <v/>
      </c>
      <c r="T500">
        <f>IF(AND(E500=1,B500="RETURN"),Transactions!E500*Transactions!G500,0)</f>
        <v/>
      </c>
      <c r="U500">
        <f>IF(AND(E500=1,B500="EXPENSE"),Transactions!J500,0)</f>
        <v/>
      </c>
      <c r="V500">
        <f>IF(AND(Transactions!A500&lt;&gt;"",E500=0),ROW(),"")</f>
        <v/>
      </c>
      <c r="W500">
        <f>IFERROR(VLOOKUP(A500,Opening!$A:$D,4,0),0)</f>
        <v/>
      </c>
    </row>
    <row r="501">
      <c r="A501">
        <f>IF(Transactions!D501="","",UPPER(TRIM(Transactions!D501)))</f>
        <v/>
      </c>
      <c r="B501">
        <f>IF(Transactions!C501="","",UPPER(TRIM(Transactions!C501)))</f>
        <v/>
      </c>
      <c r="C501">
        <f>IF(Transactions!B501="",0,YEAR(Transactions!B501)*100+MONTH(Transactions!B501))</f>
        <v/>
      </c>
      <c r="D501">
        <f>IF(Transactions!A501="",1,IF(COUNTIF(Transactions!$A$1:A500,Transactions!A501)&gt;0,1,0))</f>
        <v/>
      </c>
      <c r="E501">
        <f>IF(D501=1,0,IF(B501="RETURN",IF(COUNTIFS($A$1:A500,A501,$B$1:B500,"SALE",$E$1:E500,1)&gt;0,1,0),1))</f>
        <v/>
      </c>
      <c r="F501">
        <f>IF(E501=1,IF(B501="RECEIPT",Transactions!E501,IF(AND(B501="RETURN",LOWER(TRIM(Transactions!H501))="resellable"),Transactions!E501,0)),0)</f>
        <v/>
      </c>
      <c r="G501">
        <f>IF(F501&gt;0,IF(B501="RECEIPT",Transactions!F501,IF(_xlfn.MAXIFS($H$2:H501,$A$2:A501,A501)&gt;0,INDEX(Transactions!$F:$F,_xlfn.MAXIFS($H$2:H501,$A$2:A501,A501)),W501)),0)</f>
        <v/>
      </c>
      <c r="H501">
        <f>IF(AND(E501=1,B501="RECEIPT"),ROW(),0)</f>
        <v/>
      </c>
      <c r="I501">
        <f>IF(E501=1,IF(OR(B501="SALE",B501="WRITEOFF"),Transactions!E501,0),0)</f>
        <v/>
      </c>
      <c r="J501">
        <f>SUMIFS($F$1:F500,$A$1:A500,A501)</f>
        <v/>
      </c>
      <c r="K501">
        <f>SUMIFS($I$1:I500,$A$1:A500,A501)</f>
        <v/>
      </c>
      <c r="L501">
        <f>IFERROR(VLOOKUP(A501,Opening!$A:$C,3,0),0)</f>
        <v/>
      </c>
      <c r="M501">
        <f>IF(I501=0,0,MAX(0,MIN(INDEX(Month!H$2:H$13,MATCH($A501,Month!$A$2:$A$13,0))-K501,I501)))</f>
        <v/>
      </c>
      <c r="N501">
        <f>IF(I501=0,0,MAX(0,MIN(INDEX(Month!I$2:I$13,MATCH($A501,Month!$A$2:$A$13,0))-K501,I501)))</f>
        <v/>
      </c>
      <c r="O501">
        <f>IF(I501=0,0,MAX(0,MIN(INDEX(Month!J$2:J$13,MATCH($A501,Month!$A$2:$A$13,0))-K501,I501)))</f>
        <v/>
      </c>
      <c r="P501">
        <f>IF(I501=0,0,(MIN(MAX(K501,0),L501)*W501+SUMPRODUCT((Calc!$A$2:$A$1001=A501)*Calc!$G$2:$G$1001*(((K501-(L501+Calc!$J$2:$J$1001))&gt;0)*((K501-(L501+Calc!$J$2:$J$1001))&lt;Calc!$F$2:$F$1001)*(K501-(L501+Calc!$J$2:$J$1001))+((K501-(L501+Calc!$J$2:$J$1001))&gt;=Calc!$F$2:$F$1001)*Calc!$F$2:$F$1001))))</f>
        <v/>
      </c>
      <c r="Q501">
        <f>IF(I501=0,0,(MIN(MAX((K501+M501),0),L501)*W501+SUMPRODUCT((Calc!$A$2:$A$1001=A501)*Calc!$G$2:$G$1001*((((K501+M501)-(L501+Calc!$J$2:$J$1001))&gt;0)*(((K501+M501)-(L501+Calc!$J$2:$J$1001))&lt;Calc!$F$2:$F$1001)*((K501+M501)-(L501+Calc!$J$2:$J$1001))+(((K501+M501)-(L501+Calc!$J$2:$J$1001))&gt;=Calc!$F$2:$F$1001)*Calc!$F$2:$F$1001))))</f>
        <v/>
      </c>
      <c r="R501">
        <f>IF(I501=0,0,(MIN(MAX((K501+N501),0),L501)*W501+SUMPRODUCT((Calc!$A$2:$A$1001=A501)*Calc!$G$2:$G$1001*((((K501+N501)-(L501+Calc!$J$2:$J$1001))&gt;0)*(((K501+N501)-(L501+Calc!$J$2:$J$1001))&lt;Calc!$F$2:$F$1001)*((K501+N501)-(L501+Calc!$J$2:$J$1001))+(((K501+N501)-(L501+Calc!$J$2:$J$1001))&gt;=Calc!$F$2:$F$1001)*Calc!$F$2:$F$1001))))</f>
        <v/>
      </c>
      <c r="S501">
        <f>IF(I501=0,0,(MIN(MAX((K501+O501),0),L501)*W501+SUMPRODUCT((Calc!$A$2:$A$1001=A501)*Calc!$G$2:$G$1001*((((K501+O501)-(L501+Calc!$J$2:$J$1001))&gt;0)*(((K501+O501)-(L501+Calc!$J$2:$J$1001))&lt;Calc!$F$2:$F$1001)*((K501+O501)-(L501+Calc!$J$2:$J$1001))+(((K501+O501)-(L501+Calc!$J$2:$J$1001))&gt;=Calc!$F$2:$F$1001)*Calc!$F$2:$F$1001))))</f>
        <v/>
      </c>
      <c r="T501">
        <f>IF(AND(E501=1,B501="RETURN"),Transactions!E501*Transactions!G501,0)</f>
        <v/>
      </c>
      <c r="U501">
        <f>IF(AND(E501=1,B501="EXPENSE"),Transactions!J501,0)</f>
        <v/>
      </c>
      <c r="V501">
        <f>IF(AND(Transactions!A501&lt;&gt;"",E501=0),ROW(),"")</f>
        <v/>
      </c>
      <c r="W501">
        <f>IFERROR(VLOOKUP(A501,Opening!$A:$D,4,0),0)</f>
        <v/>
      </c>
    </row>
    <row r="502">
      <c r="A502">
        <f>IF(Transactions!D502="","",UPPER(TRIM(Transactions!D502)))</f>
        <v/>
      </c>
      <c r="B502">
        <f>IF(Transactions!C502="","",UPPER(TRIM(Transactions!C502)))</f>
        <v/>
      </c>
      <c r="C502">
        <f>IF(Transactions!B502="",0,YEAR(Transactions!B502)*100+MONTH(Transactions!B502))</f>
        <v/>
      </c>
      <c r="D502">
        <f>IF(Transactions!A502="",1,IF(COUNTIF(Transactions!$A$1:A501,Transactions!A502)&gt;0,1,0))</f>
        <v/>
      </c>
      <c r="E502">
        <f>IF(D502=1,0,IF(B502="RETURN",IF(COUNTIFS($A$1:A501,A502,$B$1:B501,"SALE",$E$1:E501,1)&gt;0,1,0),1))</f>
        <v/>
      </c>
      <c r="F502">
        <f>IF(E502=1,IF(B502="RECEIPT",Transactions!E502,IF(AND(B502="RETURN",LOWER(TRIM(Transactions!H502))="resellable"),Transactions!E502,0)),0)</f>
        <v/>
      </c>
      <c r="G502">
        <f>IF(F502&gt;0,IF(B502="RECEIPT",Transactions!F502,IF(_xlfn.MAXIFS($H$2:H502,$A$2:A502,A502)&gt;0,INDEX(Transactions!$F:$F,_xlfn.MAXIFS($H$2:H502,$A$2:A502,A502)),W502)),0)</f>
        <v/>
      </c>
      <c r="H502">
        <f>IF(AND(E502=1,B502="RECEIPT"),ROW(),0)</f>
        <v/>
      </c>
      <c r="I502">
        <f>IF(E502=1,IF(OR(B502="SALE",B502="WRITEOFF"),Transactions!E502,0),0)</f>
        <v/>
      </c>
      <c r="J502">
        <f>SUMIFS($F$1:F501,$A$1:A501,A502)</f>
        <v/>
      </c>
      <c r="K502">
        <f>SUMIFS($I$1:I501,$A$1:A501,A502)</f>
        <v/>
      </c>
      <c r="L502">
        <f>IFERROR(VLOOKUP(A502,Opening!$A:$C,3,0),0)</f>
        <v/>
      </c>
      <c r="M502">
        <f>IF(I502=0,0,MAX(0,MIN(INDEX(Month!H$2:H$13,MATCH($A502,Month!$A$2:$A$13,0))-K502,I502)))</f>
        <v/>
      </c>
      <c r="N502">
        <f>IF(I502=0,0,MAX(0,MIN(INDEX(Month!I$2:I$13,MATCH($A502,Month!$A$2:$A$13,0))-K502,I502)))</f>
        <v/>
      </c>
      <c r="O502">
        <f>IF(I502=0,0,MAX(0,MIN(INDEX(Month!J$2:J$13,MATCH($A502,Month!$A$2:$A$13,0))-K502,I502)))</f>
        <v/>
      </c>
      <c r="P502">
        <f>IF(I502=0,0,(MIN(MAX(K502,0),L502)*W502+SUMPRODUCT((Calc!$A$2:$A$1001=A502)*Calc!$G$2:$G$1001*(((K502-(L502+Calc!$J$2:$J$1001))&gt;0)*((K502-(L502+Calc!$J$2:$J$1001))&lt;Calc!$F$2:$F$1001)*(K502-(L502+Calc!$J$2:$J$1001))+((K502-(L502+Calc!$J$2:$J$1001))&gt;=Calc!$F$2:$F$1001)*Calc!$F$2:$F$1001))))</f>
        <v/>
      </c>
      <c r="Q502">
        <f>IF(I502=0,0,(MIN(MAX((K502+M502),0),L502)*W502+SUMPRODUCT((Calc!$A$2:$A$1001=A502)*Calc!$G$2:$G$1001*((((K502+M502)-(L502+Calc!$J$2:$J$1001))&gt;0)*(((K502+M502)-(L502+Calc!$J$2:$J$1001))&lt;Calc!$F$2:$F$1001)*((K502+M502)-(L502+Calc!$J$2:$J$1001))+(((K502+M502)-(L502+Calc!$J$2:$J$1001))&gt;=Calc!$F$2:$F$1001)*Calc!$F$2:$F$1001))))</f>
        <v/>
      </c>
      <c r="R502">
        <f>IF(I502=0,0,(MIN(MAX((K502+N502),0),L502)*W502+SUMPRODUCT((Calc!$A$2:$A$1001=A502)*Calc!$G$2:$G$1001*((((K502+N502)-(L502+Calc!$J$2:$J$1001))&gt;0)*(((K502+N502)-(L502+Calc!$J$2:$J$1001))&lt;Calc!$F$2:$F$1001)*((K502+N502)-(L502+Calc!$J$2:$J$1001))+(((K502+N502)-(L502+Calc!$J$2:$J$1001))&gt;=Calc!$F$2:$F$1001)*Calc!$F$2:$F$1001))))</f>
        <v/>
      </c>
      <c r="S502">
        <f>IF(I502=0,0,(MIN(MAX((K502+O502),0),L502)*W502+SUMPRODUCT((Calc!$A$2:$A$1001=A502)*Calc!$G$2:$G$1001*((((K502+O502)-(L502+Calc!$J$2:$J$1001))&gt;0)*(((K502+O502)-(L502+Calc!$J$2:$J$1001))&lt;Calc!$F$2:$F$1001)*((K502+O502)-(L502+Calc!$J$2:$J$1001))+(((K502+O502)-(L502+Calc!$J$2:$J$1001))&gt;=Calc!$F$2:$F$1001)*Calc!$F$2:$F$1001))))</f>
        <v/>
      </c>
      <c r="T502">
        <f>IF(AND(E502=1,B502="RETURN"),Transactions!E502*Transactions!G502,0)</f>
        <v/>
      </c>
      <c r="U502">
        <f>IF(AND(E502=1,B502="EXPENSE"),Transactions!J502,0)</f>
        <v/>
      </c>
      <c r="V502">
        <f>IF(AND(Transactions!A502&lt;&gt;"",E502=0),ROW(),"")</f>
        <v/>
      </c>
      <c r="W502">
        <f>IFERROR(VLOOKUP(A502,Opening!$A:$D,4,0),0)</f>
        <v/>
      </c>
    </row>
    <row r="503">
      <c r="A503">
        <f>IF(Transactions!D503="","",UPPER(TRIM(Transactions!D503)))</f>
        <v/>
      </c>
      <c r="B503">
        <f>IF(Transactions!C503="","",UPPER(TRIM(Transactions!C503)))</f>
        <v/>
      </c>
      <c r="C503">
        <f>IF(Transactions!B503="",0,YEAR(Transactions!B503)*100+MONTH(Transactions!B503))</f>
        <v/>
      </c>
      <c r="D503">
        <f>IF(Transactions!A503="",1,IF(COUNTIF(Transactions!$A$1:A502,Transactions!A503)&gt;0,1,0))</f>
        <v/>
      </c>
      <c r="E503">
        <f>IF(D503=1,0,IF(B503="RETURN",IF(COUNTIFS($A$1:A502,A503,$B$1:B502,"SALE",$E$1:E502,1)&gt;0,1,0),1))</f>
        <v/>
      </c>
      <c r="F503">
        <f>IF(E503=1,IF(B503="RECEIPT",Transactions!E503,IF(AND(B503="RETURN",LOWER(TRIM(Transactions!H503))="resellable"),Transactions!E503,0)),0)</f>
        <v/>
      </c>
      <c r="G503">
        <f>IF(F503&gt;0,IF(B503="RECEIPT",Transactions!F503,IF(_xlfn.MAXIFS($H$2:H503,$A$2:A503,A503)&gt;0,INDEX(Transactions!$F:$F,_xlfn.MAXIFS($H$2:H503,$A$2:A503,A503)),W503)),0)</f>
        <v/>
      </c>
      <c r="H503">
        <f>IF(AND(E503=1,B503="RECEIPT"),ROW(),0)</f>
        <v/>
      </c>
      <c r="I503">
        <f>IF(E503=1,IF(OR(B503="SALE",B503="WRITEOFF"),Transactions!E503,0),0)</f>
        <v/>
      </c>
      <c r="J503">
        <f>SUMIFS($F$1:F502,$A$1:A502,A503)</f>
        <v/>
      </c>
      <c r="K503">
        <f>SUMIFS($I$1:I502,$A$1:A502,A503)</f>
        <v/>
      </c>
      <c r="L503">
        <f>IFERROR(VLOOKUP(A503,Opening!$A:$C,3,0),0)</f>
        <v/>
      </c>
      <c r="M503">
        <f>IF(I503=0,0,MAX(0,MIN(INDEX(Month!H$2:H$13,MATCH($A503,Month!$A$2:$A$13,0))-K503,I503)))</f>
        <v/>
      </c>
      <c r="N503">
        <f>IF(I503=0,0,MAX(0,MIN(INDEX(Month!I$2:I$13,MATCH($A503,Month!$A$2:$A$13,0))-K503,I503)))</f>
        <v/>
      </c>
      <c r="O503">
        <f>IF(I503=0,0,MAX(0,MIN(INDEX(Month!J$2:J$13,MATCH($A503,Month!$A$2:$A$13,0))-K503,I503)))</f>
        <v/>
      </c>
      <c r="P503">
        <f>IF(I503=0,0,(MIN(MAX(K503,0),L503)*W503+SUMPRODUCT((Calc!$A$2:$A$1001=A503)*Calc!$G$2:$G$1001*(((K503-(L503+Calc!$J$2:$J$1001))&gt;0)*((K503-(L503+Calc!$J$2:$J$1001))&lt;Calc!$F$2:$F$1001)*(K503-(L503+Calc!$J$2:$J$1001))+((K503-(L503+Calc!$J$2:$J$1001))&gt;=Calc!$F$2:$F$1001)*Calc!$F$2:$F$1001))))</f>
        <v/>
      </c>
      <c r="Q503">
        <f>IF(I503=0,0,(MIN(MAX((K503+M503),0),L503)*W503+SUMPRODUCT((Calc!$A$2:$A$1001=A503)*Calc!$G$2:$G$1001*((((K503+M503)-(L503+Calc!$J$2:$J$1001))&gt;0)*(((K503+M503)-(L503+Calc!$J$2:$J$1001))&lt;Calc!$F$2:$F$1001)*((K503+M503)-(L503+Calc!$J$2:$J$1001))+(((K503+M503)-(L503+Calc!$J$2:$J$1001))&gt;=Calc!$F$2:$F$1001)*Calc!$F$2:$F$1001))))</f>
        <v/>
      </c>
      <c r="R503">
        <f>IF(I503=0,0,(MIN(MAX((K503+N503),0),L503)*W503+SUMPRODUCT((Calc!$A$2:$A$1001=A503)*Calc!$G$2:$G$1001*((((K503+N503)-(L503+Calc!$J$2:$J$1001))&gt;0)*(((K503+N503)-(L503+Calc!$J$2:$J$1001))&lt;Calc!$F$2:$F$1001)*((K503+N503)-(L503+Calc!$J$2:$J$1001))+(((K503+N503)-(L503+Calc!$J$2:$J$1001))&gt;=Calc!$F$2:$F$1001)*Calc!$F$2:$F$1001))))</f>
        <v/>
      </c>
      <c r="S503">
        <f>IF(I503=0,0,(MIN(MAX((K503+O503),0),L503)*W503+SUMPRODUCT((Calc!$A$2:$A$1001=A503)*Calc!$G$2:$G$1001*((((K503+O503)-(L503+Calc!$J$2:$J$1001))&gt;0)*(((K503+O503)-(L503+Calc!$J$2:$J$1001))&lt;Calc!$F$2:$F$1001)*((K503+O503)-(L503+Calc!$J$2:$J$1001))+(((K503+O503)-(L503+Calc!$J$2:$J$1001))&gt;=Calc!$F$2:$F$1001)*Calc!$F$2:$F$1001))))</f>
        <v/>
      </c>
      <c r="T503">
        <f>IF(AND(E503=1,B503="RETURN"),Transactions!E503*Transactions!G503,0)</f>
        <v/>
      </c>
      <c r="U503">
        <f>IF(AND(E503=1,B503="EXPENSE"),Transactions!J503,0)</f>
        <v/>
      </c>
      <c r="V503">
        <f>IF(AND(Transactions!A503&lt;&gt;"",E503=0),ROW(),"")</f>
        <v/>
      </c>
      <c r="W503">
        <f>IFERROR(VLOOKUP(A503,Opening!$A:$D,4,0),0)</f>
        <v/>
      </c>
    </row>
    <row r="504">
      <c r="A504">
        <f>IF(Transactions!D504="","",UPPER(TRIM(Transactions!D504)))</f>
        <v/>
      </c>
      <c r="B504">
        <f>IF(Transactions!C504="","",UPPER(TRIM(Transactions!C504)))</f>
        <v/>
      </c>
      <c r="C504">
        <f>IF(Transactions!B504="",0,YEAR(Transactions!B504)*100+MONTH(Transactions!B504))</f>
        <v/>
      </c>
      <c r="D504">
        <f>IF(Transactions!A504="",1,IF(COUNTIF(Transactions!$A$1:A503,Transactions!A504)&gt;0,1,0))</f>
        <v/>
      </c>
      <c r="E504">
        <f>IF(D504=1,0,IF(B504="RETURN",IF(COUNTIFS($A$1:A503,A504,$B$1:B503,"SALE",$E$1:E503,1)&gt;0,1,0),1))</f>
        <v/>
      </c>
      <c r="F504">
        <f>IF(E504=1,IF(B504="RECEIPT",Transactions!E504,IF(AND(B504="RETURN",LOWER(TRIM(Transactions!H504))="resellable"),Transactions!E504,0)),0)</f>
        <v/>
      </c>
      <c r="G504">
        <f>IF(F504&gt;0,IF(B504="RECEIPT",Transactions!F504,IF(_xlfn.MAXIFS($H$2:H504,$A$2:A504,A504)&gt;0,INDEX(Transactions!$F:$F,_xlfn.MAXIFS($H$2:H504,$A$2:A504,A504)),W504)),0)</f>
        <v/>
      </c>
      <c r="H504">
        <f>IF(AND(E504=1,B504="RECEIPT"),ROW(),0)</f>
        <v/>
      </c>
      <c r="I504">
        <f>IF(E504=1,IF(OR(B504="SALE",B504="WRITEOFF"),Transactions!E504,0),0)</f>
        <v/>
      </c>
      <c r="J504">
        <f>SUMIFS($F$1:F503,$A$1:A503,A504)</f>
        <v/>
      </c>
      <c r="K504">
        <f>SUMIFS($I$1:I503,$A$1:A503,A504)</f>
        <v/>
      </c>
      <c r="L504">
        <f>IFERROR(VLOOKUP(A504,Opening!$A:$C,3,0),0)</f>
        <v/>
      </c>
      <c r="M504">
        <f>IF(I504=0,0,MAX(0,MIN(INDEX(Month!H$2:H$13,MATCH($A504,Month!$A$2:$A$13,0))-K504,I504)))</f>
        <v/>
      </c>
      <c r="N504">
        <f>IF(I504=0,0,MAX(0,MIN(INDEX(Month!I$2:I$13,MATCH($A504,Month!$A$2:$A$13,0))-K504,I504)))</f>
        <v/>
      </c>
      <c r="O504">
        <f>IF(I504=0,0,MAX(0,MIN(INDEX(Month!J$2:J$13,MATCH($A504,Month!$A$2:$A$13,0))-K504,I504)))</f>
        <v/>
      </c>
      <c r="P504">
        <f>IF(I504=0,0,(MIN(MAX(K504,0),L504)*W504+SUMPRODUCT((Calc!$A$2:$A$1001=A504)*Calc!$G$2:$G$1001*(((K504-(L504+Calc!$J$2:$J$1001))&gt;0)*((K504-(L504+Calc!$J$2:$J$1001))&lt;Calc!$F$2:$F$1001)*(K504-(L504+Calc!$J$2:$J$1001))+((K504-(L504+Calc!$J$2:$J$1001))&gt;=Calc!$F$2:$F$1001)*Calc!$F$2:$F$1001))))</f>
        <v/>
      </c>
      <c r="Q504">
        <f>IF(I504=0,0,(MIN(MAX((K504+M504),0),L504)*W504+SUMPRODUCT((Calc!$A$2:$A$1001=A504)*Calc!$G$2:$G$1001*((((K504+M504)-(L504+Calc!$J$2:$J$1001))&gt;0)*(((K504+M504)-(L504+Calc!$J$2:$J$1001))&lt;Calc!$F$2:$F$1001)*((K504+M504)-(L504+Calc!$J$2:$J$1001))+(((K504+M504)-(L504+Calc!$J$2:$J$1001))&gt;=Calc!$F$2:$F$1001)*Calc!$F$2:$F$1001))))</f>
        <v/>
      </c>
      <c r="R504">
        <f>IF(I504=0,0,(MIN(MAX((K504+N504),0),L504)*W504+SUMPRODUCT((Calc!$A$2:$A$1001=A504)*Calc!$G$2:$G$1001*((((K504+N504)-(L504+Calc!$J$2:$J$1001))&gt;0)*(((K504+N504)-(L504+Calc!$J$2:$J$1001))&lt;Calc!$F$2:$F$1001)*((K504+N504)-(L504+Calc!$J$2:$J$1001))+(((K504+N504)-(L504+Calc!$J$2:$J$1001))&gt;=Calc!$F$2:$F$1001)*Calc!$F$2:$F$1001))))</f>
        <v/>
      </c>
      <c r="S504">
        <f>IF(I504=0,0,(MIN(MAX((K504+O504),0),L504)*W504+SUMPRODUCT((Calc!$A$2:$A$1001=A504)*Calc!$G$2:$G$1001*((((K504+O504)-(L504+Calc!$J$2:$J$1001))&gt;0)*(((K504+O504)-(L504+Calc!$J$2:$J$1001))&lt;Calc!$F$2:$F$1001)*((K504+O504)-(L504+Calc!$J$2:$J$1001))+(((K504+O504)-(L504+Calc!$J$2:$J$1001))&gt;=Calc!$F$2:$F$1001)*Calc!$F$2:$F$1001))))</f>
        <v/>
      </c>
      <c r="T504">
        <f>IF(AND(E504=1,B504="RETURN"),Transactions!E504*Transactions!G504,0)</f>
        <v/>
      </c>
      <c r="U504">
        <f>IF(AND(E504=1,B504="EXPENSE"),Transactions!J504,0)</f>
        <v/>
      </c>
      <c r="V504">
        <f>IF(AND(Transactions!A504&lt;&gt;"",E504=0),ROW(),"")</f>
        <v/>
      </c>
      <c r="W504">
        <f>IFERROR(VLOOKUP(A504,Opening!$A:$D,4,0),0)</f>
        <v/>
      </c>
    </row>
    <row r="505">
      <c r="A505">
        <f>IF(Transactions!D505="","",UPPER(TRIM(Transactions!D505)))</f>
        <v/>
      </c>
      <c r="B505">
        <f>IF(Transactions!C505="","",UPPER(TRIM(Transactions!C505)))</f>
        <v/>
      </c>
      <c r="C505">
        <f>IF(Transactions!B505="",0,YEAR(Transactions!B505)*100+MONTH(Transactions!B505))</f>
        <v/>
      </c>
      <c r="D505">
        <f>IF(Transactions!A505="",1,IF(COUNTIF(Transactions!$A$1:A504,Transactions!A505)&gt;0,1,0))</f>
        <v/>
      </c>
      <c r="E505">
        <f>IF(D505=1,0,IF(B505="RETURN",IF(COUNTIFS($A$1:A504,A505,$B$1:B504,"SALE",$E$1:E504,1)&gt;0,1,0),1))</f>
        <v/>
      </c>
      <c r="F505">
        <f>IF(E505=1,IF(B505="RECEIPT",Transactions!E505,IF(AND(B505="RETURN",LOWER(TRIM(Transactions!H505))="resellable"),Transactions!E505,0)),0)</f>
        <v/>
      </c>
      <c r="G505">
        <f>IF(F505&gt;0,IF(B505="RECEIPT",Transactions!F505,IF(_xlfn.MAXIFS($H$2:H505,$A$2:A505,A505)&gt;0,INDEX(Transactions!$F:$F,_xlfn.MAXIFS($H$2:H505,$A$2:A505,A505)),W505)),0)</f>
        <v/>
      </c>
      <c r="H505">
        <f>IF(AND(E505=1,B505="RECEIPT"),ROW(),0)</f>
        <v/>
      </c>
      <c r="I505">
        <f>IF(E505=1,IF(OR(B505="SALE",B505="WRITEOFF"),Transactions!E505,0),0)</f>
        <v/>
      </c>
      <c r="J505">
        <f>SUMIFS($F$1:F504,$A$1:A504,A505)</f>
        <v/>
      </c>
      <c r="K505">
        <f>SUMIFS($I$1:I504,$A$1:A504,A505)</f>
        <v/>
      </c>
      <c r="L505">
        <f>IFERROR(VLOOKUP(A505,Opening!$A:$C,3,0),0)</f>
        <v/>
      </c>
      <c r="M505">
        <f>IF(I505=0,0,MAX(0,MIN(INDEX(Month!H$2:H$13,MATCH($A505,Month!$A$2:$A$13,0))-K505,I505)))</f>
        <v/>
      </c>
      <c r="N505">
        <f>IF(I505=0,0,MAX(0,MIN(INDEX(Month!I$2:I$13,MATCH($A505,Month!$A$2:$A$13,0))-K505,I505)))</f>
        <v/>
      </c>
      <c r="O505">
        <f>IF(I505=0,0,MAX(0,MIN(INDEX(Month!J$2:J$13,MATCH($A505,Month!$A$2:$A$13,0))-K505,I505)))</f>
        <v/>
      </c>
      <c r="P505">
        <f>IF(I505=0,0,(MIN(MAX(K505,0),L505)*W505+SUMPRODUCT((Calc!$A$2:$A$1001=A505)*Calc!$G$2:$G$1001*(((K505-(L505+Calc!$J$2:$J$1001))&gt;0)*((K505-(L505+Calc!$J$2:$J$1001))&lt;Calc!$F$2:$F$1001)*(K505-(L505+Calc!$J$2:$J$1001))+((K505-(L505+Calc!$J$2:$J$1001))&gt;=Calc!$F$2:$F$1001)*Calc!$F$2:$F$1001))))</f>
        <v/>
      </c>
      <c r="Q505">
        <f>IF(I505=0,0,(MIN(MAX((K505+M505),0),L505)*W505+SUMPRODUCT((Calc!$A$2:$A$1001=A505)*Calc!$G$2:$G$1001*((((K505+M505)-(L505+Calc!$J$2:$J$1001))&gt;0)*(((K505+M505)-(L505+Calc!$J$2:$J$1001))&lt;Calc!$F$2:$F$1001)*((K505+M505)-(L505+Calc!$J$2:$J$1001))+(((K505+M505)-(L505+Calc!$J$2:$J$1001))&gt;=Calc!$F$2:$F$1001)*Calc!$F$2:$F$1001))))</f>
        <v/>
      </c>
      <c r="R505">
        <f>IF(I505=0,0,(MIN(MAX((K505+N505),0),L505)*W505+SUMPRODUCT((Calc!$A$2:$A$1001=A505)*Calc!$G$2:$G$1001*((((K505+N505)-(L505+Calc!$J$2:$J$1001))&gt;0)*(((K505+N505)-(L505+Calc!$J$2:$J$1001))&lt;Calc!$F$2:$F$1001)*((K505+N505)-(L505+Calc!$J$2:$J$1001))+(((K505+N505)-(L505+Calc!$J$2:$J$1001))&gt;=Calc!$F$2:$F$1001)*Calc!$F$2:$F$1001))))</f>
        <v/>
      </c>
      <c r="S505">
        <f>IF(I505=0,0,(MIN(MAX((K505+O505),0),L505)*W505+SUMPRODUCT((Calc!$A$2:$A$1001=A505)*Calc!$G$2:$G$1001*((((K505+O505)-(L505+Calc!$J$2:$J$1001))&gt;0)*(((K505+O505)-(L505+Calc!$J$2:$J$1001))&lt;Calc!$F$2:$F$1001)*((K505+O505)-(L505+Calc!$J$2:$J$1001))+(((K505+O505)-(L505+Calc!$J$2:$J$1001))&gt;=Calc!$F$2:$F$1001)*Calc!$F$2:$F$1001))))</f>
        <v/>
      </c>
      <c r="T505">
        <f>IF(AND(E505=1,B505="RETURN"),Transactions!E505*Transactions!G505,0)</f>
        <v/>
      </c>
      <c r="U505">
        <f>IF(AND(E505=1,B505="EXPENSE"),Transactions!J505,0)</f>
        <v/>
      </c>
      <c r="V505">
        <f>IF(AND(Transactions!A505&lt;&gt;"",E505=0),ROW(),"")</f>
        <v/>
      </c>
      <c r="W505">
        <f>IFERROR(VLOOKUP(A505,Opening!$A:$D,4,0),0)</f>
        <v/>
      </c>
    </row>
    <row r="506">
      <c r="A506">
        <f>IF(Transactions!D506="","",UPPER(TRIM(Transactions!D506)))</f>
        <v/>
      </c>
      <c r="B506">
        <f>IF(Transactions!C506="","",UPPER(TRIM(Transactions!C506)))</f>
        <v/>
      </c>
      <c r="C506">
        <f>IF(Transactions!B506="",0,YEAR(Transactions!B506)*100+MONTH(Transactions!B506))</f>
        <v/>
      </c>
      <c r="D506">
        <f>IF(Transactions!A506="",1,IF(COUNTIF(Transactions!$A$1:A505,Transactions!A506)&gt;0,1,0))</f>
        <v/>
      </c>
      <c r="E506">
        <f>IF(D506=1,0,IF(B506="RETURN",IF(COUNTIFS($A$1:A505,A506,$B$1:B505,"SALE",$E$1:E505,1)&gt;0,1,0),1))</f>
        <v/>
      </c>
      <c r="F506">
        <f>IF(E506=1,IF(B506="RECEIPT",Transactions!E506,IF(AND(B506="RETURN",LOWER(TRIM(Transactions!H506))="resellable"),Transactions!E506,0)),0)</f>
        <v/>
      </c>
      <c r="G506">
        <f>IF(F506&gt;0,IF(B506="RECEIPT",Transactions!F506,IF(_xlfn.MAXIFS($H$2:H506,$A$2:A506,A506)&gt;0,INDEX(Transactions!$F:$F,_xlfn.MAXIFS($H$2:H506,$A$2:A506,A506)),W506)),0)</f>
        <v/>
      </c>
      <c r="H506">
        <f>IF(AND(E506=1,B506="RECEIPT"),ROW(),0)</f>
        <v/>
      </c>
      <c r="I506">
        <f>IF(E506=1,IF(OR(B506="SALE",B506="WRITEOFF"),Transactions!E506,0),0)</f>
        <v/>
      </c>
      <c r="J506">
        <f>SUMIFS($F$1:F505,$A$1:A505,A506)</f>
        <v/>
      </c>
      <c r="K506">
        <f>SUMIFS($I$1:I505,$A$1:A505,A506)</f>
        <v/>
      </c>
      <c r="L506">
        <f>IFERROR(VLOOKUP(A506,Opening!$A:$C,3,0),0)</f>
        <v/>
      </c>
      <c r="M506">
        <f>IF(I506=0,0,MAX(0,MIN(INDEX(Month!H$2:H$13,MATCH($A506,Month!$A$2:$A$13,0))-K506,I506)))</f>
        <v/>
      </c>
      <c r="N506">
        <f>IF(I506=0,0,MAX(0,MIN(INDEX(Month!I$2:I$13,MATCH($A506,Month!$A$2:$A$13,0))-K506,I506)))</f>
        <v/>
      </c>
      <c r="O506">
        <f>IF(I506=0,0,MAX(0,MIN(INDEX(Month!J$2:J$13,MATCH($A506,Month!$A$2:$A$13,0))-K506,I506)))</f>
        <v/>
      </c>
      <c r="P506">
        <f>IF(I506=0,0,(MIN(MAX(K506,0),L506)*W506+SUMPRODUCT((Calc!$A$2:$A$1001=A506)*Calc!$G$2:$G$1001*(((K506-(L506+Calc!$J$2:$J$1001))&gt;0)*((K506-(L506+Calc!$J$2:$J$1001))&lt;Calc!$F$2:$F$1001)*(K506-(L506+Calc!$J$2:$J$1001))+((K506-(L506+Calc!$J$2:$J$1001))&gt;=Calc!$F$2:$F$1001)*Calc!$F$2:$F$1001))))</f>
        <v/>
      </c>
      <c r="Q506">
        <f>IF(I506=0,0,(MIN(MAX((K506+M506),0),L506)*W506+SUMPRODUCT((Calc!$A$2:$A$1001=A506)*Calc!$G$2:$G$1001*((((K506+M506)-(L506+Calc!$J$2:$J$1001))&gt;0)*(((K506+M506)-(L506+Calc!$J$2:$J$1001))&lt;Calc!$F$2:$F$1001)*((K506+M506)-(L506+Calc!$J$2:$J$1001))+(((K506+M506)-(L506+Calc!$J$2:$J$1001))&gt;=Calc!$F$2:$F$1001)*Calc!$F$2:$F$1001))))</f>
        <v/>
      </c>
      <c r="R506">
        <f>IF(I506=0,0,(MIN(MAX((K506+N506),0),L506)*W506+SUMPRODUCT((Calc!$A$2:$A$1001=A506)*Calc!$G$2:$G$1001*((((K506+N506)-(L506+Calc!$J$2:$J$1001))&gt;0)*(((K506+N506)-(L506+Calc!$J$2:$J$1001))&lt;Calc!$F$2:$F$1001)*((K506+N506)-(L506+Calc!$J$2:$J$1001))+(((K506+N506)-(L506+Calc!$J$2:$J$1001))&gt;=Calc!$F$2:$F$1001)*Calc!$F$2:$F$1001))))</f>
        <v/>
      </c>
      <c r="S506">
        <f>IF(I506=0,0,(MIN(MAX((K506+O506),0),L506)*W506+SUMPRODUCT((Calc!$A$2:$A$1001=A506)*Calc!$G$2:$G$1001*((((K506+O506)-(L506+Calc!$J$2:$J$1001))&gt;0)*(((K506+O506)-(L506+Calc!$J$2:$J$1001))&lt;Calc!$F$2:$F$1001)*((K506+O506)-(L506+Calc!$J$2:$J$1001))+(((K506+O506)-(L506+Calc!$J$2:$J$1001))&gt;=Calc!$F$2:$F$1001)*Calc!$F$2:$F$1001))))</f>
        <v/>
      </c>
      <c r="T506">
        <f>IF(AND(E506=1,B506="RETURN"),Transactions!E506*Transactions!G506,0)</f>
        <v/>
      </c>
      <c r="U506">
        <f>IF(AND(E506=1,B506="EXPENSE"),Transactions!J506,0)</f>
        <v/>
      </c>
      <c r="V506">
        <f>IF(AND(Transactions!A506&lt;&gt;"",E506=0),ROW(),"")</f>
        <v/>
      </c>
      <c r="W506">
        <f>IFERROR(VLOOKUP(A506,Opening!$A:$D,4,0),0)</f>
        <v/>
      </c>
    </row>
    <row r="507">
      <c r="A507">
        <f>IF(Transactions!D507="","",UPPER(TRIM(Transactions!D507)))</f>
        <v/>
      </c>
      <c r="B507">
        <f>IF(Transactions!C507="","",UPPER(TRIM(Transactions!C507)))</f>
        <v/>
      </c>
      <c r="C507">
        <f>IF(Transactions!B507="",0,YEAR(Transactions!B507)*100+MONTH(Transactions!B507))</f>
        <v/>
      </c>
      <c r="D507">
        <f>IF(Transactions!A507="",1,IF(COUNTIF(Transactions!$A$1:A506,Transactions!A507)&gt;0,1,0))</f>
        <v/>
      </c>
      <c r="E507">
        <f>IF(D507=1,0,IF(B507="RETURN",IF(COUNTIFS($A$1:A506,A507,$B$1:B506,"SALE",$E$1:E506,1)&gt;0,1,0),1))</f>
        <v/>
      </c>
      <c r="F507">
        <f>IF(E507=1,IF(B507="RECEIPT",Transactions!E507,IF(AND(B507="RETURN",LOWER(TRIM(Transactions!H507))="resellable"),Transactions!E507,0)),0)</f>
        <v/>
      </c>
      <c r="G507">
        <f>IF(F507&gt;0,IF(B507="RECEIPT",Transactions!F507,IF(_xlfn.MAXIFS($H$2:H507,$A$2:A507,A507)&gt;0,INDEX(Transactions!$F:$F,_xlfn.MAXIFS($H$2:H507,$A$2:A507,A507)),W507)),0)</f>
        <v/>
      </c>
      <c r="H507">
        <f>IF(AND(E507=1,B507="RECEIPT"),ROW(),0)</f>
        <v/>
      </c>
      <c r="I507">
        <f>IF(E507=1,IF(OR(B507="SALE",B507="WRITEOFF"),Transactions!E507,0),0)</f>
        <v/>
      </c>
      <c r="J507">
        <f>SUMIFS($F$1:F506,$A$1:A506,A507)</f>
        <v/>
      </c>
      <c r="K507">
        <f>SUMIFS($I$1:I506,$A$1:A506,A507)</f>
        <v/>
      </c>
      <c r="L507">
        <f>IFERROR(VLOOKUP(A507,Opening!$A:$C,3,0),0)</f>
        <v/>
      </c>
      <c r="M507">
        <f>IF(I507=0,0,MAX(0,MIN(INDEX(Month!H$2:H$13,MATCH($A507,Month!$A$2:$A$13,0))-K507,I507)))</f>
        <v/>
      </c>
      <c r="N507">
        <f>IF(I507=0,0,MAX(0,MIN(INDEX(Month!I$2:I$13,MATCH($A507,Month!$A$2:$A$13,0))-K507,I507)))</f>
        <v/>
      </c>
      <c r="O507">
        <f>IF(I507=0,0,MAX(0,MIN(INDEX(Month!J$2:J$13,MATCH($A507,Month!$A$2:$A$13,0))-K507,I507)))</f>
        <v/>
      </c>
      <c r="P507">
        <f>IF(I507=0,0,(MIN(MAX(K507,0),L507)*W507+SUMPRODUCT((Calc!$A$2:$A$1001=A507)*Calc!$G$2:$G$1001*(((K507-(L507+Calc!$J$2:$J$1001))&gt;0)*((K507-(L507+Calc!$J$2:$J$1001))&lt;Calc!$F$2:$F$1001)*(K507-(L507+Calc!$J$2:$J$1001))+((K507-(L507+Calc!$J$2:$J$1001))&gt;=Calc!$F$2:$F$1001)*Calc!$F$2:$F$1001))))</f>
        <v/>
      </c>
      <c r="Q507">
        <f>IF(I507=0,0,(MIN(MAX((K507+M507),0),L507)*W507+SUMPRODUCT((Calc!$A$2:$A$1001=A507)*Calc!$G$2:$G$1001*((((K507+M507)-(L507+Calc!$J$2:$J$1001))&gt;0)*(((K507+M507)-(L507+Calc!$J$2:$J$1001))&lt;Calc!$F$2:$F$1001)*((K507+M507)-(L507+Calc!$J$2:$J$1001))+(((K507+M507)-(L507+Calc!$J$2:$J$1001))&gt;=Calc!$F$2:$F$1001)*Calc!$F$2:$F$1001))))</f>
        <v/>
      </c>
      <c r="R507">
        <f>IF(I507=0,0,(MIN(MAX((K507+N507),0),L507)*W507+SUMPRODUCT((Calc!$A$2:$A$1001=A507)*Calc!$G$2:$G$1001*((((K507+N507)-(L507+Calc!$J$2:$J$1001))&gt;0)*(((K507+N507)-(L507+Calc!$J$2:$J$1001))&lt;Calc!$F$2:$F$1001)*((K507+N507)-(L507+Calc!$J$2:$J$1001))+(((K507+N507)-(L507+Calc!$J$2:$J$1001))&gt;=Calc!$F$2:$F$1001)*Calc!$F$2:$F$1001))))</f>
        <v/>
      </c>
      <c r="S507">
        <f>IF(I507=0,0,(MIN(MAX((K507+O507),0),L507)*W507+SUMPRODUCT((Calc!$A$2:$A$1001=A507)*Calc!$G$2:$G$1001*((((K507+O507)-(L507+Calc!$J$2:$J$1001))&gt;0)*(((K507+O507)-(L507+Calc!$J$2:$J$1001))&lt;Calc!$F$2:$F$1001)*((K507+O507)-(L507+Calc!$J$2:$J$1001))+(((K507+O507)-(L507+Calc!$J$2:$J$1001))&gt;=Calc!$F$2:$F$1001)*Calc!$F$2:$F$1001))))</f>
        <v/>
      </c>
      <c r="T507">
        <f>IF(AND(E507=1,B507="RETURN"),Transactions!E507*Transactions!G507,0)</f>
        <v/>
      </c>
      <c r="U507">
        <f>IF(AND(E507=1,B507="EXPENSE"),Transactions!J507,0)</f>
        <v/>
      </c>
      <c r="V507">
        <f>IF(AND(Transactions!A507&lt;&gt;"",E507=0),ROW(),"")</f>
        <v/>
      </c>
      <c r="W507">
        <f>IFERROR(VLOOKUP(A507,Opening!$A:$D,4,0),0)</f>
        <v/>
      </c>
    </row>
    <row r="508">
      <c r="A508">
        <f>IF(Transactions!D508="","",UPPER(TRIM(Transactions!D508)))</f>
        <v/>
      </c>
      <c r="B508">
        <f>IF(Transactions!C508="","",UPPER(TRIM(Transactions!C508)))</f>
        <v/>
      </c>
      <c r="C508">
        <f>IF(Transactions!B508="",0,YEAR(Transactions!B508)*100+MONTH(Transactions!B508))</f>
        <v/>
      </c>
      <c r="D508">
        <f>IF(Transactions!A508="",1,IF(COUNTIF(Transactions!$A$1:A507,Transactions!A508)&gt;0,1,0))</f>
        <v/>
      </c>
      <c r="E508">
        <f>IF(D508=1,0,IF(B508="RETURN",IF(COUNTIFS($A$1:A507,A508,$B$1:B507,"SALE",$E$1:E507,1)&gt;0,1,0),1))</f>
        <v/>
      </c>
      <c r="F508">
        <f>IF(E508=1,IF(B508="RECEIPT",Transactions!E508,IF(AND(B508="RETURN",LOWER(TRIM(Transactions!H508))="resellable"),Transactions!E508,0)),0)</f>
        <v/>
      </c>
      <c r="G508">
        <f>IF(F508&gt;0,IF(B508="RECEIPT",Transactions!F508,IF(_xlfn.MAXIFS($H$2:H508,$A$2:A508,A508)&gt;0,INDEX(Transactions!$F:$F,_xlfn.MAXIFS($H$2:H508,$A$2:A508,A508)),W508)),0)</f>
        <v/>
      </c>
      <c r="H508">
        <f>IF(AND(E508=1,B508="RECEIPT"),ROW(),0)</f>
        <v/>
      </c>
      <c r="I508">
        <f>IF(E508=1,IF(OR(B508="SALE",B508="WRITEOFF"),Transactions!E508,0),0)</f>
        <v/>
      </c>
      <c r="J508">
        <f>SUMIFS($F$1:F507,$A$1:A507,A508)</f>
        <v/>
      </c>
      <c r="K508">
        <f>SUMIFS($I$1:I507,$A$1:A507,A508)</f>
        <v/>
      </c>
      <c r="L508">
        <f>IFERROR(VLOOKUP(A508,Opening!$A:$C,3,0),0)</f>
        <v/>
      </c>
      <c r="M508">
        <f>IF(I508=0,0,MAX(0,MIN(INDEX(Month!H$2:H$13,MATCH($A508,Month!$A$2:$A$13,0))-K508,I508)))</f>
        <v/>
      </c>
      <c r="N508">
        <f>IF(I508=0,0,MAX(0,MIN(INDEX(Month!I$2:I$13,MATCH($A508,Month!$A$2:$A$13,0))-K508,I508)))</f>
        <v/>
      </c>
      <c r="O508">
        <f>IF(I508=0,0,MAX(0,MIN(INDEX(Month!J$2:J$13,MATCH($A508,Month!$A$2:$A$13,0))-K508,I508)))</f>
        <v/>
      </c>
      <c r="P508">
        <f>IF(I508=0,0,(MIN(MAX(K508,0),L508)*W508+SUMPRODUCT((Calc!$A$2:$A$1001=A508)*Calc!$G$2:$G$1001*(((K508-(L508+Calc!$J$2:$J$1001))&gt;0)*((K508-(L508+Calc!$J$2:$J$1001))&lt;Calc!$F$2:$F$1001)*(K508-(L508+Calc!$J$2:$J$1001))+((K508-(L508+Calc!$J$2:$J$1001))&gt;=Calc!$F$2:$F$1001)*Calc!$F$2:$F$1001))))</f>
        <v/>
      </c>
      <c r="Q508">
        <f>IF(I508=0,0,(MIN(MAX((K508+M508),0),L508)*W508+SUMPRODUCT((Calc!$A$2:$A$1001=A508)*Calc!$G$2:$G$1001*((((K508+M508)-(L508+Calc!$J$2:$J$1001))&gt;0)*(((K508+M508)-(L508+Calc!$J$2:$J$1001))&lt;Calc!$F$2:$F$1001)*((K508+M508)-(L508+Calc!$J$2:$J$1001))+(((K508+M508)-(L508+Calc!$J$2:$J$1001))&gt;=Calc!$F$2:$F$1001)*Calc!$F$2:$F$1001))))</f>
        <v/>
      </c>
      <c r="R508">
        <f>IF(I508=0,0,(MIN(MAX((K508+N508),0),L508)*W508+SUMPRODUCT((Calc!$A$2:$A$1001=A508)*Calc!$G$2:$G$1001*((((K508+N508)-(L508+Calc!$J$2:$J$1001))&gt;0)*(((K508+N508)-(L508+Calc!$J$2:$J$1001))&lt;Calc!$F$2:$F$1001)*((K508+N508)-(L508+Calc!$J$2:$J$1001))+(((K508+N508)-(L508+Calc!$J$2:$J$1001))&gt;=Calc!$F$2:$F$1001)*Calc!$F$2:$F$1001))))</f>
        <v/>
      </c>
      <c r="S508">
        <f>IF(I508=0,0,(MIN(MAX((K508+O508),0),L508)*W508+SUMPRODUCT((Calc!$A$2:$A$1001=A508)*Calc!$G$2:$G$1001*((((K508+O508)-(L508+Calc!$J$2:$J$1001))&gt;0)*(((K508+O508)-(L508+Calc!$J$2:$J$1001))&lt;Calc!$F$2:$F$1001)*((K508+O508)-(L508+Calc!$J$2:$J$1001))+(((K508+O508)-(L508+Calc!$J$2:$J$1001))&gt;=Calc!$F$2:$F$1001)*Calc!$F$2:$F$1001))))</f>
        <v/>
      </c>
      <c r="T508">
        <f>IF(AND(E508=1,B508="RETURN"),Transactions!E508*Transactions!G508,0)</f>
        <v/>
      </c>
      <c r="U508">
        <f>IF(AND(E508=1,B508="EXPENSE"),Transactions!J508,0)</f>
        <v/>
      </c>
      <c r="V508">
        <f>IF(AND(Transactions!A508&lt;&gt;"",E508=0),ROW(),"")</f>
        <v/>
      </c>
      <c r="W508">
        <f>IFERROR(VLOOKUP(A508,Opening!$A:$D,4,0),0)</f>
        <v/>
      </c>
    </row>
    <row r="509">
      <c r="A509">
        <f>IF(Transactions!D509="","",UPPER(TRIM(Transactions!D509)))</f>
        <v/>
      </c>
      <c r="B509">
        <f>IF(Transactions!C509="","",UPPER(TRIM(Transactions!C509)))</f>
        <v/>
      </c>
      <c r="C509">
        <f>IF(Transactions!B509="",0,YEAR(Transactions!B509)*100+MONTH(Transactions!B509))</f>
        <v/>
      </c>
      <c r="D509">
        <f>IF(Transactions!A509="",1,IF(COUNTIF(Transactions!$A$1:A508,Transactions!A509)&gt;0,1,0))</f>
        <v/>
      </c>
      <c r="E509">
        <f>IF(D509=1,0,IF(B509="RETURN",IF(COUNTIFS($A$1:A508,A509,$B$1:B508,"SALE",$E$1:E508,1)&gt;0,1,0),1))</f>
        <v/>
      </c>
      <c r="F509">
        <f>IF(E509=1,IF(B509="RECEIPT",Transactions!E509,IF(AND(B509="RETURN",LOWER(TRIM(Transactions!H509))="resellable"),Transactions!E509,0)),0)</f>
        <v/>
      </c>
      <c r="G509">
        <f>IF(F509&gt;0,IF(B509="RECEIPT",Transactions!F509,IF(_xlfn.MAXIFS($H$2:H509,$A$2:A509,A509)&gt;0,INDEX(Transactions!$F:$F,_xlfn.MAXIFS($H$2:H509,$A$2:A509,A509)),W509)),0)</f>
        <v/>
      </c>
      <c r="H509">
        <f>IF(AND(E509=1,B509="RECEIPT"),ROW(),0)</f>
        <v/>
      </c>
      <c r="I509">
        <f>IF(E509=1,IF(OR(B509="SALE",B509="WRITEOFF"),Transactions!E509,0),0)</f>
        <v/>
      </c>
      <c r="J509">
        <f>SUMIFS($F$1:F508,$A$1:A508,A509)</f>
        <v/>
      </c>
      <c r="K509">
        <f>SUMIFS($I$1:I508,$A$1:A508,A509)</f>
        <v/>
      </c>
      <c r="L509">
        <f>IFERROR(VLOOKUP(A509,Opening!$A:$C,3,0),0)</f>
        <v/>
      </c>
      <c r="M509">
        <f>IF(I509=0,0,MAX(0,MIN(INDEX(Month!H$2:H$13,MATCH($A509,Month!$A$2:$A$13,0))-K509,I509)))</f>
        <v/>
      </c>
      <c r="N509">
        <f>IF(I509=0,0,MAX(0,MIN(INDEX(Month!I$2:I$13,MATCH($A509,Month!$A$2:$A$13,0))-K509,I509)))</f>
        <v/>
      </c>
      <c r="O509">
        <f>IF(I509=0,0,MAX(0,MIN(INDEX(Month!J$2:J$13,MATCH($A509,Month!$A$2:$A$13,0))-K509,I509)))</f>
        <v/>
      </c>
      <c r="P509">
        <f>IF(I509=0,0,(MIN(MAX(K509,0),L509)*W509+SUMPRODUCT((Calc!$A$2:$A$1001=A509)*Calc!$G$2:$G$1001*(((K509-(L509+Calc!$J$2:$J$1001))&gt;0)*((K509-(L509+Calc!$J$2:$J$1001))&lt;Calc!$F$2:$F$1001)*(K509-(L509+Calc!$J$2:$J$1001))+((K509-(L509+Calc!$J$2:$J$1001))&gt;=Calc!$F$2:$F$1001)*Calc!$F$2:$F$1001))))</f>
        <v/>
      </c>
      <c r="Q509">
        <f>IF(I509=0,0,(MIN(MAX((K509+M509),0),L509)*W509+SUMPRODUCT((Calc!$A$2:$A$1001=A509)*Calc!$G$2:$G$1001*((((K509+M509)-(L509+Calc!$J$2:$J$1001))&gt;0)*(((K509+M509)-(L509+Calc!$J$2:$J$1001))&lt;Calc!$F$2:$F$1001)*((K509+M509)-(L509+Calc!$J$2:$J$1001))+(((K509+M509)-(L509+Calc!$J$2:$J$1001))&gt;=Calc!$F$2:$F$1001)*Calc!$F$2:$F$1001))))</f>
        <v/>
      </c>
      <c r="R509">
        <f>IF(I509=0,0,(MIN(MAX((K509+N509),0),L509)*W509+SUMPRODUCT((Calc!$A$2:$A$1001=A509)*Calc!$G$2:$G$1001*((((K509+N509)-(L509+Calc!$J$2:$J$1001))&gt;0)*(((K509+N509)-(L509+Calc!$J$2:$J$1001))&lt;Calc!$F$2:$F$1001)*((K509+N509)-(L509+Calc!$J$2:$J$1001))+(((K509+N509)-(L509+Calc!$J$2:$J$1001))&gt;=Calc!$F$2:$F$1001)*Calc!$F$2:$F$1001))))</f>
        <v/>
      </c>
      <c r="S509">
        <f>IF(I509=0,0,(MIN(MAX((K509+O509),0),L509)*W509+SUMPRODUCT((Calc!$A$2:$A$1001=A509)*Calc!$G$2:$G$1001*((((K509+O509)-(L509+Calc!$J$2:$J$1001))&gt;0)*(((K509+O509)-(L509+Calc!$J$2:$J$1001))&lt;Calc!$F$2:$F$1001)*((K509+O509)-(L509+Calc!$J$2:$J$1001))+(((K509+O509)-(L509+Calc!$J$2:$J$1001))&gt;=Calc!$F$2:$F$1001)*Calc!$F$2:$F$1001))))</f>
        <v/>
      </c>
      <c r="T509">
        <f>IF(AND(E509=1,B509="RETURN"),Transactions!E509*Transactions!G509,0)</f>
        <v/>
      </c>
      <c r="U509">
        <f>IF(AND(E509=1,B509="EXPENSE"),Transactions!J509,0)</f>
        <v/>
      </c>
      <c r="V509">
        <f>IF(AND(Transactions!A509&lt;&gt;"",E509=0),ROW(),"")</f>
        <v/>
      </c>
      <c r="W509">
        <f>IFERROR(VLOOKUP(A509,Opening!$A:$D,4,0),0)</f>
        <v/>
      </c>
    </row>
    <row r="510">
      <c r="A510">
        <f>IF(Transactions!D510="","",UPPER(TRIM(Transactions!D510)))</f>
        <v/>
      </c>
      <c r="B510">
        <f>IF(Transactions!C510="","",UPPER(TRIM(Transactions!C510)))</f>
        <v/>
      </c>
      <c r="C510">
        <f>IF(Transactions!B510="",0,YEAR(Transactions!B510)*100+MONTH(Transactions!B510))</f>
        <v/>
      </c>
      <c r="D510">
        <f>IF(Transactions!A510="",1,IF(COUNTIF(Transactions!$A$1:A509,Transactions!A510)&gt;0,1,0))</f>
        <v/>
      </c>
      <c r="E510">
        <f>IF(D510=1,0,IF(B510="RETURN",IF(COUNTIFS($A$1:A509,A510,$B$1:B509,"SALE",$E$1:E509,1)&gt;0,1,0),1))</f>
        <v/>
      </c>
      <c r="F510">
        <f>IF(E510=1,IF(B510="RECEIPT",Transactions!E510,IF(AND(B510="RETURN",LOWER(TRIM(Transactions!H510))="resellable"),Transactions!E510,0)),0)</f>
        <v/>
      </c>
      <c r="G510">
        <f>IF(F510&gt;0,IF(B510="RECEIPT",Transactions!F510,IF(_xlfn.MAXIFS($H$2:H510,$A$2:A510,A510)&gt;0,INDEX(Transactions!$F:$F,_xlfn.MAXIFS($H$2:H510,$A$2:A510,A510)),W510)),0)</f>
        <v/>
      </c>
      <c r="H510">
        <f>IF(AND(E510=1,B510="RECEIPT"),ROW(),0)</f>
        <v/>
      </c>
      <c r="I510">
        <f>IF(E510=1,IF(OR(B510="SALE",B510="WRITEOFF"),Transactions!E510,0),0)</f>
        <v/>
      </c>
      <c r="J510">
        <f>SUMIFS($F$1:F509,$A$1:A509,A510)</f>
        <v/>
      </c>
      <c r="K510">
        <f>SUMIFS($I$1:I509,$A$1:A509,A510)</f>
        <v/>
      </c>
      <c r="L510">
        <f>IFERROR(VLOOKUP(A510,Opening!$A:$C,3,0),0)</f>
        <v/>
      </c>
      <c r="M510">
        <f>IF(I510=0,0,MAX(0,MIN(INDEX(Month!H$2:H$13,MATCH($A510,Month!$A$2:$A$13,0))-K510,I510)))</f>
        <v/>
      </c>
      <c r="N510">
        <f>IF(I510=0,0,MAX(0,MIN(INDEX(Month!I$2:I$13,MATCH($A510,Month!$A$2:$A$13,0))-K510,I510)))</f>
        <v/>
      </c>
      <c r="O510">
        <f>IF(I510=0,0,MAX(0,MIN(INDEX(Month!J$2:J$13,MATCH($A510,Month!$A$2:$A$13,0))-K510,I510)))</f>
        <v/>
      </c>
      <c r="P510">
        <f>IF(I510=0,0,(MIN(MAX(K510,0),L510)*W510+SUMPRODUCT((Calc!$A$2:$A$1001=A510)*Calc!$G$2:$G$1001*(((K510-(L510+Calc!$J$2:$J$1001))&gt;0)*((K510-(L510+Calc!$J$2:$J$1001))&lt;Calc!$F$2:$F$1001)*(K510-(L510+Calc!$J$2:$J$1001))+((K510-(L510+Calc!$J$2:$J$1001))&gt;=Calc!$F$2:$F$1001)*Calc!$F$2:$F$1001))))</f>
        <v/>
      </c>
      <c r="Q510">
        <f>IF(I510=0,0,(MIN(MAX((K510+M510),0),L510)*W510+SUMPRODUCT((Calc!$A$2:$A$1001=A510)*Calc!$G$2:$G$1001*((((K510+M510)-(L510+Calc!$J$2:$J$1001))&gt;0)*(((K510+M510)-(L510+Calc!$J$2:$J$1001))&lt;Calc!$F$2:$F$1001)*((K510+M510)-(L510+Calc!$J$2:$J$1001))+(((K510+M510)-(L510+Calc!$J$2:$J$1001))&gt;=Calc!$F$2:$F$1001)*Calc!$F$2:$F$1001))))</f>
        <v/>
      </c>
      <c r="R510">
        <f>IF(I510=0,0,(MIN(MAX((K510+N510),0),L510)*W510+SUMPRODUCT((Calc!$A$2:$A$1001=A510)*Calc!$G$2:$G$1001*((((K510+N510)-(L510+Calc!$J$2:$J$1001))&gt;0)*(((K510+N510)-(L510+Calc!$J$2:$J$1001))&lt;Calc!$F$2:$F$1001)*((K510+N510)-(L510+Calc!$J$2:$J$1001))+(((K510+N510)-(L510+Calc!$J$2:$J$1001))&gt;=Calc!$F$2:$F$1001)*Calc!$F$2:$F$1001))))</f>
        <v/>
      </c>
      <c r="S510">
        <f>IF(I510=0,0,(MIN(MAX((K510+O510),0),L510)*W510+SUMPRODUCT((Calc!$A$2:$A$1001=A510)*Calc!$G$2:$G$1001*((((K510+O510)-(L510+Calc!$J$2:$J$1001))&gt;0)*(((K510+O510)-(L510+Calc!$J$2:$J$1001))&lt;Calc!$F$2:$F$1001)*((K510+O510)-(L510+Calc!$J$2:$J$1001))+(((K510+O510)-(L510+Calc!$J$2:$J$1001))&gt;=Calc!$F$2:$F$1001)*Calc!$F$2:$F$1001))))</f>
        <v/>
      </c>
      <c r="T510">
        <f>IF(AND(E510=1,B510="RETURN"),Transactions!E510*Transactions!G510,0)</f>
        <v/>
      </c>
      <c r="U510">
        <f>IF(AND(E510=1,B510="EXPENSE"),Transactions!J510,0)</f>
        <v/>
      </c>
      <c r="V510">
        <f>IF(AND(Transactions!A510&lt;&gt;"",E510=0),ROW(),"")</f>
        <v/>
      </c>
      <c r="W510">
        <f>IFERROR(VLOOKUP(A510,Opening!$A:$D,4,0),0)</f>
        <v/>
      </c>
    </row>
    <row r="511">
      <c r="A511">
        <f>IF(Transactions!D511="","",UPPER(TRIM(Transactions!D511)))</f>
        <v/>
      </c>
      <c r="B511">
        <f>IF(Transactions!C511="","",UPPER(TRIM(Transactions!C511)))</f>
        <v/>
      </c>
      <c r="C511">
        <f>IF(Transactions!B511="",0,YEAR(Transactions!B511)*100+MONTH(Transactions!B511))</f>
        <v/>
      </c>
      <c r="D511">
        <f>IF(Transactions!A511="",1,IF(COUNTIF(Transactions!$A$1:A510,Transactions!A511)&gt;0,1,0))</f>
        <v/>
      </c>
      <c r="E511">
        <f>IF(D511=1,0,IF(B511="RETURN",IF(COUNTIFS($A$1:A510,A511,$B$1:B510,"SALE",$E$1:E510,1)&gt;0,1,0),1))</f>
        <v/>
      </c>
      <c r="F511">
        <f>IF(E511=1,IF(B511="RECEIPT",Transactions!E511,IF(AND(B511="RETURN",LOWER(TRIM(Transactions!H511))="resellable"),Transactions!E511,0)),0)</f>
        <v/>
      </c>
      <c r="G511">
        <f>IF(F511&gt;0,IF(B511="RECEIPT",Transactions!F511,IF(_xlfn.MAXIFS($H$2:H511,$A$2:A511,A511)&gt;0,INDEX(Transactions!$F:$F,_xlfn.MAXIFS($H$2:H511,$A$2:A511,A511)),W511)),0)</f>
        <v/>
      </c>
      <c r="H511">
        <f>IF(AND(E511=1,B511="RECEIPT"),ROW(),0)</f>
        <v/>
      </c>
      <c r="I511">
        <f>IF(E511=1,IF(OR(B511="SALE",B511="WRITEOFF"),Transactions!E511,0),0)</f>
        <v/>
      </c>
      <c r="J511">
        <f>SUMIFS($F$1:F510,$A$1:A510,A511)</f>
        <v/>
      </c>
      <c r="K511">
        <f>SUMIFS($I$1:I510,$A$1:A510,A511)</f>
        <v/>
      </c>
      <c r="L511">
        <f>IFERROR(VLOOKUP(A511,Opening!$A:$C,3,0),0)</f>
        <v/>
      </c>
      <c r="M511">
        <f>IF(I511=0,0,MAX(0,MIN(INDEX(Month!H$2:H$13,MATCH($A511,Month!$A$2:$A$13,0))-K511,I511)))</f>
        <v/>
      </c>
      <c r="N511">
        <f>IF(I511=0,0,MAX(0,MIN(INDEX(Month!I$2:I$13,MATCH($A511,Month!$A$2:$A$13,0))-K511,I511)))</f>
        <v/>
      </c>
      <c r="O511">
        <f>IF(I511=0,0,MAX(0,MIN(INDEX(Month!J$2:J$13,MATCH($A511,Month!$A$2:$A$13,0))-K511,I511)))</f>
        <v/>
      </c>
      <c r="P511">
        <f>IF(I511=0,0,(MIN(MAX(K511,0),L511)*W511+SUMPRODUCT((Calc!$A$2:$A$1001=A511)*Calc!$G$2:$G$1001*(((K511-(L511+Calc!$J$2:$J$1001))&gt;0)*((K511-(L511+Calc!$J$2:$J$1001))&lt;Calc!$F$2:$F$1001)*(K511-(L511+Calc!$J$2:$J$1001))+((K511-(L511+Calc!$J$2:$J$1001))&gt;=Calc!$F$2:$F$1001)*Calc!$F$2:$F$1001))))</f>
        <v/>
      </c>
      <c r="Q511">
        <f>IF(I511=0,0,(MIN(MAX((K511+M511),0),L511)*W511+SUMPRODUCT((Calc!$A$2:$A$1001=A511)*Calc!$G$2:$G$1001*((((K511+M511)-(L511+Calc!$J$2:$J$1001))&gt;0)*(((K511+M511)-(L511+Calc!$J$2:$J$1001))&lt;Calc!$F$2:$F$1001)*((K511+M511)-(L511+Calc!$J$2:$J$1001))+(((K511+M511)-(L511+Calc!$J$2:$J$1001))&gt;=Calc!$F$2:$F$1001)*Calc!$F$2:$F$1001))))</f>
        <v/>
      </c>
      <c r="R511">
        <f>IF(I511=0,0,(MIN(MAX((K511+N511),0),L511)*W511+SUMPRODUCT((Calc!$A$2:$A$1001=A511)*Calc!$G$2:$G$1001*((((K511+N511)-(L511+Calc!$J$2:$J$1001))&gt;0)*(((K511+N511)-(L511+Calc!$J$2:$J$1001))&lt;Calc!$F$2:$F$1001)*((K511+N511)-(L511+Calc!$J$2:$J$1001))+(((K511+N511)-(L511+Calc!$J$2:$J$1001))&gt;=Calc!$F$2:$F$1001)*Calc!$F$2:$F$1001))))</f>
        <v/>
      </c>
      <c r="S511">
        <f>IF(I511=0,0,(MIN(MAX((K511+O511),0),L511)*W511+SUMPRODUCT((Calc!$A$2:$A$1001=A511)*Calc!$G$2:$G$1001*((((K511+O511)-(L511+Calc!$J$2:$J$1001))&gt;0)*(((K511+O511)-(L511+Calc!$J$2:$J$1001))&lt;Calc!$F$2:$F$1001)*((K511+O511)-(L511+Calc!$J$2:$J$1001))+(((K511+O511)-(L511+Calc!$J$2:$J$1001))&gt;=Calc!$F$2:$F$1001)*Calc!$F$2:$F$1001))))</f>
        <v/>
      </c>
      <c r="T511">
        <f>IF(AND(E511=1,B511="RETURN"),Transactions!E511*Transactions!G511,0)</f>
        <v/>
      </c>
      <c r="U511">
        <f>IF(AND(E511=1,B511="EXPENSE"),Transactions!J511,0)</f>
        <v/>
      </c>
      <c r="V511">
        <f>IF(AND(Transactions!A511&lt;&gt;"",E511=0),ROW(),"")</f>
        <v/>
      </c>
      <c r="W511">
        <f>IFERROR(VLOOKUP(A511,Opening!$A:$D,4,0),0)</f>
        <v/>
      </c>
    </row>
    <row r="512">
      <c r="A512">
        <f>IF(Transactions!D512="","",UPPER(TRIM(Transactions!D512)))</f>
        <v/>
      </c>
      <c r="B512">
        <f>IF(Transactions!C512="","",UPPER(TRIM(Transactions!C512)))</f>
        <v/>
      </c>
      <c r="C512">
        <f>IF(Transactions!B512="",0,YEAR(Transactions!B512)*100+MONTH(Transactions!B512))</f>
        <v/>
      </c>
      <c r="D512">
        <f>IF(Transactions!A512="",1,IF(COUNTIF(Transactions!$A$1:A511,Transactions!A512)&gt;0,1,0))</f>
        <v/>
      </c>
      <c r="E512">
        <f>IF(D512=1,0,IF(B512="RETURN",IF(COUNTIFS($A$1:A511,A512,$B$1:B511,"SALE",$E$1:E511,1)&gt;0,1,0),1))</f>
        <v/>
      </c>
      <c r="F512">
        <f>IF(E512=1,IF(B512="RECEIPT",Transactions!E512,IF(AND(B512="RETURN",LOWER(TRIM(Transactions!H512))="resellable"),Transactions!E512,0)),0)</f>
        <v/>
      </c>
      <c r="G512">
        <f>IF(F512&gt;0,IF(B512="RECEIPT",Transactions!F512,IF(_xlfn.MAXIFS($H$2:H512,$A$2:A512,A512)&gt;0,INDEX(Transactions!$F:$F,_xlfn.MAXIFS($H$2:H512,$A$2:A512,A512)),W512)),0)</f>
        <v/>
      </c>
      <c r="H512">
        <f>IF(AND(E512=1,B512="RECEIPT"),ROW(),0)</f>
        <v/>
      </c>
      <c r="I512">
        <f>IF(E512=1,IF(OR(B512="SALE",B512="WRITEOFF"),Transactions!E512,0),0)</f>
        <v/>
      </c>
      <c r="J512">
        <f>SUMIFS($F$1:F511,$A$1:A511,A512)</f>
        <v/>
      </c>
      <c r="K512">
        <f>SUMIFS($I$1:I511,$A$1:A511,A512)</f>
        <v/>
      </c>
      <c r="L512">
        <f>IFERROR(VLOOKUP(A512,Opening!$A:$C,3,0),0)</f>
        <v/>
      </c>
      <c r="M512">
        <f>IF(I512=0,0,MAX(0,MIN(INDEX(Month!H$2:H$13,MATCH($A512,Month!$A$2:$A$13,0))-K512,I512)))</f>
        <v/>
      </c>
      <c r="N512">
        <f>IF(I512=0,0,MAX(0,MIN(INDEX(Month!I$2:I$13,MATCH($A512,Month!$A$2:$A$13,0))-K512,I512)))</f>
        <v/>
      </c>
      <c r="O512">
        <f>IF(I512=0,0,MAX(0,MIN(INDEX(Month!J$2:J$13,MATCH($A512,Month!$A$2:$A$13,0))-K512,I512)))</f>
        <v/>
      </c>
      <c r="P512">
        <f>IF(I512=0,0,(MIN(MAX(K512,0),L512)*W512+SUMPRODUCT((Calc!$A$2:$A$1001=A512)*Calc!$G$2:$G$1001*(((K512-(L512+Calc!$J$2:$J$1001))&gt;0)*((K512-(L512+Calc!$J$2:$J$1001))&lt;Calc!$F$2:$F$1001)*(K512-(L512+Calc!$J$2:$J$1001))+((K512-(L512+Calc!$J$2:$J$1001))&gt;=Calc!$F$2:$F$1001)*Calc!$F$2:$F$1001))))</f>
        <v/>
      </c>
      <c r="Q512">
        <f>IF(I512=0,0,(MIN(MAX((K512+M512),0),L512)*W512+SUMPRODUCT((Calc!$A$2:$A$1001=A512)*Calc!$G$2:$G$1001*((((K512+M512)-(L512+Calc!$J$2:$J$1001))&gt;0)*(((K512+M512)-(L512+Calc!$J$2:$J$1001))&lt;Calc!$F$2:$F$1001)*((K512+M512)-(L512+Calc!$J$2:$J$1001))+(((K512+M512)-(L512+Calc!$J$2:$J$1001))&gt;=Calc!$F$2:$F$1001)*Calc!$F$2:$F$1001))))</f>
        <v/>
      </c>
      <c r="R512">
        <f>IF(I512=0,0,(MIN(MAX((K512+N512),0),L512)*W512+SUMPRODUCT((Calc!$A$2:$A$1001=A512)*Calc!$G$2:$G$1001*((((K512+N512)-(L512+Calc!$J$2:$J$1001))&gt;0)*(((K512+N512)-(L512+Calc!$J$2:$J$1001))&lt;Calc!$F$2:$F$1001)*((K512+N512)-(L512+Calc!$J$2:$J$1001))+(((K512+N512)-(L512+Calc!$J$2:$J$1001))&gt;=Calc!$F$2:$F$1001)*Calc!$F$2:$F$1001))))</f>
        <v/>
      </c>
      <c r="S512">
        <f>IF(I512=0,0,(MIN(MAX((K512+O512),0),L512)*W512+SUMPRODUCT((Calc!$A$2:$A$1001=A512)*Calc!$G$2:$G$1001*((((K512+O512)-(L512+Calc!$J$2:$J$1001))&gt;0)*(((K512+O512)-(L512+Calc!$J$2:$J$1001))&lt;Calc!$F$2:$F$1001)*((K512+O512)-(L512+Calc!$J$2:$J$1001))+(((K512+O512)-(L512+Calc!$J$2:$J$1001))&gt;=Calc!$F$2:$F$1001)*Calc!$F$2:$F$1001))))</f>
        <v/>
      </c>
      <c r="T512">
        <f>IF(AND(E512=1,B512="RETURN"),Transactions!E512*Transactions!G512,0)</f>
        <v/>
      </c>
      <c r="U512">
        <f>IF(AND(E512=1,B512="EXPENSE"),Transactions!J512,0)</f>
        <v/>
      </c>
      <c r="V512">
        <f>IF(AND(Transactions!A512&lt;&gt;"",E512=0),ROW(),"")</f>
        <v/>
      </c>
      <c r="W512">
        <f>IFERROR(VLOOKUP(A512,Opening!$A:$D,4,0),0)</f>
        <v/>
      </c>
    </row>
    <row r="513">
      <c r="A513">
        <f>IF(Transactions!D513="","",UPPER(TRIM(Transactions!D513)))</f>
        <v/>
      </c>
      <c r="B513">
        <f>IF(Transactions!C513="","",UPPER(TRIM(Transactions!C513)))</f>
        <v/>
      </c>
      <c r="C513">
        <f>IF(Transactions!B513="",0,YEAR(Transactions!B513)*100+MONTH(Transactions!B513))</f>
        <v/>
      </c>
      <c r="D513">
        <f>IF(Transactions!A513="",1,IF(COUNTIF(Transactions!$A$1:A512,Transactions!A513)&gt;0,1,0))</f>
        <v/>
      </c>
      <c r="E513">
        <f>IF(D513=1,0,IF(B513="RETURN",IF(COUNTIFS($A$1:A512,A513,$B$1:B512,"SALE",$E$1:E512,1)&gt;0,1,0),1))</f>
        <v/>
      </c>
      <c r="F513">
        <f>IF(E513=1,IF(B513="RECEIPT",Transactions!E513,IF(AND(B513="RETURN",LOWER(TRIM(Transactions!H513))="resellable"),Transactions!E513,0)),0)</f>
        <v/>
      </c>
      <c r="G513">
        <f>IF(F513&gt;0,IF(B513="RECEIPT",Transactions!F513,IF(_xlfn.MAXIFS($H$2:H513,$A$2:A513,A513)&gt;0,INDEX(Transactions!$F:$F,_xlfn.MAXIFS($H$2:H513,$A$2:A513,A513)),W513)),0)</f>
        <v/>
      </c>
      <c r="H513">
        <f>IF(AND(E513=1,B513="RECEIPT"),ROW(),0)</f>
        <v/>
      </c>
      <c r="I513">
        <f>IF(E513=1,IF(OR(B513="SALE",B513="WRITEOFF"),Transactions!E513,0),0)</f>
        <v/>
      </c>
      <c r="J513">
        <f>SUMIFS($F$1:F512,$A$1:A512,A513)</f>
        <v/>
      </c>
      <c r="K513">
        <f>SUMIFS($I$1:I512,$A$1:A512,A513)</f>
        <v/>
      </c>
      <c r="L513">
        <f>IFERROR(VLOOKUP(A513,Opening!$A:$C,3,0),0)</f>
        <v/>
      </c>
      <c r="M513">
        <f>IF(I513=0,0,MAX(0,MIN(INDEX(Month!H$2:H$13,MATCH($A513,Month!$A$2:$A$13,0))-K513,I513)))</f>
        <v/>
      </c>
      <c r="N513">
        <f>IF(I513=0,0,MAX(0,MIN(INDEX(Month!I$2:I$13,MATCH($A513,Month!$A$2:$A$13,0))-K513,I513)))</f>
        <v/>
      </c>
      <c r="O513">
        <f>IF(I513=0,0,MAX(0,MIN(INDEX(Month!J$2:J$13,MATCH($A513,Month!$A$2:$A$13,0))-K513,I513)))</f>
        <v/>
      </c>
      <c r="P513">
        <f>IF(I513=0,0,(MIN(MAX(K513,0),L513)*W513+SUMPRODUCT((Calc!$A$2:$A$1001=A513)*Calc!$G$2:$G$1001*(((K513-(L513+Calc!$J$2:$J$1001))&gt;0)*((K513-(L513+Calc!$J$2:$J$1001))&lt;Calc!$F$2:$F$1001)*(K513-(L513+Calc!$J$2:$J$1001))+((K513-(L513+Calc!$J$2:$J$1001))&gt;=Calc!$F$2:$F$1001)*Calc!$F$2:$F$1001))))</f>
        <v/>
      </c>
      <c r="Q513">
        <f>IF(I513=0,0,(MIN(MAX((K513+M513),0),L513)*W513+SUMPRODUCT((Calc!$A$2:$A$1001=A513)*Calc!$G$2:$G$1001*((((K513+M513)-(L513+Calc!$J$2:$J$1001))&gt;0)*(((K513+M513)-(L513+Calc!$J$2:$J$1001))&lt;Calc!$F$2:$F$1001)*((K513+M513)-(L513+Calc!$J$2:$J$1001))+(((K513+M513)-(L513+Calc!$J$2:$J$1001))&gt;=Calc!$F$2:$F$1001)*Calc!$F$2:$F$1001))))</f>
        <v/>
      </c>
      <c r="R513">
        <f>IF(I513=0,0,(MIN(MAX((K513+N513),0),L513)*W513+SUMPRODUCT((Calc!$A$2:$A$1001=A513)*Calc!$G$2:$G$1001*((((K513+N513)-(L513+Calc!$J$2:$J$1001))&gt;0)*(((K513+N513)-(L513+Calc!$J$2:$J$1001))&lt;Calc!$F$2:$F$1001)*((K513+N513)-(L513+Calc!$J$2:$J$1001))+(((K513+N513)-(L513+Calc!$J$2:$J$1001))&gt;=Calc!$F$2:$F$1001)*Calc!$F$2:$F$1001))))</f>
        <v/>
      </c>
      <c r="S513">
        <f>IF(I513=0,0,(MIN(MAX((K513+O513),0),L513)*W513+SUMPRODUCT((Calc!$A$2:$A$1001=A513)*Calc!$G$2:$G$1001*((((K513+O513)-(L513+Calc!$J$2:$J$1001))&gt;0)*(((K513+O513)-(L513+Calc!$J$2:$J$1001))&lt;Calc!$F$2:$F$1001)*((K513+O513)-(L513+Calc!$J$2:$J$1001))+(((K513+O513)-(L513+Calc!$J$2:$J$1001))&gt;=Calc!$F$2:$F$1001)*Calc!$F$2:$F$1001))))</f>
        <v/>
      </c>
      <c r="T513">
        <f>IF(AND(E513=1,B513="RETURN"),Transactions!E513*Transactions!G513,0)</f>
        <v/>
      </c>
      <c r="U513">
        <f>IF(AND(E513=1,B513="EXPENSE"),Transactions!J513,0)</f>
        <v/>
      </c>
      <c r="V513">
        <f>IF(AND(Transactions!A513&lt;&gt;"",E513=0),ROW(),"")</f>
        <v/>
      </c>
      <c r="W513">
        <f>IFERROR(VLOOKUP(A513,Opening!$A:$D,4,0),0)</f>
        <v/>
      </c>
    </row>
    <row r="514">
      <c r="A514">
        <f>IF(Transactions!D514="","",UPPER(TRIM(Transactions!D514)))</f>
        <v/>
      </c>
      <c r="B514">
        <f>IF(Transactions!C514="","",UPPER(TRIM(Transactions!C514)))</f>
        <v/>
      </c>
      <c r="C514">
        <f>IF(Transactions!B514="",0,YEAR(Transactions!B514)*100+MONTH(Transactions!B514))</f>
        <v/>
      </c>
      <c r="D514">
        <f>IF(Transactions!A514="",1,IF(COUNTIF(Transactions!$A$1:A513,Transactions!A514)&gt;0,1,0))</f>
        <v/>
      </c>
      <c r="E514">
        <f>IF(D514=1,0,IF(B514="RETURN",IF(COUNTIFS($A$1:A513,A514,$B$1:B513,"SALE",$E$1:E513,1)&gt;0,1,0),1))</f>
        <v/>
      </c>
      <c r="F514">
        <f>IF(E514=1,IF(B514="RECEIPT",Transactions!E514,IF(AND(B514="RETURN",LOWER(TRIM(Transactions!H514))="resellable"),Transactions!E514,0)),0)</f>
        <v/>
      </c>
      <c r="G514">
        <f>IF(F514&gt;0,IF(B514="RECEIPT",Transactions!F514,IF(_xlfn.MAXIFS($H$2:H514,$A$2:A514,A514)&gt;0,INDEX(Transactions!$F:$F,_xlfn.MAXIFS($H$2:H514,$A$2:A514,A514)),W514)),0)</f>
        <v/>
      </c>
      <c r="H514">
        <f>IF(AND(E514=1,B514="RECEIPT"),ROW(),0)</f>
        <v/>
      </c>
      <c r="I514">
        <f>IF(E514=1,IF(OR(B514="SALE",B514="WRITEOFF"),Transactions!E514,0),0)</f>
        <v/>
      </c>
      <c r="J514">
        <f>SUMIFS($F$1:F513,$A$1:A513,A514)</f>
        <v/>
      </c>
      <c r="K514">
        <f>SUMIFS($I$1:I513,$A$1:A513,A514)</f>
        <v/>
      </c>
      <c r="L514">
        <f>IFERROR(VLOOKUP(A514,Opening!$A:$C,3,0),0)</f>
        <v/>
      </c>
      <c r="M514">
        <f>IF(I514=0,0,MAX(0,MIN(INDEX(Month!H$2:H$13,MATCH($A514,Month!$A$2:$A$13,0))-K514,I514)))</f>
        <v/>
      </c>
      <c r="N514">
        <f>IF(I514=0,0,MAX(0,MIN(INDEX(Month!I$2:I$13,MATCH($A514,Month!$A$2:$A$13,0))-K514,I514)))</f>
        <v/>
      </c>
      <c r="O514">
        <f>IF(I514=0,0,MAX(0,MIN(INDEX(Month!J$2:J$13,MATCH($A514,Month!$A$2:$A$13,0))-K514,I514)))</f>
        <v/>
      </c>
      <c r="P514">
        <f>IF(I514=0,0,(MIN(MAX(K514,0),L514)*W514+SUMPRODUCT((Calc!$A$2:$A$1001=A514)*Calc!$G$2:$G$1001*(((K514-(L514+Calc!$J$2:$J$1001))&gt;0)*((K514-(L514+Calc!$J$2:$J$1001))&lt;Calc!$F$2:$F$1001)*(K514-(L514+Calc!$J$2:$J$1001))+((K514-(L514+Calc!$J$2:$J$1001))&gt;=Calc!$F$2:$F$1001)*Calc!$F$2:$F$1001))))</f>
        <v/>
      </c>
      <c r="Q514">
        <f>IF(I514=0,0,(MIN(MAX((K514+M514),0),L514)*W514+SUMPRODUCT((Calc!$A$2:$A$1001=A514)*Calc!$G$2:$G$1001*((((K514+M514)-(L514+Calc!$J$2:$J$1001))&gt;0)*(((K514+M514)-(L514+Calc!$J$2:$J$1001))&lt;Calc!$F$2:$F$1001)*((K514+M514)-(L514+Calc!$J$2:$J$1001))+(((K514+M514)-(L514+Calc!$J$2:$J$1001))&gt;=Calc!$F$2:$F$1001)*Calc!$F$2:$F$1001))))</f>
        <v/>
      </c>
      <c r="R514">
        <f>IF(I514=0,0,(MIN(MAX((K514+N514),0),L514)*W514+SUMPRODUCT((Calc!$A$2:$A$1001=A514)*Calc!$G$2:$G$1001*((((K514+N514)-(L514+Calc!$J$2:$J$1001))&gt;0)*(((K514+N514)-(L514+Calc!$J$2:$J$1001))&lt;Calc!$F$2:$F$1001)*((K514+N514)-(L514+Calc!$J$2:$J$1001))+(((K514+N514)-(L514+Calc!$J$2:$J$1001))&gt;=Calc!$F$2:$F$1001)*Calc!$F$2:$F$1001))))</f>
        <v/>
      </c>
      <c r="S514">
        <f>IF(I514=0,0,(MIN(MAX((K514+O514),0),L514)*W514+SUMPRODUCT((Calc!$A$2:$A$1001=A514)*Calc!$G$2:$G$1001*((((K514+O514)-(L514+Calc!$J$2:$J$1001))&gt;0)*(((K514+O514)-(L514+Calc!$J$2:$J$1001))&lt;Calc!$F$2:$F$1001)*((K514+O514)-(L514+Calc!$J$2:$J$1001))+(((K514+O514)-(L514+Calc!$J$2:$J$1001))&gt;=Calc!$F$2:$F$1001)*Calc!$F$2:$F$1001))))</f>
        <v/>
      </c>
      <c r="T514">
        <f>IF(AND(E514=1,B514="RETURN"),Transactions!E514*Transactions!G514,0)</f>
        <v/>
      </c>
      <c r="U514">
        <f>IF(AND(E514=1,B514="EXPENSE"),Transactions!J514,0)</f>
        <v/>
      </c>
      <c r="V514">
        <f>IF(AND(Transactions!A514&lt;&gt;"",E514=0),ROW(),"")</f>
        <v/>
      </c>
      <c r="W514">
        <f>IFERROR(VLOOKUP(A514,Opening!$A:$D,4,0),0)</f>
        <v/>
      </c>
    </row>
    <row r="515">
      <c r="A515">
        <f>IF(Transactions!D515="","",UPPER(TRIM(Transactions!D515)))</f>
        <v/>
      </c>
      <c r="B515">
        <f>IF(Transactions!C515="","",UPPER(TRIM(Transactions!C515)))</f>
        <v/>
      </c>
      <c r="C515">
        <f>IF(Transactions!B515="",0,YEAR(Transactions!B515)*100+MONTH(Transactions!B515))</f>
        <v/>
      </c>
      <c r="D515">
        <f>IF(Transactions!A515="",1,IF(COUNTIF(Transactions!$A$1:A514,Transactions!A515)&gt;0,1,0))</f>
        <v/>
      </c>
      <c r="E515">
        <f>IF(D515=1,0,IF(B515="RETURN",IF(COUNTIFS($A$1:A514,A515,$B$1:B514,"SALE",$E$1:E514,1)&gt;0,1,0),1))</f>
        <v/>
      </c>
      <c r="F515">
        <f>IF(E515=1,IF(B515="RECEIPT",Transactions!E515,IF(AND(B515="RETURN",LOWER(TRIM(Transactions!H515))="resellable"),Transactions!E515,0)),0)</f>
        <v/>
      </c>
      <c r="G515">
        <f>IF(F515&gt;0,IF(B515="RECEIPT",Transactions!F515,IF(_xlfn.MAXIFS($H$2:H515,$A$2:A515,A515)&gt;0,INDEX(Transactions!$F:$F,_xlfn.MAXIFS($H$2:H515,$A$2:A515,A515)),W515)),0)</f>
        <v/>
      </c>
      <c r="H515">
        <f>IF(AND(E515=1,B515="RECEIPT"),ROW(),0)</f>
        <v/>
      </c>
      <c r="I515">
        <f>IF(E515=1,IF(OR(B515="SALE",B515="WRITEOFF"),Transactions!E515,0),0)</f>
        <v/>
      </c>
      <c r="J515">
        <f>SUMIFS($F$1:F514,$A$1:A514,A515)</f>
        <v/>
      </c>
      <c r="K515">
        <f>SUMIFS($I$1:I514,$A$1:A514,A515)</f>
        <v/>
      </c>
      <c r="L515">
        <f>IFERROR(VLOOKUP(A515,Opening!$A:$C,3,0),0)</f>
        <v/>
      </c>
      <c r="M515">
        <f>IF(I515=0,0,MAX(0,MIN(INDEX(Month!H$2:H$13,MATCH($A515,Month!$A$2:$A$13,0))-K515,I515)))</f>
        <v/>
      </c>
      <c r="N515">
        <f>IF(I515=0,0,MAX(0,MIN(INDEX(Month!I$2:I$13,MATCH($A515,Month!$A$2:$A$13,0))-K515,I515)))</f>
        <v/>
      </c>
      <c r="O515">
        <f>IF(I515=0,0,MAX(0,MIN(INDEX(Month!J$2:J$13,MATCH($A515,Month!$A$2:$A$13,0))-K515,I515)))</f>
        <v/>
      </c>
      <c r="P515">
        <f>IF(I515=0,0,(MIN(MAX(K515,0),L515)*W515+SUMPRODUCT((Calc!$A$2:$A$1001=A515)*Calc!$G$2:$G$1001*(((K515-(L515+Calc!$J$2:$J$1001))&gt;0)*((K515-(L515+Calc!$J$2:$J$1001))&lt;Calc!$F$2:$F$1001)*(K515-(L515+Calc!$J$2:$J$1001))+((K515-(L515+Calc!$J$2:$J$1001))&gt;=Calc!$F$2:$F$1001)*Calc!$F$2:$F$1001))))</f>
        <v/>
      </c>
      <c r="Q515">
        <f>IF(I515=0,0,(MIN(MAX((K515+M515),0),L515)*W515+SUMPRODUCT((Calc!$A$2:$A$1001=A515)*Calc!$G$2:$G$1001*((((K515+M515)-(L515+Calc!$J$2:$J$1001))&gt;0)*(((K515+M515)-(L515+Calc!$J$2:$J$1001))&lt;Calc!$F$2:$F$1001)*((K515+M515)-(L515+Calc!$J$2:$J$1001))+(((K515+M515)-(L515+Calc!$J$2:$J$1001))&gt;=Calc!$F$2:$F$1001)*Calc!$F$2:$F$1001))))</f>
        <v/>
      </c>
      <c r="R515">
        <f>IF(I515=0,0,(MIN(MAX((K515+N515),0),L515)*W515+SUMPRODUCT((Calc!$A$2:$A$1001=A515)*Calc!$G$2:$G$1001*((((K515+N515)-(L515+Calc!$J$2:$J$1001))&gt;0)*(((K515+N515)-(L515+Calc!$J$2:$J$1001))&lt;Calc!$F$2:$F$1001)*((K515+N515)-(L515+Calc!$J$2:$J$1001))+(((K515+N515)-(L515+Calc!$J$2:$J$1001))&gt;=Calc!$F$2:$F$1001)*Calc!$F$2:$F$1001))))</f>
        <v/>
      </c>
      <c r="S515">
        <f>IF(I515=0,0,(MIN(MAX((K515+O515),0),L515)*W515+SUMPRODUCT((Calc!$A$2:$A$1001=A515)*Calc!$G$2:$G$1001*((((K515+O515)-(L515+Calc!$J$2:$J$1001))&gt;0)*(((K515+O515)-(L515+Calc!$J$2:$J$1001))&lt;Calc!$F$2:$F$1001)*((K515+O515)-(L515+Calc!$J$2:$J$1001))+(((K515+O515)-(L515+Calc!$J$2:$J$1001))&gt;=Calc!$F$2:$F$1001)*Calc!$F$2:$F$1001))))</f>
        <v/>
      </c>
      <c r="T515">
        <f>IF(AND(E515=1,B515="RETURN"),Transactions!E515*Transactions!G515,0)</f>
        <v/>
      </c>
      <c r="U515">
        <f>IF(AND(E515=1,B515="EXPENSE"),Transactions!J515,0)</f>
        <v/>
      </c>
      <c r="V515">
        <f>IF(AND(Transactions!A515&lt;&gt;"",E515=0),ROW(),"")</f>
        <v/>
      </c>
      <c r="W515">
        <f>IFERROR(VLOOKUP(A515,Opening!$A:$D,4,0),0)</f>
        <v/>
      </c>
    </row>
    <row r="516">
      <c r="A516">
        <f>IF(Transactions!D516="","",UPPER(TRIM(Transactions!D516)))</f>
        <v/>
      </c>
      <c r="B516">
        <f>IF(Transactions!C516="","",UPPER(TRIM(Transactions!C516)))</f>
        <v/>
      </c>
      <c r="C516">
        <f>IF(Transactions!B516="",0,YEAR(Transactions!B516)*100+MONTH(Transactions!B516))</f>
        <v/>
      </c>
      <c r="D516">
        <f>IF(Transactions!A516="",1,IF(COUNTIF(Transactions!$A$1:A515,Transactions!A516)&gt;0,1,0))</f>
        <v/>
      </c>
      <c r="E516">
        <f>IF(D516=1,0,IF(B516="RETURN",IF(COUNTIFS($A$1:A515,A516,$B$1:B515,"SALE",$E$1:E515,1)&gt;0,1,0),1))</f>
        <v/>
      </c>
      <c r="F516">
        <f>IF(E516=1,IF(B516="RECEIPT",Transactions!E516,IF(AND(B516="RETURN",LOWER(TRIM(Transactions!H516))="resellable"),Transactions!E516,0)),0)</f>
        <v/>
      </c>
      <c r="G516">
        <f>IF(F516&gt;0,IF(B516="RECEIPT",Transactions!F516,IF(_xlfn.MAXIFS($H$2:H516,$A$2:A516,A516)&gt;0,INDEX(Transactions!$F:$F,_xlfn.MAXIFS($H$2:H516,$A$2:A516,A516)),W516)),0)</f>
        <v/>
      </c>
      <c r="H516">
        <f>IF(AND(E516=1,B516="RECEIPT"),ROW(),0)</f>
        <v/>
      </c>
      <c r="I516">
        <f>IF(E516=1,IF(OR(B516="SALE",B516="WRITEOFF"),Transactions!E516,0),0)</f>
        <v/>
      </c>
      <c r="J516">
        <f>SUMIFS($F$1:F515,$A$1:A515,A516)</f>
        <v/>
      </c>
      <c r="K516">
        <f>SUMIFS($I$1:I515,$A$1:A515,A516)</f>
        <v/>
      </c>
      <c r="L516">
        <f>IFERROR(VLOOKUP(A516,Opening!$A:$C,3,0),0)</f>
        <v/>
      </c>
      <c r="M516">
        <f>IF(I516=0,0,MAX(0,MIN(INDEX(Month!H$2:H$13,MATCH($A516,Month!$A$2:$A$13,0))-K516,I516)))</f>
        <v/>
      </c>
      <c r="N516">
        <f>IF(I516=0,0,MAX(0,MIN(INDEX(Month!I$2:I$13,MATCH($A516,Month!$A$2:$A$13,0))-K516,I516)))</f>
        <v/>
      </c>
      <c r="O516">
        <f>IF(I516=0,0,MAX(0,MIN(INDEX(Month!J$2:J$13,MATCH($A516,Month!$A$2:$A$13,0))-K516,I516)))</f>
        <v/>
      </c>
      <c r="P516">
        <f>IF(I516=0,0,(MIN(MAX(K516,0),L516)*W516+SUMPRODUCT((Calc!$A$2:$A$1001=A516)*Calc!$G$2:$G$1001*(((K516-(L516+Calc!$J$2:$J$1001))&gt;0)*((K516-(L516+Calc!$J$2:$J$1001))&lt;Calc!$F$2:$F$1001)*(K516-(L516+Calc!$J$2:$J$1001))+((K516-(L516+Calc!$J$2:$J$1001))&gt;=Calc!$F$2:$F$1001)*Calc!$F$2:$F$1001))))</f>
        <v/>
      </c>
      <c r="Q516">
        <f>IF(I516=0,0,(MIN(MAX((K516+M516),0),L516)*W516+SUMPRODUCT((Calc!$A$2:$A$1001=A516)*Calc!$G$2:$G$1001*((((K516+M516)-(L516+Calc!$J$2:$J$1001))&gt;0)*(((K516+M516)-(L516+Calc!$J$2:$J$1001))&lt;Calc!$F$2:$F$1001)*((K516+M516)-(L516+Calc!$J$2:$J$1001))+(((K516+M516)-(L516+Calc!$J$2:$J$1001))&gt;=Calc!$F$2:$F$1001)*Calc!$F$2:$F$1001))))</f>
        <v/>
      </c>
      <c r="R516">
        <f>IF(I516=0,0,(MIN(MAX((K516+N516),0),L516)*W516+SUMPRODUCT((Calc!$A$2:$A$1001=A516)*Calc!$G$2:$G$1001*((((K516+N516)-(L516+Calc!$J$2:$J$1001))&gt;0)*(((K516+N516)-(L516+Calc!$J$2:$J$1001))&lt;Calc!$F$2:$F$1001)*((K516+N516)-(L516+Calc!$J$2:$J$1001))+(((K516+N516)-(L516+Calc!$J$2:$J$1001))&gt;=Calc!$F$2:$F$1001)*Calc!$F$2:$F$1001))))</f>
        <v/>
      </c>
      <c r="S516">
        <f>IF(I516=0,0,(MIN(MAX((K516+O516),0),L516)*W516+SUMPRODUCT((Calc!$A$2:$A$1001=A516)*Calc!$G$2:$G$1001*((((K516+O516)-(L516+Calc!$J$2:$J$1001))&gt;0)*(((K516+O516)-(L516+Calc!$J$2:$J$1001))&lt;Calc!$F$2:$F$1001)*((K516+O516)-(L516+Calc!$J$2:$J$1001))+(((K516+O516)-(L516+Calc!$J$2:$J$1001))&gt;=Calc!$F$2:$F$1001)*Calc!$F$2:$F$1001))))</f>
        <v/>
      </c>
      <c r="T516">
        <f>IF(AND(E516=1,B516="RETURN"),Transactions!E516*Transactions!G516,0)</f>
        <v/>
      </c>
      <c r="U516">
        <f>IF(AND(E516=1,B516="EXPENSE"),Transactions!J516,0)</f>
        <v/>
      </c>
      <c r="V516">
        <f>IF(AND(Transactions!A516&lt;&gt;"",E516=0),ROW(),"")</f>
        <v/>
      </c>
      <c r="W516">
        <f>IFERROR(VLOOKUP(A516,Opening!$A:$D,4,0),0)</f>
        <v/>
      </c>
    </row>
    <row r="517">
      <c r="A517">
        <f>IF(Transactions!D517="","",UPPER(TRIM(Transactions!D517)))</f>
        <v/>
      </c>
      <c r="B517">
        <f>IF(Transactions!C517="","",UPPER(TRIM(Transactions!C517)))</f>
        <v/>
      </c>
      <c r="C517">
        <f>IF(Transactions!B517="",0,YEAR(Transactions!B517)*100+MONTH(Transactions!B517))</f>
        <v/>
      </c>
      <c r="D517">
        <f>IF(Transactions!A517="",1,IF(COUNTIF(Transactions!$A$1:A516,Transactions!A517)&gt;0,1,0))</f>
        <v/>
      </c>
      <c r="E517">
        <f>IF(D517=1,0,IF(B517="RETURN",IF(COUNTIFS($A$1:A516,A517,$B$1:B516,"SALE",$E$1:E516,1)&gt;0,1,0),1))</f>
        <v/>
      </c>
      <c r="F517">
        <f>IF(E517=1,IF(B517="RECEIPT",Transactions!E517,IF(AND(B517="RETURN",LOWER(TRIM(Transactions!H517))="resellable"),Transactions!E517,0)),0)</f>
        <v/>
      </c>
      <c r="G517">
        <f>IF(F517&gt;0,IF(B517="RECEIPT",Transactions!F517,IF(_xlfn.MAXIFS($H$2:H517,$A$2:A517,A517)&gt;0,INDEX(Transactions!$F:$F,_xlfn.MAXIFS($H$2:H517,$A$2:A517,A517)),W517)),0)</f>
        <v/>
      </c>
      <c r="H517">
        <f>IF(AND(E517=1,B517="RECEIPT"),ROW(),0)</f>
        <v/>
      </c>
      <c r="I517">
        <f>IF(E517=1,IF(OR(B517="SALE",B517="WRITEOFF"),Transactions!E517,0),0)</f>
        <v/>
      </c>
      <c r="J517">
        <f>SUMIFS($F$1:F516,$A$1:A516,A517)</f>
        <v/>
      </c>
      <c r="K517">
        <f>SUMIFS($I$1:I516,$A$1:A516,A517)</f>
        <v/>
      </c>
      <c r="L517">
        <f>IFERROR(VLOOKUP(A517,Opening!$A:$C,3,0),0)</f>
        <v/>
      </c>
      <c r="M517">
        <f>IF(I517=0,0,MAX(0,MIN(INDEX(Month!H$2:H$13,MATCH($A517,Month!$A$2:$A$13,0))-K517,I517)))</f>
        <v/>
      </c>
      <c r="N517">
        <f>IF(I517=0,0,MAX(0,MIN(INDEX(Month!I$2:I$13,MATCH($A517,Month!$A$2:$A$13,0))-K517,I517)))</f>
        <v/>
      </c>
      <c r="O517">
        <f>IF(I517=0,0,MAX(0,MIN(INDEX(Month!J$2:J$13,MATCH($A517,Month!$A$2:$A$13,0))-K517,I517)))</f>
        <v/>
      </c>
      <c r="P517">
        <f>IF(I517=0,0,(MIN(MAX(K517,0),L517)*W517+SUMPRODUCT((Calc!$A$2:$A$1001=A517)*Calc!$G$2:$G$1001*(((K517-(L517+Calc!$J$2:$J$1001))&gt;0)*((K517-(L517+Calc!$J$2:$J$1001))&lt;Calc!$F$2:$F$1001)*(K517-(L517+Calc!$J$2:$J$1001))+((K517-(L517+Calc!$J$2:$J$1001))&gt;=Calc!$F$2:$F$1001)*Calc!$F$2:$F$1001))))</f>
        <v/>
      </c>
      <c r="Q517">
        <f>IF(I517=0,0,(MIN(MAX((K517+M517),0),L517)*W517+SUMPRODUCT((Calc!$A$2:$A$1001=A517)*Calc!$G$2:$G$1001*((((K517+M517)-(L517+Calc!$J$2:$J$1001))&gt;0)*(((K517+M517)-(L517+Calc!$J$2:$J$1001))&lt;Calc!$F$2:$F$1001)*((K517+M517)-(L517+Calc!$J$2:$J$1001))+(((K517+M517)-(L517+Calc!$J$2:$J$1001))&gt;=Calc!$F$2:$F$1001)*Calc!$F$2:$F$1001))))</f>
        <v/>
      </c>
      <c r="R517">
        <f>IF(I517=0,0,(MIN(MAX((K517+N517),0),L517)*W517+SUMPRODUCT((Calc!$A$2:$A$1001=A517)*Calc!$G$2:$G$1001*((((K517+N517)-(L517+Calc!$J$2:$J$1001))&gt;0)*(((K517+N517)-(L517+Calc!$J$2:$J$1001))&lt;Calc!$F$2:$F$1001)*((K517+N517)-(L517+Calc!$J$2:$J$1001))+(((K517+N517)-(L517+Calc!$J$2:$J$1001))&gt;=Calc!$F$2:$F$1001)*Calc!$F$2:$F$1001))))</f>
        <v/>
      </c>
      <c r="S517">
        <f>IF(I517=0,0,(MIN(MAX((K517+O517),0),L517)*W517+SUMPRODUCT((Calc!$A$2:$A$1001=A517)*Calc!$G$2:$G$1001*((((K517+O517)-(L517+Calc!$J$2:$J$1001))&gt;0)*(((K517+O517)-(L517+Calc!$J$2:$J$1001))&lt;Calc!$F$2:$F$1001)*((K517+O517)-(L517+Calc!$J$2:$J$1001))+(((K517+O517)-(L517+Calc!$J$2:$J$1001))&gt;=Calc!$F$2:$F$1001)*Calc!$F$2:$F$1001))))</f>
        <v/>
      </c>
      <c r="T517">
        <f>IF(AND(E517=1,B517="RETURN"),Transactions!E517*Transactions!G517,0)</f>
        <v/>
      </c>
      <c r="U517">
        <f>IF(AND(E517=1,B517="EXPENSE"),Transactions!J517,0)</f>
        <v/>
      </c>
      <c r="V517">
        <f>IF(AND(Transactions!A517&lt;&gt;"",E517=0),ROW(),"")</f>
        <v/>
      </c>
      <c r="W517">
        <f>IFERROR(VLOOKUP(A517,Opening!$A:$D,4,0),0)</f>
        <v/>
      </c>
    </row>
    <row r="518">
      <c r="A518">
        <f>IF(Transactions!D518="","",UPPER(TRIM(Transactions!D518)))</f>
        <v/>
      </c>
      <c r="B518">
        <f>IF(Transactions!C518="","",UPPER(TRIM(Transactions!C518)))</f>
        <v/>
      </c>
      <c r="C518">
        <f>IF(Transactions!B518="",0,YEAR(Transactions!B518)*100+MONTH(Transactions!B518))</f>
        <v/>
      </c>
      <c r="D518">
        <f>IF(Transactions!A518="",1,IF(COUNTIF(Transactions!$A$1:A517,Transactions!A518)&gt;0,1,0))</f>
        <v/>
      </c>
      <c r="E518">
        <f>IF(D518=1,0,IF(B518="RETURN",IF(COUNTIFS($A$1:A517,A518,$B$1:B517,"SALE",$E$1:E517,1)&gt;0,1,0),1))</f>
        <v/>
      </c>
      <c r="F518">
        <f>IF(E518=1,IF(B518="RECEIPT",Transactions!E518,IF(AND(B518="RETURN",LOWER(TRIM(Transactions!H518))="resellable"),Transactions!E518,0)),0)</f>
        <v/>
      </c>
      <c r="G518">
        <f>IF(F518&gt;0,IF(B518="RECEIPT",Transactions!F518,IF(_xlfn.MAXIFS($H$2:H518,$A$2:A518,A518)&gt;0,INDEX(Transactions!$F:$F,_xlfn.MAXIFS($H$2:H518,$A$2:A518,A518)),W518)),0)</f>
        <v/>
      </c>
      <c r="H518">
        <f>IF(AND(E518=1,B518="RECEIPT"),ROW(),0)</f>
        <v/>
      </c>
      <c r="I518">
        <f>IF(E518=1,IF(OR(B518="SALE",B518="WRITEOFF"),Transactions!E518,0),0)</f>
        <v/>
      </c>
      <c r="J518">
        <f>SUMIFS($F$1:F517,$A$1:A517,A518)</f>
        <v/>
      </c>
      <c r="K518">
        <f>SUMIFS($I$1:I517,$A$1:A517,A518)</f>
        <v/>
      </c>
      <c r="L518">
        <f>IFERROR(VLOOKUP(A518,Opening!$A:$C,3,0),0)</f>
        <v/>
      </c>
      <c r="M518">
        <f>IF(I518=0,0,MAX(0,MIN(INDEX(Month!H$2:H$13,MATCH($A518,Month!$A$2:$A$13,0))-K518,I518)))</f>
        <v/>
      </c>
      <c r="N518">
        <f>IF(I518=0,0,MAX(0,MIN(INDEX(Month!I$2:I$13,MATCH($A518,Month!$A$2:$A$13,0))-K518,I518)))</f>
        <v/>
      </c>
      <c r="O518">
        <f>IF(I518=0,0,MAX(0,MIN(INDEX(Month!J$2:J$13,MATCH($A518,Month!$A$2:$A$13,0))-K518,I518)))</f>
        <v/>
      </c>
      <c r="P518">
        <f>IF(I518=0,0,(MIN(MAX(K518,0),L518)*W518+SUMPRODUCT((Calc!$A$2:$A$1001=A518)*Calc!$G$2:$G$1001*(((K518-(L518+Calc!$J$2:$J$1001))&gt;0)*((K518-(L518+Calc!$J$2:$J$1001))&lt;Calc!$F$2:$F$1001)*(K518-(L518+Calc!$J$2:$J$1001))+((K518-(L518+Calc!$J$2:$J$1001))&gt;=Calc!$F$2:$F$1001)*Calc!$F$2:$F$1001))))</f>
        <v/>
      </c>
      <c r="Q518">
        <f>IF(I518=0,0,(MIN(MAX((K518+M518),0),L518)*W518+SUMPRODUCT((Calc!$A$2:$A$1001=A518)*Calc!$G$2:$G$1001*((((K518+M518)-(L518+Calc!$J$2:$J$1001))&gt;0)*(((K518+M518)-(L518+Calc!$J$2:$J$1001))&lt;Calc!$F$2:$F$1001)*((K518+M518)-(L518+Calc!$J$2:$J$1001))+(((K518+M518)-(L518+Calc!$J$2:$J$1001))&gt;=Calc!$F$2:$F$1001)*Calc!$F$2:$F$1001))))</f>
        <v/>
      </c>
      <c r="R518">
        <f>IF(I518=0,0,(MIN(MAX((K518+N518),0),L518)*W518+SUMPRODUCT((Calc!$A$2:$A$1001=A518)*Calc!$G$2:$G$1001*((((K518+N518)-(L518+Calc!$J$2:$J$1001))&gt;0)*(((K518+N518)-(L518+Calc!$J$2:$J$1001))&lt;Calc!$F$2:$F$1001)*((K518+N518)-(L518+Calc!$J$2:$J$1001))+(((K518+N518)-(L518+Calc!$J$2:$J$1001))&gt;=Calc!$F$2:$F$1001)*Calc!$F$2:$F$1001))))</f>
        <v/>
      </c>
      <c r="S518">
        <f>IF(I518=0,0,(MIN(MAX((K518+O518),0),L518)*W518+SUMPRODUCT((Calc!$A$2:$A$1001=A518)*Calc!$G$2:$G$1001*((((K518+O518)-(L518+Calc!$J$2:$J$1001))&gt;0)*(((K518+O518)-(L518+Calc!$J$2:$J$1001))&lt;Calc!$F$2:$F$1001)*((K518+O518)-(L518+Calc!$J$2:$J$1001))+(((K518+O518)-(L518+Calc!$J$2:$J$1001))&gt;=Calc!$F$2:$F$1001)*Calc!$F$2:$F$1001))))</f>
        <v/>
      </c>
      <c r="T518">
        <f>IF(AND(E518=1,B518="RETURN"),Transactions!E518*Transactions!G518,0)</f>
        <v/>
      </c>
      <c r="U518">
        <f>IF(AND(E518=1,B518="EXPENSE"),Transactions!J518,0)</f>
        <v/>
      </c>
      <c r="V518">
        <f>IF(AND(Transactions!A518&lt;&gt;"",E518=0),ROW(),"")</f>
        <v/>
      </c>
      <c r="W518">
        <f>IFERROR(VLOOKUP(A518,Opening!$A:$D,4,0),0)</f>
        <v/>
      </c>
    </row>
    <row r="519">
      <c r="A519">
        <f>IF(Transactions!D519="","",UPPER(TRIM(Transactions!D519)))</f>
        <v/>
      </c>
      <c r="B519">
        <f>IF(Transactions!C519="","",UPPER(TRIM(Transactions!C519)))</f>
        <v/>
      </c>
      <c r="C519">
        <f>IF(Transactions!B519="",0,YEAR(Transactions!B519)*100+MONTH(Transactions!B519))</f>
        <v/>
      </c>
      <c r="D519">
        <f>IF(Transactions!A519="",1,IF(COUNTIF(Transactions!$A$1:A518,Transactions!A519)&gt;0,1,0))</f>
        <v/>
      </c>
      <c r="E519">
        <f>IF(D519=1,0,IF(B519="RETURN",IF(COUNTIFS($A$1:A518,A519,$B$1:B518,"SALE",$E$1:E518,1)&gt;0,1,0),1))</f>
        <v/>
      </c>
      <c r="F519">
        <f>IF(E519=1,IF(B519="RECEIPT",Transactions!E519,IF(AND(B519="RETURN",LOWER(TRIM(Transactions!H519))="resellable"),Transactions!E519,0)),0)</f>
        <v/>
      </c>
      <c r="G519">
        <f>IF(F519&gt;0,IF(B519="RECEIPT",Transactions!F519,IF(_xlfn.MAXIFS($H$2:H519,$A$2:A519,A519)&gt;0,INDEX(Transactions!$F:$F,_xlfn.MAXIFS($H$2:H519,$A$2:A519,A519)),W519)),0)</f>
        <v/>
      </c>
      <c r="H519">
        <f>IF(AND(E519=1,B519="RECEIPT"),ROW(),0)</f>
        <v/>
      </c>
      <c r="I519">
        <f>IF(E519=1,IF(OR(B519="SALE",B519="WRITEOFF"),Transactions!E519,0),0)</f>
        <v/>
      </c>
      <c r="J519">
        <f>SUMIFS($F$1:F518,$A$1:A518,A519)</f>
        <v/>
      </c>
      <c r="K519">
        <f>SUMIFS($I$1:I518,$A$1:A518,A519)</f>
        <v/>
      </c>
      <c r="L519">
        <f>IFERROR(VLOOKUP(A519,Opening!$A:$C,3,0),0)</f>
        <v/>
      </c>
      <c r="M519">
        <f>IF(I519=0,0,MAX(0,MIN(INDEX(Month!H$2:H$13,MATCH($A519,Month!$A$2:$A$13,0))-K519,I519)))</f>
        <v/>
      </c>
      <c r="N519">
        <f>IF(I519=0,0,MAX(0,MIN(INDEX(Month!I$2:I$13,MATCH($A519,Month!$A$2:$A$13,0))-K519,I519)))</f>
        <v/>
      </c>
      <c r="O519">
        <f>IF(I519=0,0,MAX(0,MIN(INDEX(Month!J$2:J$13,MATCH($A519,Month!$A$2:$A$13,0))-K519,I519)))</f>
        <v/>
      </c>
      <c r="P519">
        <f>IF(I519=0,0,(MIN(MAX(K519,0),L519)*W519+SUMPRODUCT((Calc!$A$2:$A$1001=A519)*Calc!$G$2:$G$1001*(((K519-(L519+Calc!$J$2:$J$1001))&gt;0)*((K519-(L519+Calc!$J$2:$J$1001))&lt;Calc!$F$2:$F$1001)*(K519-(L519+Calc!$J$2:$J$1001))+((K519-(L519+Calc!$J$2:$J$1001))&gt;=Calc!$F$2:$F$1001)*Calc!$F$2:$F$1001))))</f>
        <v/>
      </c>
      <c r="Q519">
        <f>IF(I519=0,0,(MIN(MAX((K519+M519),0),L519)*W519+SUMPRODUCT((Calc!$A$2:$A$1001=A519)*Calc!$G$2:$G$1001*((((K519+M519)-(L519+Calc!$J$2:$J$1001))&gt;0)*(((K519+M519)-(L519+Calc!$J$2:$J$1001))&lt;Calc!$F$2:$F$1001)*((K519+M519)-(L519+Calc!$J$2:$J$1001))+(((K519+M519)-(L519+Calc!$J$2:$J$1001))&gt;=Calc!$F$2:$F$1001)*Calc!$F$2:$F$1001))))</f>
        <v/>
      </c>
      <c r="R519">
        <f>IF(I519=0,0,(MIN(MAX((K519+N519),0),L519)*W519+SUMPRODUCT((Calc!$A$2:$A$1001=A519)*Calc!$G$2:$G$1001*((((K519+N519)-(L519+Calc!$J$2:$J$1001))&gt;0)*(((K519+N519)-(L519+Calc!$J$2:$J$1001))&lt;Calc!$F$2:$F$1001)*((K519+N519)-(L519+Calc!$J$2:$J$1001))+(((K519+N519)-(L519+Calc!$J$2:$J$1001))&gt;=Calc!$F$2:$F$1001)*Calc!$F$2:$F$1001))))</f>
        <v/>
      </c>
      <c r="S519">
        <f>IF(I519=0,0,(MIN(MAX((K519+O519),0),L519)*W519+SUMPRODUCT((Calc!$A$2:$A$1001=A519)*Calc!$G$2:$G$1001*((((K519+O519)-(L519+Calc!$J$2:$J$1001))&gt;0)*(((K519+O519)-(L519+Calc!$J$2:$J$1001))&lt;Calc!$F$2:$F$1001)*((K519+O519)-(L519+Calc!$J$2:$J$1001))+(((K519+O519)-(L519+Calc!$J$2:$J$1001))&gt;=Calc!$F$2:$F$1001)*Calc!$F$2:$F$1001))))</f>
        <v/>
      </c>
      <c r="T519">
        <f>IF(AND(E519=1,B519="RETURN"),Transactions!E519*Transactions!G519,0)</f>
        <v/>
      </c>
      <c r="U519">
        <f>IF(AND(E519=1,B519="EXPENSE"),Transactions!J519,0)</f>
        <v/>
      </c>
      <c r="V519">
        <f>IF(AND(Transactions!A519&lt;&gt;"",E519=0),ROW(),"")</f>
        <v/>
      </c>
      <c r="W519">
        <f>IFERROR(VLOOKUP(A519,Opening!$A:$D,4,0),0)</f>
        <v/>
      </c>
    </row>
    <row r="520">
      <c r="A520">
        <f>IF(Transactions!D520="","",UPPER(TRIM(Transactions!D520)))</f>
        <v/>
      </c>
      <c r="B520">
        <f>IF(Transactions!C520="","",UPPER(TRIM(Transactions!C520)))</f>
        <v/>
      </c>
      <c r="C520">
        <f>IF(Transactions!B520="",0,YEAR(Transactions!B520)*100+MONTH(Transactions!B520))</f>
        <v/>
      </c>
      <c r="D520">
        <f>IF(Transactions!A520="",1,IF(COUNTIF(Transactions!$A$1:A519,Transactions!A520)&gt;0,1,0))</f>
        <v/>
      </c>
      <c r="E520">
        <f>IF(D520=1,0,IF(B520="RETURN",IF(COUNTIFS($A$1:A519,A520,$B$1:B519,"SALE",$E$1:E519,1)&gt;0,1,0),1))</f>
        <v/>
      </c>
      <c r="F520">
        <f>IF(E520=1,IF(B520="RECEIPT",Transactions!E520,IF(AND(B520="RETURN",LOWER(TRIM(Transactions!H520))="resellable"),Transactions!E520,0)),0)</f>
        <v/>
      </c>
      <c r="G520">
        <f>IF(F520&gt;0,IF(B520="RECEIPT",Transactions!F520,IF(_xlfn.MAXIFS($H$2:H520,$A$2:A520,A520)&gt;0,INDEX(Transactions!$F:$F,_xlfn.MAXIFS($H$2:H520,$A$2:A520,A520)),W520)),0)</f>
        <v/>
      </c>
      <c r="H520">
        <f>IF(AND(E520=1,B520="RECEIPT"),ROW(),0)</f>
        <v/>
      </c>
      <c r="I520">
        <f>IF(E520=1,IF(OR(B520="SALE",B520="WRITEOFF"),Transactions!E520,0),0)</f>
        <v/>
      </c>
      <c r="J520">
        <f>SUMIFS($F$1:F519,$A$1:A519,A520)</f>
        <v/>
      </c>
      <c r="K520">
        <f>SUMIFS($I$1:I519,$A$1:A519,A520)</f>
        <v/>
      </c>
      <c r="L520">
        <f>IFERROR(VLOOKUP(A520,Opening!$A:$C,3,0),0)</f>
        <v/>
      </c>
      <c r="M520">
        <f>IF(I520=0,0,MAX(0,MIN(INDEX(Month!H$2:H$13,MATCH($A520,Month!$A$2:$A$13,0))-K520,I520)))</f>
        <v/>
      </c>
      <c r="N520">
        <f>IF(I520=0,0,MAX(0,MIN(INDEX(Month!I$2:I$13,MATCH($A520,Month!$A$2:$A$13,0))-K520,I520)))</f>
        <v/>
      </c>
      <c r="O520">
        <f>IF(I520=0,0,MAX(0,MIN(INDEX(Month!J$2:J$13,MATCH($A520,Month!$A$2:$A$13,0))-K520,I520)))</f>
        <v/>
      </c>
      <c r="P520">
        <f>IF(I520=0,0,(MIN(MAX(K520,0),L520)*W520+SUMPRODUCT((Calc!$A$2:$A$1001=A520)*Calc!$G$2:$G$1001*(((K520-(L520+Calc!$J$2:$J$1001))&gt;0)*((K520-(L520+Calc!$J$2:$J$1001))&lt;Calc!$F$2:$F$1001)*(K520-(L520+Calc!$J$2:$J$1001))+((K520-(L520+Calc!$J$2:$J$1001))&gt;=Calc!$F$2:$F$1001)*Calc!$F$2:$F$1001))))</f>
        <v/>
      </c>
      <c r="Q520">
        <f>IF(I520=0,0,(MIN(MAX((K520+M520),0),L520)*W520+SUMPRODUCT((Calc!$A$2:$A$1001=A520)*Calc!$G$2:$G$1001*((((K520+M520)-(L520+Calc!$J$2:$J$1001))&gt;0)*(((K520+M520)-(L520+Calc!$J$2:$J$1001))&lt;Calc!$F$2:$F$1001)*((K520+M520)-(L520+Calc!$J$2:$J$1001))+(((K520+M520)-(L520+Calc!$J$2:$J$1001))&gt;=Calc!$F$2:$F$1001)*Calc!$F$2:$F$1001))))</f>
        <v/>
      </c>
      <c r="R520">
        <f>IF(I520=0,0,(MIN(MAX((K520+N520),0),L520)*W520+SUMPRODUCT((Calc!$A$2:$A$1001=A520)*Calc!$G$2:$G$1001*((((K520+N520)-(L520+Calc!$J$2:$J$1001))&gt;0)*(((K520+N520)-(L520+Calc!$J$2:$J$1001))&lt;Calc!$F$2:$F$1001)*((K520+N520)-(L520+Calc!$J$2:$J$1001))+(((K520+N520)-(L520+Calc!$J$2:$J$1001))&gt;=Calc!$F$2:$F$1001)*Calc!$F$2:$F$1001))))</f>
        <v/>
      </c>
      <c r="S520">
        <f>IF(I520=0,0,(MIN(MAX((K520+O520),0),L520)*W520+SUMPRODUCT((Calc!$A$2:$A$1001=A520)*Calc!$G$2:$G$1001*((((K520+O520)-(L520+Calc!$J$2:$J$1001))&gt;0)*(((K520+O520)-(L520+Calc!$J$2:$J$1001))&lt;Calc!$F$2:$F$1001)*((K520+O520)-(L520+Calc!$J$2:$J$1001))+(((K520+O520)-(L520+Calc!$J$2:$J$1001))&gt;=Calc!$F$2:$F$1001)*Calc!$F$2:$F$1001))))</f>
        <v/>
      </c>
      <c r="T520">
        <f>IF(AND(E520=1,B520="RETURN"),Transactions!E520*Transactions!G520,0)</f>
        <v/>
      </c>
      <c r="U520">
        <f>IF(AND(E520=1,B520="EXPENSE"),Transactions!J520,0)</f>
        <v/>
      </c>
      <c r="V520">
        <f>IF(AND(Transactions!A520&lt;&gt;"",E520=0),ROW(),"")</f>
        <v/>
      </c>
      <c r="W520">
        <f>IFERROR(VLOOKUP(A520,Opening!$A:$D,4,0),0)</f>
        <v/>
      </c>
    </row>
    <row r="521">
      <c r="A521">
        <f>IF(Transactions!D521="","",UPPER(TRIM(Transactions!D521)))</f>
        <v/>
      </c>
      <c r="B521">
        <f>IF(Transactions!C521="","",UPPER(TRIM(Transactions!C521)))</f>
        <v/>
      </c>
      <c r="C521">
        <f>IF(Transactions!B521="",0,YEAR(Transactions!B521)*100+MONTH(Transactions!B521))</f>
        <v/>
      </c>
      <c r="D521">
        <f>IF(Transactions!A521="",1,IF(COUNTIF(Transactions!$A$1:A520,Transactions!A521)&gt;0,1,0))</f>
        <v/>
      </c>
      <c r="E521">
        <f>IF(D521=1,0,IF(B521="RETURN",IF(COUNTIFS($A$1:A520,A521,$B$1:B520,"SALE",$E$1:E520,1)&gt;0,1,0),1))</f>
        <v/>
      </c>
      <c r="F521">
        <f>IF(E521=1,IF(B521="RECEIPT",Transactions!E521,IF(AND(B521="RETURN",LOWER(TRIM(Transactions!H521))="resellable"),Transactions!E521,0)),0)</f>
        <v/>
      </c>
      <c r="G521">
        <f>IF(F521&gt;0,IF(B521="RECEIPT",Transactions!F521,IF(_xlfn.MAXIFS($H$2:H521,$A$2:A521,A521)&gt;0,INDEX(Transactions!$F:$F,_xlfn.MAXIFS($H$2:H521,$A$2:A521,A521)),W521)),0)</f>
        <v/>
      </c>
      <c r="H521">
        <f>IF(AND(E521=1,B521="RECEIPT"),ROW(),0)</f>
        <v/>
      </c>
      <c r="I521">
        <f>IF(E521=1,IF(OR(B521="SALE",B521="WRITEOFF"),Transactions!E521,0),0)</f>
        <v/>
      </c>
      <c r="J521">
        <f>SUMIFS($F$1:F520,$A$1:A520,A521)</f>
        <v/>
      </c>
      <c r="K521">
        <f>SUMIFS($I$1:I520,$A$1:A520,A521)</f>
        <v/>
      </c>
      <c r="L521">
        <f>IFERROR(VLOOKUP(A521,Opening!$A:$C,3,0),0)</f>
        <v/>
      </c>
      <c r="M521">
        <f>IF(I521=0,0,MAX(0,MIN(INDEX(Month!H$2:H$13,MATCH($A521,Month!$A$2:$A$13,0))-K521,I521)))</f>
        <v/>
      </c>
      <c r="N521">
        <f>IF(I521=0,0,MAX(0,MIN(INDEX(Month!I$2:I$13,MATCH($A521,Month!$A$2:$A$13,0))-K521,I521)))</f>
        <v/>
      </c>
      <c r="O521">
        <f>IF(I521=0,0,MAX(0,MIN(INDEX(Month!J$2:J$13,MATCH($A521,Month!$A$2:$A$13,0))-K521,I521)))</f>
        <v/>
      </c>
      <c r="P521">
        <f>IF(I521=0,0,(MIN(MAX(K521,0),L521)*W521+SUMPRODUCT((Calc!$A$2:$A$1001=A521)*Calc!$G$2:$G$1001*(((K521-(L521+Calc!$J$2:$J$1001))&gt;0)*((K521-(L521+Calc!$J$2:$J$1001))&lt;Calc!$F$2:$F$1001)*(K521-(L521+Calc!$J$2:$J$1001))+((K521-(L521+Calc!$J$2:$J$1001))&gt;=Calc!$F$2:$F$1001)*Calc!$F$2:$F$1001))))</f>
        <v/>
      </c>
      <c r="Q521">
        <f>IF(I521=0,0,(MIN(MAX((K521+M521),0),L521)*W521+SUMPRODUCT((Calc!$A$2:$A$1001=A521)*Calc!$G$2:$G$1001*((((K521+M521)-(L521+Calc!$J$2:$J$1001))&gt;0)*(((K521+M521)-(L521+Calc!$J$2:$J$1001))&lt;Calc!$F$2:$F$1001)*((K521+M521)-(L521+Calc!$J$2:$J$1001))+(((K521+M521)-(L521+Calc!$J$2:$J$1001))&gt;=Calc!$F$2:$F$1001)*Calc!$F$2:$F$1001))))</f>
        <v/>
      </c>
      <c r="R521">
        <f>IF(I521=0,0,(MIN(MAX((K521+N521),0),L521)*W521+SUMPRODUCT((Calc!$A$2:$A$1001=A521)*Calc!$G$2:$G$1001*((((K521+N521)-(L521+Calc!$J$2:$J$1001))&gt;0)*(((K521+N521)-(L521+Calc!$J$2:$J$1001))&lt;Calc!$F$2:$F$1001)*((K521+N521)-(L521+Calc!$J$2:$J$1001))+(((K521+N521)-(L521+Calc!$J$2:$J$1001))&gt;=Calc!$F$2:$F$1001)*Calc!$F$2:$F$1001))))</f>
        <v/>
      </c>
      <c r="S521">
        <f>IF(I521=0,0,(MIN(MAX((K521+O521),0),L521)*W521+SUMPRODUCT((Calc!$A$2:$A$1001=A521)*Calc!$G$2:$G$1001*((((K521+O521)-(L521+Calc!$J$2:$J$1001))&gt;0)*(((K521+O521)-(L521+Calc!$J$2:$J$1001))&lt;Calc!$F$2:$F$1001)*((K521+O521)-(L521+Calc!$J$2:$J$1001))+(((K521+O521)-(L521+Calc!$J$2:$J$1001))&gt;=Calc!$F$2:$F$1001)*Calc!$F$2:$F$1001))))</f>
        <v/>
      </c>
      <c r="T521">
        <f>IF(AND(E521=1,B521="RETURN"),Transactions!E521*Transactions!G521,0)</f>
        <v/>
      </c>
      <c r="U521">
        <f>IF(AND(E521=1,B521="EXPENSE"),Transactions!J521,0)</f>
        <v/>
      </c>
      <c r="V521">
        <f>IF(AND(Transactions!A521&lt;&gt;"",E521=0),ROW(),"")</f>
        <v/>
      </c>
      <c r="W521">
        <f>IFERROR(VLOOKUP(A521,Opening!$A:$D,4,0),0)</f>
        <v/>
      </c>
    </row>
    <row r="522">
      <c r="A522">
        <f>IF(Transactions!D522="","",UPPER(TRIM(Transactions!D522)))</f>
        <v/>
      </c>
      <c r="B522">
        <f>IF(Transactions!C522="","",UPPER(TRIM(Transactions!C522)))</f>
        <v/>
      </c>
      <c r="C522">
        <f>IF(Transactions!B522="",0,YEAR(Transactions!B522)*100+MONTH(Transactions!B522))</f>
        <v/>
      </c>
      <c r="D522">
        <f>IF(Transactions!A522="",1,IF(COUNTIF(Transactions!$A$1:A521,Transactions!A522)&gt;0,1,0))</f>
        <v/>
      </c>
      <c r="E522">
        <f>IF(D522=1,0,IF(B522="RETURN",IF(COUNTIFS($A$1:A521,A522,$B$1:B521,"SALE",$E$1:E521,1)&gt;0,1,0),1))</f>
        <v/>
      </c>
      <c r="F522">
        <f>IF(E522=1,IF(B522="RECEIPT",Transactions!E522,IF(AND(B522="RETURN",LOWER(TRIM(Transactions!H522))="resellable"),Transactions!E522,0)),0)</f>
        <v/>
      </c>
      <c r="G522">
        <f>IF(F522&gt;0,IF(B522="RECEIPT",Transactions!F522,IF(_xlfn.MAXIFS($H$2:H522,$A$2:A522,A522)&gt;0,INDEX(Transactions!$F:$F,_xlfn.MAXIFS($H$2:H522,$A$2:A522,A522)),W522)),0)</f>
        <v/>
      </c>
      <c r="H522">
        <f>IF(AND(E522=1,B522="RECEIPT"),ROW(),0)</f>
        <v/>
      </c>
      <c r="I522">
        <f>IF(E522=1,IF(OR(B522="SALE",B522="WRITEOFF"),Transactions!E522,0),0)</f>
        <v/>
      </c>
      <c r="J522">
        <f>SUMIFS($F$1:F521,$A$1:A521,A522)</f>
        <v/>
      </c>
      <c r="K522">
        <f>SUMIFS($I$1:I521,$A$1:A521,A522)</f>
        <v/>
      </c>
      <c r="L522">
        <f>IFERROR(VLOOKUP(A522,Opening!$A:$C,3,0),0)</f>
        <v/>
      </c>
      <c r="M522">
        <f>IF(I522=0,0,MAX(0,MIN(INDEX(Month!H$2:H$13,MATCH($A522,Month!$A$2:$A$13,0))-K522,I522)))</f>
        <v/>
      </c>
      <c r="N522">
        <f>IF(I522=0,0,MAX(0,MIN(INDEX(Month!I$2:I$13,MATCH($A522,Month!$A$2:$A$13,0))-K522,I522)))</f>
        <v/>
      </c>
      <c r="O522">
        <f>IF(I522=0,0,MAX(0,MIN(INDEX(Month!J$2:J$13,MATCH($A522,Month!$A$2:$A$13,0))-K522,I522)))</f>
        <v/>
      </c>
      <c r="P522">
        <f>IF(I522=0,0,(MIN(MAX(K522,0),L522)*W522+SUMPRODUCT((Calc!$A$2:$A$1001=A522)*Calc!$G$2:$G$1001*(((K522-(L522+Calc!$J$2:$J$1001))&gt;0)*((K522-(L522+Calc!$J$2:$J$1001))&lt;Calc!$F$2:$F$1001)*(K522-(L522+Calc!$J$2:$J$1001))+((K522-(L522+Calc!$J$2:$J$1001))&gt;=Calc!$F$2:$F$1001)*Calc!$F$2:$F$1001))))</f>
        <v/>
      </c>
      <c r="Q522">
        <f>IF(I522=0,0,(MIN(MAX((K522+M522),0),L522)*W522+SUMPRODUCT((Calc!$A$2:$A$1001=A522)*Calc!$G$2:$G$1001*((((K522+M522)-(L522+Calc!$J$2:$J$1001))&gt;0)*(((K522+M522)-(L522+Calc!$J$2:$J$1001))&lt;Calc!$F$2:$F$1001)*((K522+M522)-(L522+Calc!$J$2:$J$1001))+(((K522+M522)-(L522+Calc!$J$2:$J$1001))&gt;=Calc!$F$2:$F$1001)*Calc!$F$2:$F$1001))))</f>
        <v/>
      </c>
      <c r="R522">
        <f>IF(I522=0,0,(MIN(MAX((K522+N522),0),L522)*W522+SUMPRODUCT((Calc!$A$2:$A$1001=A522)*Calc!$G$2:$G$1001*((((K522+N522)-(L522+Calc!$J$2:$J$1001))&gt;0)*(((K522+N522)-(L522+Calc!$J$2:$J$1001))&lt;Calc!$F$2:$F$1001)*((K522+N522)-(L522+Calc!$J$2:$J$1001))+(((K522+N522)-(L522+Calc!$J$2:$J$1001))&gt;=Calc!$F$2:$F$1001)*Calc!$F$2:$F$1001))))</f>
        <v/>
      </c>
      <c r="S522">
        <f>IF(I522=0,0,(MIN(MAX((K522+O522),0),L522)*W522+SUMPRODUCT((Calc!$A$2:$A$1001=A522)*Calc!$G$2:$G$1001*((((K522+O522)-(L522+Calc!$J$2:$J$1001))&gt;0)*(((K522+O522)-(L522+Calc!$J$2:$J$1001))&lt;Calc!$F$2:$F$1001)*((K522+O522)-(L522+Calc!$J$2:$J$1001))+(((K522+O522)-(L522+Calc!$J$2:$J$1001))&gt;=Calc!$F$2:$F$1001)*Calc!$F$2:$F$1001))))</f>
        <v/>
      </c>
      <c r="T522">
        <f>IF(AND(E522=1,B522="RETURN"),Transactions!E522*Transactions!G522,0)</f>
        <v/>
      </c>
      <c r="U522">
        <f>IF(AND(E522=1,B522="EXPENSE"),Transactions!J522,0)</f>
        <v/>
      </c>
      <c r="V522">
        <f>IF(AND(Transactions!A522&lt;&gt;"",E522=0),ROW(),"")</f>
        <v/>
      </c>
      <c r="W522">
        <f>IFERROR(VLOOKUP(A522,Opening!$A:$D,4,0),0)</f>
        <v/>
      </c>
    </row>
    <row r="523">
      <c r="A523">
        <f>IF(Transactions!D523="","",UPPER(TRIM(Transactions!D523)))</f>
        <v/>
      </c>
      <c r="B523">
        <f>IF(Transactions!C523="","",UPPER(TRIM(Transactions!C523)))</f>
        <v/>
      </c>
      <c r="C523">
        <f>IF(Transactions!B523="",0,YEAR(Transactions!B523)*100+MONTH(Transactions!B523))</f>
        <v/>
      </c>
      <c r="D523">
        <f>IF(Transactions!A523="",1,IF(COUNTIF(Transactions!$A$1:A522,Transactions!A523)&gt;0,1,0))</f>
        <v/>
      </c>
      <c r="E523">
        <f>IF(D523=1,0,IF(B523="RETURN",IF(COUNTIFS($A$1:A522,A523,$B$1:B522,"SALE",$E$1:E522,1)&gt;0,1,0),1))</f>
        <v/>
      </c>
      <c r="F523">
        <f>IF(E523=1,IF(B523="RECEIPT",Transactions!E523,IF(AND(B523="RETURN",LOWER(TRIM(Transactions!H523))="resellable"),Transactions!E523,0)),0)</f>
        <v/>
      </c>
      <c r="G523">
        <f>IF(F523&gt;0,IF(B523="RECEIPT",Transactions!F523,IF(_xlfn.MAXIFS($H$2:H523,$A$2:A523,A523)&gt;0,INDEX(Transactions!$F:$F,_xlfn.MAXIFS($H$2:H523,$A$2:A523,A523)),W523)),0)</f>
        <v/>
      </c>
      <c r="H523">
        <f>IF(AND(E523=1,B523="RECEIPT"),ROW(),0)</f>
        <v/>
      </c>
      <c r="I523">
        <f>IF(E523=1,IF(OR(B523="SALE",B523="WRITEOFF"),Transactions!E523,0),0)</f>
        <v/>
      </c>
      <c r="J523">
        <f>SUMIFS($F$1:F522,$A$1:A522,A523)</f>
        <v/>
      </c>
      <c r="K523">
        <f>SUMIFS($I$1:I522,$A$1:A522,A523)</f>
        <v/>
      </c>
      <c r="L523">
        <f>IFERROR(VLOOKUP(A523,Opening!$A:$C,3,0),0)</f>
        <v/>
      </c>
      <c r="M523">
        <f>IF(I523=0,0,MAX(0,MIN(INDEX(Month!H$2:H$13,MATCH($A523,Month!$A$2:$A$13,0))-K523,I523)))</f>
        <v/>
      </c>
      <c r="N523">
        <f>IF(I523=0,0,MAX(0,MIN(INDEX(Month!I$2:I$13,MATCH($A523,Month!$A$2:$A$13,0))-K523,I523)))</f>
        <v/>
      </c>
      <c r="O523">
        <f>IF(I523=0,0,MAX(0,MIN(INDEX(Month!J$2:J$13,MATCH($A523,Month!$A$2:$A$13,0))-K523,I523)))</f>
        <v/>
      </c>
      <c r="P523">
        <f>IF(I523=0,0,(MIN(MAX(K523,0),L523)*W523+SUMPRODUCT((Calc!$A$2:$A$1001=A523)*Calc!$G$2:$G$1001*(((K523-(L523+Calc!$J$2:$J$1001))&gt;0)*((K523-(L523+Calc!$J$2:$J$1001))&lt;Calc!$F$2:$F$1001)*(K523-(L523+Calc!$J$2:$J$1001))+((K523-(L523+Calc!$J$2:$J$1001))&gt;=Calc!$F$2:$F$1001)*Calc!$F$2:$F$1001))))</f>
        <v/>
      </c>
      <c r="Q523">
        <f>IF(I523=0,0,(MIN(MAX((K523+M523),0),L523)*W523+SUMPRODUCT((Calc!$A$2:$A$1001=A523)*Calc!$G$2:$G$1001*((((K523+M523)-(L523+Calc!$J$2:$J$1001))&gt;0)*(((K523+M523)-(L523+Calc!$J$2:$J$1001))&lt;Calc!$F$2:$F$1001)*((K523+M523)-(L523+Calc!$J$2:$J$1001))+(((K523+M523)-(L523+Calc!$J$2:$J$1001))&gt;=Calc!$F$2:$F$1001)*Calc!$F$2:$F$1001))))</f>
        <v/>
      </c>
      <c r="R523">
        <f>IF(I523=0,0,(MIN(MAX((K523+N523),0),L523)*W523+SUMPRODUCT((Calc!$A$2:$A$1001=A523)*Calc!$G$2:$G$1001*((((K523+N523)-(L523+Calc!$J$2:$J$1001))&gt;0)*(((K523+N523)-(L523+Calc!$J$2:$J$1001))&lt;Calc!$F$2:$F$1001)*((K523+N523)-(L523+Calc!$J$2:$J$1001))+(((K523+N523)-(L523+Calc!$J$2:$J$1001))&gt;=Calc!$F$2:$F$1001)*Calc!$F$2:$F$1001))))</f>
        <v/>
      </c>
      <c r="S523">
        <f>IF(I523=0,0,(MIN(MAX((K523+O523),0),L523)*W523+SUMPRODUCT((Calc!$A$2:$A$1001=A523)*Calc!$G$2:$G$1001*((((K523+O523)-(L523+Calc!$J$2:$J$1001))&gt;0)*(((K523+O523)-(L523+Calc!$J$2:$J$1001))&lt;Calc!$F$2:$F$1001)*((K523+O523)-(L523+Calc!$J$2:$J$1001))+(((K523+O523)-(L523+Calc!$J$2:$J$1001))&gt;=Calc!$F$2:$F$1001)*Calc!$F$2:$F$1001))))</f>
        <v/>
      </c>
      <c r="T523">
        <f>IF(AND(E523=1,B523="RETURN"),Transactions!E523*Transactions!G523,0)</f>
        <v/>
      </c>
      <c r="U523">
        <f>IF(AND(E523=1,B523="EXPENSE"),Transactions!J523,0)</f>
        <v/>
      </c>
      <c r="V523">
        <f>IF(AND(Transactions!A523&lt;&gt;"",E523=0),ROW(),"")</f>
        <v/>
      </c>
      <c r="W523">
        <f>IFERROR(VLOOKUP(A523,Opening!$A:$D,4,0),0)</f>
        <v/>
      </c>
    </row>
    <row r="524">
      <c r="A524">
        <f>IF(Transactions!D524="","",UPPER(TRIM(Transactions!D524)))</f>
        <v/>
      </c>
      <c r="B524">
        <f>IF(Transactions!C524="","",UPPER(TRIM(Transactions!C524)))</f>
        <v/>
      </c>
      <c r="C524">
        <f>IF(Transactions!B524="",0,YEAR(Transactions!B524)*100+MONTH(Transactions!B524))</f>
        <v/>
      </c>
      <c r="D524">
        <f>IF(Transactions!A524="",1,IF(COUNTIF(Transactions!$A$1:A523,Transactions!A524)&gt;0,1,0))</f>
        <v/>
      </c>
      <c r="E524">
        <f>IF(D524=1,0,IF(B524="RETURN",IF(COUNTIFS($A$1:A523,A524,$B$1:B523,"SALE",$E$1:E523,1)&gt;0,1,0),1))</f>
        <v/>
      </c>
      <c r="F524">
        <f>IF(E524=1,IF(B524="RECEIPT",Transactions!E524,IF(AND(B524="RETURN",LOWER(TRIM(Transactions!H524))="resellable"),Transactions!E524,0)),0)</f>
        <v/>
      </c>
      <c r="G524">
        <f>IF(F524&gt;0,IF(B524="RECEIPT",Transactions!F524,IF(_xlfn.MAXIFS($H$2:H524,$A$2:A524,A524)&gt;0,INDEX(Transactions!$F:$F,_xlfn.MAXIFS($H$2:H524,$A$2:A524,A524)),W524)),0)</f>
        <v/>
      </c>
      <c r="H524">
        <f>IF(AND(E524=1,B524="RECEIPT"),ROW(),0)</f>
        <v/>
      </c>
      <c r="I524">
        <f>IF(E524=1,IF(OR(B524="SALE",B524="WRITEOFF"),Transactions!E524,0),0)</f>
        <v/>
      </c>
      <c r="J524">
        <f>SUMIFS($F$1:F523,$A$1:A523,A524)</f>
        <v/>
      </c>
      <c r="K524">
        <f>SUMIFS($I$1:I523,$A$1:A523,A524)</f>
        <v/>
      </c>
      <c r="L524">
        <f>IFERROR(VLOOKUP(A524,Opening!$A:$C,3,0),0)</f>
        <v/>
      </c>
      <c r="M524">
        <f>IF(I524=0,0,MAX(0,MIN(INDEX(Month!H$2:H$13,MATCH($A524,Month!$A$2:$A$13,0))-K524,I524)))</f>
        <v/>
      </c>
      <c r="N524">
        <f>IF(I524=0,0,MAX(0,MIN(INDEX(Month!I$2:I$13,MATCH($A524,Month!$A$2:$A$13,0))-K524,I524)))</f>
        <v/>
      </c>
      <c r="O524">
        <f>IF(I524=0,0,MAX(0,MIN(INDEX(Month!J$2:J$13,MATCH($A524,Month!$A$2:$A$13,0))-K524,I524)))</f>
        <v/>
      </c>
      <c r="P524">
        <f>IF(I524=0,0,(MIN(MAX(K524,0),L524)*W524+SUMPRODUCT((Calc!$A$2:$A$1001=A524)*Calc!$G$2:$G$1001*(((K524-(L524+Calc!$J$2:$J$1001))&gt;0)*((K524-(L524+Calc!$J$2:$J$1001))&lt;Calc!$F$2:$F$1001)*(K524-(L524+Calc!$J$2:$J$1001))+((K524-(L524+Calc!$J$2:$J$1001))&gt;=Calc!$F$2:$F$1001)*Calc!$F$2:$F$1001))))</f>
        <v/>
      </c>
      <c r="Q524">
        <f>IF(I524=0,0,(MIN(MAX((K524+M524),0),L524)*W524+SUMPRODUCT((Calc!$A$2:$A$1001=A524)*Calc!$G$2:$G$1001*((((K524+M524)-(L524+Calc!$J$2:$J$1001))&gt;0)*(((K524+M524)-(L524+Calc!$J$2:$J$1001))&lt;Calc!$F$2:$F$1001)*((K524+M524)-(L524+Calc!$J$2:$J$1001))+(((K524+M524)-(L524+Calc!$J$2:$J$1001))&gt;=Calc!$F$2:$F$1001)*Calc!$F$2:$F$1001))))</f>
        <v/>
      </c>
      <c r="R524">
        <f>IF(I524=0,0,(MIN(MAX((K524+N524),0),L524)*W524+SUMPRODUCT((Calc!$A$2:$A$1001=A524)*Calc!$G$2:$G$1001*((((K524+N524)-(L524+Calc!$J$2:$J$1001))&gt;0)*(((K524+N524)-(L524+Calc!$J$2:$J$1001))&lt;Calc!$F$2:$F$1001)*((K524+N524)-(L524+Calc!$J$2:$J$1001))+(((K524+N524)-(L524+Calc!$J$2:$J$1001))&gt;=Calc!$F$2:$F$1001)*Calc!$F$2:$F$1001))))</f>
        <v/>
      </c>
      <c r="S524">
        <f>IF(I524=0,0,(MIN(MAX((K524+O524),0),L524)*W524+SUMPRODUCT((Calc!$A$2:$A$1001=A524)*Calc!$G$2:$G$1001*((((K524+O524)-(L524+Calc!$J$2:$J$1001))&gt;0)*(((K524+O524)-(L524+Calc!$J$2:$J$1001))&lt;Calc!$F$2:$F$1001)*((K524+O524)-(L524+Calc!$J$2:$J$1001))+(((K524+O524)-(L524+Calc!$J$2:$J$1001))&gt;=Calc!$F$2:$F$1001)*Calc!$F$2:$F$1001))))</f>
        <v/>
      </c>
      <c r="T524">
        <f>IF(AND(E524=1,B524="RETURN"),Transactions!E524*Transactions!G524,0)</f>
        <v/>
      </c>
      <c r="U524">
        <f>IF(AND(E524=1,B524="EXPENSE"),Transactions!J524,0)</f>
        <v/>
      </c>
      <c r="V524">
        <f>IF(AND(Transactions!A524&lt;&gt;"",E524=0),ROW(),"")</f>
        <v/>
      </c>
      <c r="W524">
        <f>IFERROR(VLOOKUP(A524,Opening!$A:$D,4,0),0)</f>
        <v/>
      </c>
    </row>
    <row r="525">
      <c r="A525">
        <f>IF(Transactions!D525="","",UPPER(TRIM(Transactions!D525)))</f>
        <v/>
      </c>
      <c r="B525">
        <f>IF(Transactions!C525="","",UPPER(TRIM(Transactions!C525)))</f>
        <v/>
      </c>
      <c r="C525">
        <f>IF(Transactions!B525="",0,YEAR(Transactions!B525)*100+MONTH(Transactions!B525))</f>
        <v/>
      </c>
      <c r="D525">
        <f>IF(Transactions!A525="",1,IF(COUNTIF(Transactions!$A$1:A524,Transactions!A525)&gt;0,1,0))</f>
        <v/>
      </c>
      <c r="E525">
        <f>IF(D525=1,0,IF(B525="RETURN",IF(COUNTIFS($A$1:A524,A525,$B$1:B524,"SALE",$E$1:E524,1)&gt;0,1,0),1))</f>
        <v/>
      </c>
      <c r="F525">
        <f>IF(E525=1,IF(B525="RECEIPT",Transactions!E525,IF(AND(B525="RETURN",LOWER(TRIM(Transactions!H525))="resellable"),Transactions!E525,0)),0)</f>
        <v/>
      </c>
      <c r="G525">
        <f>IF(F525&gt;0,IF(B525="RECEIPT",Transactions!F525,IF(_xlfn.MAXIFS($H$2:H525,$A$2:A525,A525)&gt;0,INDEX(Transactions!$F:$F,_xlfn.MAXIFS($H$2:H525,$A$2:A525,A525)),W525)),0)</f>
        <v/>
      </c>
      <c r="H525">
        <f>IF(AND(E525=1,B525="RECEIPT"),ROW(),0)</f>
        <v/>
      </c>
      <c r="I525">
        <f>IF(E525=1,IF(OR(B525="SALE",B525="WRITEOFF"),Transactions!E525,0),0)</f>
        <v/>
      </c>
      <c r="J525">
        <f>SUMIFS($F$1:F524,$A$1:A524,A525)</f>
        <v/>
      </c>
      <c r="K525">
        <f>SUMIFS($I$1:I524,$A$1:A524,A525)</f>
        <v/>
      </c>
      <c r="L525">
        <f>IFERROR(VLOOKUP(A525,Opening!$A:$C,3,0),0)</f>
        <v/>
      </c>
      <c r="M525">
        <f>IF(I525=0,0,MAX(0,MIN(INDEX(Month!H$2:H$13,MATCH($A525,Month!$A$2:$A$13,0))-K525,I525)))</f>
        <v/>
      </c>
      <c r="N525">
        <f>IF(I525=0,0,MAX(0,MIN(INDEX(Month!I$2:I$13,MATCH($A525,Month!$A$2:$A$13,0))-K525,I525)))</f>
        <v/>
      </c>
      <c r="O525">
        <f>IF(I525=0,0,MAX(0,MIN(INDEX(Month!J$2:J$13,MATCH($A525,Month!$A$2:$A$13,0))-K525,I525)))</f>
        <v/>
      </c>
      <c r="P525">
        <f>IF(I525=0,0,(MIN(MAX(K525,0),L525)*W525+SUMPRODUCT((Calc!$A$2:$A$1001=A525)*Calc!$G$2:$G$1001*(((K525-(L525+Calc!$J$2:$J$1001))&gt;0)*((K525-(L525+Calc!$J$2:$J$1001))&lt;Calc!$F$2:$F$1001)*(K525-(L525+Calc!$J$2:$J$1001))+((K525-(L525+Calc!$J$2:$J$1001))&gt;=Calc!$F$2:$F$1001)*Calc!$F$2:$F$1001))))</f>
        <v/>
      </c>
      <c r="Q525">
        <f>IF(I525=0,0,(MIN(MAX((K525+M525),0),L525)*W525+SUMPRODUCT((Calc!$A$2:$A$1001=A525)*Calc!$G$2:$G$1001*((((K525+M525)-(L525+Calc!$J$2:$J$1001))&gt;0)*(((K525+M525)-(L525+Calc!$J$2:$J$1001))&lt;Calc!$F$2:$F$1001)*((K525+M525)-(L525+Calc!$J$2:$J$1001))+(((K525+M525)-(L525+Calc!$J$2:$J$1001))&gt;=Calc!$F$2:$F$1001)*Calc!$F$2:$F$1001))))</f>
        <v/>
      </c>
      <c r="R525">
        <f>IF(I525=0,0,(MIN(MAX((K525+N525),0),L525)*W525+SUMPRODUCT((Calc!$A$2:$A$1001=A525)*Calc!$G$2:$G$1001*((((K525+N525)-(L525+Calc!$J$2:$J$1001))&gt;0)*(((K525+N525)-(L525+Calc!$J$2:$J$1001))&lt;Calc!$F$2:$F$1001)*((K525+N525)-(L525+Calc!$J$2:$J$1001))+(((K525+N525)-(L525+Calc!$J$2:$J$1001))&gt;=Calc!$F$2:$F$1001)*Calc!$F$2:$F$1001))))</f>
        <v/>
      </c>
      <c r="S525">
        <f>IF(I525=0,0,(MIN(MAX((K525+O525),0),L525)*W525+SUMPRODUCT((Calc!$A$2:$A$1001=A525)*Calc!$G$2:$G$1001*((((K525+O525)-(L525+Calc!$J$2:$J$1001))&gt;0)*(((K525+O525)-(L525+Calc!$J$2:$J$1001))&lt;Calc!$F$2:$F$1001)*((K525+O525)-(L525+Calc!$J$2:$J$1001))+(((K525+O525)-(L525+Calc!$J$2:$J$1001))&gt;=Calc!$F$2:$F$1001)*Calc!$F$2:$F$1001))))</f>
        <v/>
      </c>
      <c r="T525">
        <f>IF(AND(E525=1,B525="RETURN"),Transactions!E525*Transactions!G525,0)</f>
        <v/>
      </c>
      <c r="U525">
        <f>IF(AND(E525=1,B525="EXPENSE"),Transactions!J525,0)</f>
        <v/>
      </c>
      <c r="V525">
        <f>IF(AND(Transactions!A525&lt;&gt;"",E525=0),ROW(),"")</f>
        <v/>
      </c>
      <c r="W525">
        <f>IFERROR(VLOOKUP(A525,Opening!$A:$D,4,0),0)</f>
        <v/>
      </c>
    </row>
    <row r="526">
      <c r="A526">
        <f>IF(Transactions!D526="","",UPPER(TRIM(Transactions!D526)))</f>
        <v/>
      </c>
      <c r="B526">
        <f>IF(Transactions!C526="","",UPPER(TRIM(Transactions!C526)))</f>
        <v/>
      </c>
      <c r="C526">
        <f>IF(Transactions!B526="",0,YEAR(Transactions!B526)*100+MONTH(Transactions!B526))</f>
        <v/>
      </c>
      <c r="D526">
        <f>IF(Transactions!A526="",1,IF(COUNTIF(Transactions!$A$1:A525,Transactions!A526)&gt;0,1,0))</f>
        <v/>
      </c>
      <c r="E526">
        <f>IF(D526=1,0,IF(B526="RETURN",IF(COUNTIFS($A$1:A525,A526,$B$1:B525,"SALE",$E$1:E525,1)&gt;0,1,0),1))</f>
        <v/>
      </c>
      <c r="F526">
        <f>IF(E526=1,IF(B526="RECEIPT",Transactions!E526,IF(AND(B526="RETURN",LOWER(TRIM(Transactions!H526))="resellable"),Transactions!E526,0)),0)</f>
        <v/>
      </c>
      <c r="G526">
        <f>IF(F526&gt;0,IF(B526="RECEIPT",Transactions!F526,IF(_xlfn.MAXIFS($H$2:H526,$A$2:A526,A526)&gt;0,INDEX(Transactions!$F:$F,_xlfn.MAXIFS($H$2:H526,$A$2:A526,A526)),W526)),0)</f>
        <v/>
      </c>
      <c r="H526">
        <f>IF(AND(E526=1,B526="RECEIPT"),ROW(),0)</f>
        <v/>
      </c>
      <c r="I526">
        <f>IF(E526=1,IF(OR(B526="SALE",B526="WRITEOFF"),Transactions!E526,0),0)</f>
        <v/>
      </c>
      <c r="J526">
        <f>SUMIFS($F$1:F525,$A$1:A525,A526)</f>
        <v/>
      </c>
      <c r="K526">
        <f>SUMIFS($I$1:I525,$A$1:A525,A526)</f>
        <v/>
      </c>
      <c r="L526">
        <f>IFERROR(VLOOKUP(A526,Opening!$A:$C,3,0),0)</f>
        <v/>
      </c>
      <c r="M526">
        <f>IF(I526=0,0,MAX(0,MIN(INDEX(Month!H$2:H$13,MATCH($A526,Month!$A$2:$A$13,0))-K526,I526)))</f>
        <v/>
      </c>
      <c r="N526">
        <f>IF(I526=0,0,MAX(0,MIN(INDEX(Month!I$2:I$13,MATCH($A526,Month!$A$2:$A$13,0))-K526,I526)))</f>
        <v/>
      </c>
      <c r="O526">
        <f>IF(I526=0,0,MAX(0,MIN(INDEX(Month!J$2:J$13,MATCH($A526,Month!$A$2:$A$13,0))-K526,I526)))</f>
        <v/>
      </c>
      <c r="P526">
        <f>IF(I526=0,0,(MIN(MAX(K526,0),L526)*W526+SUMPRODUCT((Calc!$A$2:$A$1001=A526)*Calc!$G$2:$G$1001*(((K526-(L526+Calc!$J$2:$J$1001))&gt;0)*((K526-(L526+Calc!$J$2:$J$1001))&lt;Calc!$F$2:$F$1001)*(K526-(L526+Calc!$J$2:$J$1001))+((K526-(L526+Calc!$J$2:$J$1001))&gt;=Calc!$F$2:$F$1001)*Calc!$F$2:$F$1001))))</f>
        <v/>
      </c>
      <c r="Q526">
        <f>IF(I526=0,0,(MIN(MAX((K526+M526),0),L526)*W526+SUMPRODUCT((Calc!$A$2:$A$1001=A526)*Calc!$G$2:$G$1001*((((K526+M526)-(L526+Calc!$J$2:$J$1001))&gt;0)*(((K526+M526)-(L526+Calc!$J$2:$J$1001))&lt;Calc!$F$2:$F$1001)*((K526+M526)-(L526+Calc!$J$2:$J$1001))+(((K526+M526)-(L526+Calc!$J$2:$J$1001))&gt;=Calc!$F$2:$F$1001)*Calc!$F$2:$F$1001))))</f>
        <v/>
      </c>
      <c r="R526">
        <f>IF(I526=0,0,(MIN(MAX((K526+N526),0),L526)*W526+SUMPRODUCT((Calc!$A$2:$A$1001=A526)*Calc!$G$2:$G$1001*((((K526+N526)-(L526+Calc!$J$2:$J$1001))&gt;0)*(((K526+N526)-(L526+Calc!$J$2:$J$1001))&lt;Calc!$F$2:$F$1001)*((K526+N526)-(L526+Calc!$J$2:$J$1001))+(((K526+N526)-(L526+Calc!$J$2:$J$1001))&gt;=Calc!$F$2:$F$1001)*Calc!$F$2:$F$1001))))</f>
        <v/>
      </c>
      <c r="S526">
        <f>IF(I526=0,0,(MIN(MAX((K526+O526),0),L526)*W526+SUMPRODUCT((Calc!$A$2:$A$1001=A526)*Calc!$G$2:$G$1001*((((K526+O526)-(L526+Calc!$J$2:$J$1001))&gt;0)*(((K526+O526)-(L526+Calc!$J$2:$J$1001))&lt;Calc!$F$2:$F$1001)*((K526+O526)-(L526+Calc!$J$2:$J$1001))+(((K526+O526)-(L526+Calc!$J$2:$J$1001))&gt;=Calc!$F$2:$F$1001)*Calc!$F$2:$F$1001))))</f>
        <v/>
      </c>
      <c r="T526">
        <f>IF(AND(E526=1,B526="RETURN"),Transactions!E526*Transactions!G526,0)</f>
        <v/>
      </c>
      <c r="U526">
        <f>IF(AND(E526=1,B526="EXPENSE"),Transactions!J526,0)</f>
        <v/>
      </c>
      <c r="V526">
        <f>IF(AND(Transactions!A526&lt;&gt;"",E526=0),ROW(),"")</f>
        <v/>
      </c>
      <c r="W526">
        <f>IFERROR(VLOOKUP(A526,Opening!$A:$D,4,0),0)</f>
        <v/>
      </c>
    </row>
    <row r="527">
      <c r="A527">
        <f>IF(Transactions!D527="","",UPPER(TRIM(Transactions!D527)))</f>
        <v/>
      </c>
      <c r="B527">
        <f>IF(Transactions!C527="","",UPPER(TRIM(Transactions!C527)))</f>
        <v/>
      </c>
      <c r="C527">
        <f>IF(Transactions!B527="",0,YEAR(Transactions!B527)*100+MONTH(Transactions!B527))</f>
        <v/>
      </c>
      <c r="D527">
        <f>IF(Transactions!A527="",1,IF(COUNTIF(Transactions!$A$1:A526,Transactions!A527)&gt;0,1,0))</f>
        <v/>
      </c>
      <c r="E527">
        <f>IF(D527=1,0,IF(B527="RETURN",IF(COUNTIFS($A$1:A526,A527,$B$1:B526,"SALE",$E$1:E526,1)&gt;0,1,0),1))</f>
        <v/>
      </c>
      <c r="F527">
        <f>IF(E527=1,IF(B527="RECEIPT",Transactions!E527,IF(AND(B527="RETURN",LOWER(TRIM(Transactions!H527))="resellable"),Transactions!E527,0)),0)</f>
        <v/>
      </c>
      <c r="G527">
        <f>IF(F527&gt;0,IF(B527="RECEIPT",Transactions!F527,IF(_xlfn.MAXIFS($H$2:H527,$A$2:A527,A527)&gt;0,INDEX(Transactions!$F:$F,_xlfn.MAXIFS($H$2:H527,$A$2:A527,A527)),W527)),0)</f>
        <v/>
      </c>
      <c r="H527">
        <f>IF(AND(E527=1,B527="RECEIPT"),ROW(),0)</f>
        <v/>
      </c>
      <c r="I527">
        <f>IF(E527=1,IF(OR(B527="SALE",B527="WRITEOFF"),Transactions!E527,0),0)</f>
        <v/>
      </c>
      <c r="J527">
        <f>SUMIFS($F$1:F526,$A$1:A526,A527)</f>
        <v/>
      </c>
      <c r="K527">
        <f>SUMIFS($I$1:I526,$A$1:A526,A527)</f>
        <v/>
      </c>
      <c r="L527">
        <f>IFERROR(VLOOKUP(A527,Opening!$A:$C,3,0),0)</f>
        <v/>
      </c>
      <c r="M527">
        <f>IF(I527=0,0,MAX(0,MIN(INDEX(Month!H$2:H$13,MATCH($A527,Month!$A$2:$A$13,0))-K527,I527)))</f>
        <v/>
      </c>
      <c r="N527">
        <f>IF(I527=0,0,MAX(0,MIN(INDEX(Month!I$2:I$13,MATCH($A527,Month!$A$2:$A$13,0))-K527,I527)))</f>
        <v/>
      </c>
      <c r="O527">
        <f>IF(I527=0,0,MAX(0,MIN(INDEX(Month!J$2:J$13,MATCH($A527,Month!$A$2:$A$13,0))-K527,I527)))</f>
        <v/>
      </c>
      <c r="P527">
        <f>IF(I527=0,0,(MIN(MAX(K527,0),L527)*W527+SUMPRODUCT((Calc!$A$2:$A$1001=A527)*Calc!$G$2:$G$1001*(((K527-(L527+Calc!$J$2:$J$1001))&gt;0)*((K527-(L527+Calc!$J$2:$J$1001))&lt;Calc!$F$2:$F$1001)*(K527-(L527+Calc!$J$2:$J$1001))+((K527-(L527+Calc!$J$2:$J$1001))&gt;=Calc!$F$2:$F$1001)*Calc!$F$2:$F$1001))))</f>
        <v/>
      </c>
      <c r="Q527">
        <f>IF(I527=0,0,(MIN(MAX((K527+M527),0),L527)*W527+SUMPRODUCT((Calc!$A$2:$A$1001=A527)*Calc!$G$2:$G$1001*((((K527+M527)-(L527+Calc!$J$2:$J$1001))&gt;0)*(((K527+M527)-(L527+Calc!$J$2:$J$1001))&lt;Calc!$F$2:$F$1001)*((K527+M527)-(L527+Calc!$J$2:$J$1001))+(((K527+M527)-(L527+Calc!$J$2:$J$1001))&gt;=Calc!$F$2:$F$1001)*Calc!$F$2:$F$1001))))</f>
        <v/>
      </c>
      <c r="R527">
        <f>IF(I527=0,0,(MIN(MAX((K527+N527),0),L527)*W527+SUMPRODUCT((Calc!$A$2:$A$1001=A527)*Calc!$G$2:$G$1001*((((K527+N527)-(L527+Calc!$J$2:$J$1001))&gt;0)*(((K527+N527)-(L527+Calc!$J$2:$J$1001))&lt;Calc!$F$2:$F$1001)*((K527+N527)-(L527+Calc!$J$2:$J$1001))+(((K527+N527)-(L527+Calc!$J$2:$J$1001))&gt;=Calc!$F$2:$F$1001)*Calc!$F$2:$F$1001))))</f>
        <v/>
      </c>
      <c r="S527">
        <f>IF(I527=0,0,(MIN(MAX((K527+O527),0),L527)*W527+SUMPRODUCT((Calc!$A$2:$A$1001=A527)*Calc!$G$2:$G$1001*((((K527+O527)-(L527+Calc!$J$2:$J$1001))&gt;0)*(((K527+O527)-(L527+Calc!$J$2:$J$1001))&lt;Calc!$F$2:$F$1001)*((K527+O527)-(L527+Calc!$J$2:$J$1001))+(((K527+O527)-(L527+Calc!$J$2:$J$1001))&gt;=Calc!$F$2:$F$1001)*Calc!$F$2:$F$1001))))</f>
        <v/>
      </c>
      <c r="T527">
        <f>IF(AND(E527=1,B527="RETURN"),Transactions!E527*Transactions!G527,0)</f>
        <v/>
      </c>
      <c r="U527">
        <f>IF(AND(E527=1,B527="EXPENSE"),Transactions!J527,0)</f>
        <v/>
      </c>
      <c r="V527">
        <f>IF(AND(Transactions!A527&lt;&gt;"",E527=0),ROW(),"")</f>
        <v/>
      </c>
      <c r="W527">
        <f>IFERROR(VLOOKUP(A527,Opening!$A:$D,4,0),0)</f>
        <v/>
      </c>
    </row>
    <row r="528">
      <c r="A528">
        <f>IF(Transactions!D528="","",UPPER(TRIM(Transactions!D528)))</f>
        <v/>
      </c>
      <c r="B528">
        <f>IF(Transactions!C528="","",UPPER(TRIM(Transactions!C528)))</f>
        <v/>
      </c>
      <c r="C528">
        <f>IF(Transactions!B528="",0,YEAR(Transactions!B528)*100+MONTH(Transactions!B528))</f>
        <v/>
      </c>
      <c r="D528">
        <f>IF(Transactions!A528="",1,IF(COUNTIF(Transactions!$A$1:A527,Transactions!A528)&gt;0,1,0))</f>
        <v/>
      </c>
      <c r="E528">
        <f>IF(D528=1,0,IF(B528="RETURN",IF(COUNTIFS($A$1:A527,A528,$B$1:B527,"SALE",$E$1:E527,1)&gt;0,1,0),1))</f>
        <v/>
      </c>
      <c r="F528">
        <f>IF(E528=1,IF(B528="RECEIPT",Transactions!E528,IF(AND(B528="RETURN",LOWER(TRIM(Transactions!H528))="resellable"),Transactions!E528,0)),0)</f>
        <v/>
      </c>
      <c r="G528">
        <f>IF(F528&gt;0,IF(B528="RECEIPT",Transactions!F528,IF(_xlfn.MAXIFS($H$2:H528,$A$2:A528,A528)&gt;0,INDEX(Transactions!$F:$F,_xlfn.MAXIFS($H$2:H528,$A$2:A528,A528)),W528)),0)</f>
        <v/>
      </c>
      <c r="H528">
        <f>IF(AND(E528=1,B528="RECEIPT"),ROW(),0)</f>
        <v/>
      </c>
      <c r="I528">
        <f>IF(E528=1,IF(OR(B528="SALE",B528="WRITEOFF"),Transactions!E528,0),0)</f>
        <v/>
      </c>
      <c r="J528">
        <f>SUMIFS($F$1:F527,$A$1:A527,A528)</f>
        <v/>
      </c>
      <c r="K528">
        <f>SUMIFS($I$1:I527,$A$1:A527,A528)</f>
        <v/>
      </c>
      <c r="L528">
        <f>IFERROR(VLOOKUP(A528,Opening!$A:$C,3,0),0)</f>
        <v/>
      </c>
      <c r="M528">
        <f>IF(I528=0,0,MAX(0,MIN(INDEX(Month!H$2:H$13,MATCH($A528,Month!$A$2:$A$13,0))-K528,I528)))</f>
        <v/>
      </c>
      <c r="N528">
        <f>IF(I528=0,0,MAX(0,MIN(INDEX(Month!I$2:I$13,MATCH($A528,Month!$A$2:$A$13,0))-K528,I528)))</f>
        <v/>
      </c>
      <c r="O528">
        <f>IF(I528=0,0,MAX(0,MIN(INDEX(Month!J$2:J$13,MATCH($A528,Month!$A$2:$A$13,0))-K528,I528)))</f>
        <v/>
      </c>
      <c r="P528">
        <f>IF(I528=0,0,(MIN(MAX(K528,0),L528)*W528+SUMPRODUCT((Calc!$A$2:$A$1001=A528)*Calc!$G$2:$G$1001*(((K528-(L528+Calc!$J$2:$J$1001))&gt;0)*((K528-(L528+Calc!$J$2:$J$1001))&lt;Calc!$F$2:$F$1001)*(K528-(L528+Calc!$J$2:$J$1001))+((K528-(L528+Calc!$J$2:$J$1001))&gt;=Calc!$F$2:$F$1001)*Calc!$F$2:$F$1001))))</f>
        <v/>
      </c>
      <c r="Q528">
        <f>IF(I528=0,0,(MIN(MAX((K528+M528),0),L528)*W528+SUMPRODUCT((Calc!$A$2:$A$1001=A528)*Calc!$G$2:$G$1001*((((K528+M528)-(L528+Calc!$J$2:$J$1001))&gt;0)*(((K528+M528)-(L528+Calc!$J$2:$J$1001))&lt;Calc!$F$2:$F$1001)*((K528+M528)-(L528+Calc!$J$2:$J$1001))+(((K528+M528)-(L528+Calc!$J$2:$J$1001))&gt;=Calc!$F$2:$F$1001)*Calc!$F$2:$F$1001))))</f>
        <v/>
      </c>
      <c r="R528">
        <f>IF(I528=0,0,(MIN(MAX((K528+N528),0),L528)*W528+SUMPRODUCT((Calc!$A$2:$A$1001=A528)*Calc!$G$2:$G$1001*((((K528+N528)-(L528+Calc!$J$2:$J$1001))&gt;0)*(((K528+N528)-(L528+Calc!$J$2:$J$1001))&lt;Calc!$F$2:$F$1001)*((K528+N528)-(L528+Calc!$J$2:$J$1001))+(((K528+N528)-(L528+Calc!$J$2:$J$1001))&gt;=Calc!$F$2:$F$1001)*Calc!$F$2:$F$1001))))</f>
        <v/>
      </c>
      <c r="S528">
        <f>IF(I528=0,0,(MIN(MAX((K528+O528),0),L528)*W528+SUMPRODUCT((Calc!$A$2:$A$1001=A528)*Calc!$G$2:$G$1001*((((K528+O528)-(L528+Calc!$J$2:$J$1001))&gt;0)*(((K528+O528)-(L528+Calc!$J$2:$J$1001))&lt;Calc!$F$2:$F$1001)*((K528+O528)-(L528+Calc!$J$2:$J$1001))+(((K528+O528)-(L528+Calc!$J$2:$J$1001))&gt;=Calc!$F$2:$F$1001)*Calc!$F$2:$F$1001))))</f>
        <v/>
      </c>
      <c r="T528">
        <f>IF(AND(E528=1,B528="RETURN"),Transactions!E528*Transactions!G528,0)</f>
        <v/>
      </c>
      <c r="U528">
        <f>IF(AND(E528=1,B528="EXPENSE"),Transactions!J528,0)</f>
        <v/>
      </c>
      <c r="V528">
        <f>IF(AND(Transactions!A528&lt;&gt;"",E528=0),ROW(),"")</f>
        <v/>
      </c>
      <c r="W528">
        <f>IFERROR(VLOOKUP(A528,Opening!$A:$D,4,0),0)</f>
        <v/>
      </c>
    </row>
    <row r="529">
      <c r="A529">
        <f>IF(Transactions!D529="","",UPPER(TRIM(Transactions!D529)))</f>
        <v/>
      </c>
      <c r="B529">
        <f>IF(Transactions!C529="","",UPPER(TRIM(Transactions!C529)))</f>
        <v/>
      </c>
      <c r="C529">
        <f>IF(Transactions!B529="",0,YEAR(Transactions!B529)*100+MONTH(Transactions!B529))</f>
        <v/>
      </c>
      <c r="D529">
        <f>IF(Transactions!A529="",1,IF(COUNTIF(Transactions!$A$1:A528,Transactions!A529)&gt;0,1,0))</f>
        <v/>
      </c>
      <c r="E529">
        <f>IF(D529=1,0,IF(B529="RETURN",IF(COUNTIFS($A$1:A528,A529,$B$1:B528,"SALE",$E$1:E528,1)&gt;0,1,0),1))</f>
        <v/>
      </c>
      <c r="F529">
        <f>IF(E529=1,IF(B529="RECEIPT",Transactions!E529,IF(AND(B529="RETURN",LOWER(TRIM(Transactions!H529))="resellable"),Transactions!E529,0)),0)</f>
        <v/>
      </c>
      <c r="G529">
        <f>IF(F529&gt;0,IF(B529="RECEIPT",Transactions!F529,IF(_xlfn.MAXIFS($H$2:H529,$A$2:A529,A529)&gt;0,INDEX(Transactions!$F:$F,_xlfn.MAXIFS($H$2:H529,$A$2:A529,A529)),W529)),0)</f>
        <v/>
      </c>
      <c r="H529">
        <f>IF(AND(E529=1,B529="RECEIPT"),ROW(),0)</f>
        <v/>
      </c>
      <c r="I529">
        <f>IF(E529=1,IF(OR(B529="SALE",B529="WRITEOFF"),Transactions!E529,0),0)</f>
        <v/>
      </c>
      <c r="J529">
        <f>SUMIFS($F$1:F528,$A$1:A528,A529)</f>
        <v/>
      </c>
      <c r="K529">
        <f>SUMIFS($I$1:I528,$A$1:A528,A529)</f>
        <v/>
      </c>
      <c r="L529">
        <f>IFERROR(VLOOKUP(A529,Opening!$A:$C,3,0),0)</f>
        <v/>
      </c>
      <c r="M529">
        <f>IF(I529=0,0,MAX(0,MIN(INDEX(Month!H$2:H$13,MATCH($A529,Month!$A$2:$A$13,0))-K529,I529)))</f>
        <v/>
      </c>
      <c r="N529">
        <f>IF(I529=0,0,MAX(0,MIN(INDEX(Month!I$2:I$13,MATCH($A529,Month!$A$2:$A$13,0))-K529,I529)))</f>
        <v/>
      </c>
      <c r="O529">
        <f>IF(I529=0,0,MAX(0,MIN(INDEX(Month!J$2:J$13,MATCH($A529,Month!$A$2:$A$13,0))-K529,I529)))</f>
        <v/>
      </c>
      <c r="P529">
        <f>IF(I529=0,0,(MIN(MAX(K529,0),L529)*W529+SUMPRODUCT((Calc!$A$2:$A$1001=A529)*Calc!$G$2:$G$1001*(((K529-(L529+Calc!$J$2:$J$1001))&gt;0)*((K529-(L529+Calc!$J$2:$J$1001))&lt;Calc!$F$2:$F$1001)*(K529-(L529+Calc!$J$2:$J$1001))+((K529-(L529+Calc!$J$2:$J$1001))&gt;=Calc!$F$2:$F$1001)*Calc!$F$2:$F$1001))))</f>
        <v/>
      </c>
      <c r="Q529">
        <f>IF(I529=0,0,(MIN(MAX((K529+M529),0),L529)*W529+SUMPRODUCT((Calc!$A$2:$A$1001=A529)*Calc!$G$2:$G$1001*((((K529+M529)-(L529+Calc!$J$2:$J$1001))&gt;0)*(((K529+M529)-(L529+Calc!$J$2:$J$1001))&lt;Calc!$F$2:$F$1001)*((K529+M529)-(L529+Calc!$J$2:$J$1001))+(((K529+M529)-(L529+Calc!$J$2:$J$1001))&gt;=Calc!$F$2:$F$1001)*Calc!$F$2:$F$1001))))</f>
        <v/>
      </c>
      <c r="R529">
        <f>IF(I529=0,0,(MIN(MAX((K529+N529),0),L529)*W529+SUMPRODUCT((Calc!$A$2:$A$1001=A529)*Calc!$G$2:$G$1001*((((K529+N529)-(L529+Calc!$J$2:$J$1001))&gt;0)*(((K529+N529)-(L529+Calc!$J$2:$J$1001))&lt;Calc!$F$2:$F$1001)*((K529+N529)-(L529+Calc!$J$2:$J$1001))+(((K529+N529)-(L529+Calc!$J$2:$J$1001))&gt;=Calc!$F$2:$F$1001)*Calc!$F$2:$F$1001))))</f>
        <v/>
      </c>
      <c r="S529">
        <f>IF(I529=0,0,(MIN(MAX((K529+O529),0),L529)*W529+SUMPRODUCT((Calc!$A$2:$A$1001=A529)*Calc!$G$2:$G$1001*((((K529+O529)-(L529+Calc!$J$2:$J$1001))&gt;0)*(((K529+O529)-(L529+Calc!$J$2:$J$1001))&lt;Calc!$F$2:$F$1001)*((K529+O529)-(L529+Calc!$J$2:$J$1001))+(((K529+O529)-(L529+Calc!$J$2:$J$1001))&gt;=Calc!$F$2:$F$1001)*Calc!$F$2:$F$1001))))</f>
        <v/>
      </c>
      <c r="T529">
        <f>IF(AND(E529=1,B529="RETURN"),Transactions!E529*Transactions!G529,0)</f>
        <v/>
      </c>
      <c r="U529">
        <f>IF(AND(E529=1,B529="EXPENSE"),Transactions!J529,0)</f>
        <v/>
      </c>
      <c r="V529">
        <f>IF(AND(Transactions!A529&lt;&gt;"",E529=0),ROW(),"")</f>
        <v/>
      </c>
      <c r="W529">
        <f>IFERROR(VLOOKUP(A529,Opening!$A:$D,4,0),0)</f>
        <v/>
      </c>
    </row>
    <row r="530">
      <c r="A530">
        <f>IF(Transactions!D530="","",UPPER(TRIM(Transactions!D530)))</f>
        <v/>
      </c>
      <c r="B530">
        <f>IF(Transactions!C530="","",UPPER(TRIM(Transactions!C530)))</f>
        <v/>
      </c>
      <c r="C530">
        <f>IF(Transactions!B530="",0,YEAR(Transactions!B530)*100+MONTH(Transactions!B530))</f>
        <v/>
      </c>
      <c r="D530">
        <f>IF(Transactions!A530="",1,IF(COUNTIF(Transactions!$A$1:A529,Transactions!A530)&gt;0,1,0))</f>
        <v/>
      </c>
      <c r="E530">
        <f>IF(D530=1,0,IF(B530="RETURN",IF(COUNTIFS($A$1:A529,A530,$B$1:B529,"SALE",$E$1:E529,1)&gt;0,1,0),1))</f>
        <v/>
      </c>
      <c r="F530">
        <f>IF(E530=1,IF(B530="RECEIPT",Transactions!E530,IF(AND(B530="RETURN",LOWER(TRIM(Transactions!H530))="resellable"),Transactions!E530,0)),0)</f>
        <v/>
      </c>
      <c r="G530">
        <f>IF(F530&gt;0,IF(B530="RECEIPT",Transactions!F530,IF(_xlfn.MAXIFS($H$2:H530,$A$2:A530,A530)&gt;0,INDEX(Transactions!$F:$F,_xlfn.MAXIFS($H$2:H530,$A$2:A530,A530)),W530)),0)</f>
        <v/>
      </c>
      <c r="H530">
        <f>IF(AND(E530=1,B530="RECEIPT"),ROW(),0)</f>
        <v/>
      </c>
      <c r="I530">
        <f>IF(E530=1,IF(OR(B530="SALE",B530="WRITEOFF"),Transactions!E530,0),0)</f>
        <v/>
      </c>
      <c r="J530">
        <f>SUMIFS($F$1:F529,$A$1:A529,A530)</f>
        <v/>
      </c>
      <c r="K530">
        <f>SUMIFS($I$1:I529,$A$1:A529,A530)</f>
        <v/>
      </c>
      <c r="L530">
        <f>IFERROR(VLOOKUP(A530,Opening!$A:$C,3,0),0)</f>
        <v/>
      </c>
      <c r="M530">
        <f>IF(I530=0,0,MAX(0,MIN(INDEX(Month!H$2:H$13,MATCH($A530,Month!$A$2:$A$13,0))-K530,I530)))</f>
        <v/>
      </c>
      <c r="N530">
        <f>IF(I530=0,0,MAX(0,MIN(INDEX(Month!I$2:I$13,MATCH($A530,Month!$A$2:$A$13,0))-K530,I530)))</f>
        <v/>
      </c>
      <c r="O530">
        <f>IF(I530=0,0,MAX(0,MIN(INDEX(Month!J$2:J$13,MATCH($A530,Month!$A$2:$A$13,0))-K530,I530)))</f>
        <v/>
      </c>
      <c r="P530">
        <f>IF(I530=0,0,(MIN(MAX(K530,0),L530)*W530+SUMPRODUCT((Calc!$A$2:$A$1001=A530)*Calc!$G$2:$G$1001*(((K530-(L530+Calc!$J$2:$J$1001))&gt;0)*((K530-(L530+Calc!$J$2:$J$1001))&lt;Calc!$F$2:$F$1001)*(K530-(L530+Calc!$J$2:$J$1001))+((K530-(L530+Calc!$J$2:$J$1001))&gt;=Calc!$F$2:$F$1001)*Calc!$F$2:$F$1001))))</f>
        <v/>
      </c>
      <c r="Q530">
        <f>IF(I530=0,0,(MIN(MAX((K530+M530),0),L530)*W530+SUMPRODUCT((Calc!$A$2:$A$1001=A530)*Calc!$G$2:$G$1001*((((K530+M530)-(L530+Calc!$J$2:$J$1001))&gt;0)*(((K530+M530)-(L530+Calc!$J$2:$J$1001))&lt;Calc!$F$2:$F$1001)*((K530+M530)-(L530+Calc!$J$2:$J$1001))+(((K530+M530)-(L530+Calc!$J$2:$J$1001))&gt;=Calc!$F$2:$F$1001)*Calc!$F$2:$F$1001))))</f>
        <v/>
      </c>
      <c r="R530">
        <f>IF(I530=0,0,(MIN(MAX((K530+N530),0),L530)*W530+SUMPRODUCT((Calc!$A$2:$A$1001=A530)*Calc!$G$2:$G$1001*((((K530+N530)-(L530+Calc!$J$2:$J$1001))&gt;0)*(((K530+N530)-(L530+Calc!$J$2:$J$1001))&lt;Calc!$F$2:$F$1001)*((K530+N530)-(L530+Calc!$J$2:$J$1001))+(((K530+N530)-(L530+Calc!$J$2:$J$1001))&gt;=Calc!$F$2:$F$1001)*Calc!$F$2:$F$1001))))</f>
        <v/>
      </c>
      <c r="S530">
        <f>IF(I530=0,0,(MIN(MAX((K530+O530),0),L530)*W530+SUMPRODUCT((Calc!$A$2:$A$1001=A530)*Calc!$G$2:$G$1001*((((K530+O530)-(L530+Calc!$J$2:$J$1001))&gt;0)*(((K530+O530)-(L530+Calc!$J$2:$J$1001))&lt;Calc!$F$2:$F$1001)*((K530+O530)-(L530+Calc!$J$2:$J$1001))+(((K530+O530)-(L530+Calc!$J$2:$J$1001))&gt;=Calc!$F$2:$F$1001)*Calc!$F$2:$F$1001))))</f>
        <v/>
      </c>
      <c r="T530">
        <f>IF(AND(E530=1,B530="RETURN"),Transactions!E530*Transactions!G530,0)</f>
        <v/>
      </c>
      <c r="U530">
        <f>IF(AND(E530=1,B530="EXPENSE"),Transactions!J530,0)</f>
        <v/>
      </c>
      <c r="V530">
        <f>IF(AND(Transactions!A530&lt;&gt;"",E530=0),ROW(),"")</f>
        <v/>
      </c>
      <c r="W530">
        <f>IFERROR(VLOOKUP(A530,Opening!$A:$D,4,0),0)</f>
        <v/>
      </c>
    </row>
    <row r="531">
      <c r="A531">
        <f>IF(Transactions!D531="","",UPPER(TRIM(Transactions!D531)))</f>
        <v/>
      </c>
      <c r="B531">
        <f>IF(Transactions!C531="","",UPPER(TRIM(Transactions!C531)))</f>
        <v/>
      </c>
      <c r="C531">
        <f>IF(Transactions!B531="",0,YEAR(Transactions!B531)*100+MONTH(Transactions!B531))</f>
        <v/>
      </c>
      <c r="D531">
        <f>IF(Transactions!A531="",1,IF(COUNTIF(Transactions!$A$1:A530,Transactions!A531)&gt;0,1,0))</f>
        <v/>
      </c>
      <c r="E531">
        <f>IF(D531=1,0,IF(B531="RETURN",IF(COUNTIFS($A$1:A530,A531,$B$1:B530,"SALE",$E$1:E530,1)&gt;0,1,0),1))</f>
        <v/>
      </c>
      <c r="F531">
        <f>IF(E531=1,IF(B531="RECEIPT",Transactions!E531,IF(AND(B531="RETURN",LOWER(TRIM(Transactions!H531))="resellable"),Transactions!E531,0)),0)</f>
        <v/>
      </c>
      <c r="G531">
        <f>IF(F531&gt;0,IF(B531="RECEIPT",Transactions!F531,IF(_xlfn.MAXIFS($H$2:H531,$A$2:A531,A531)&gt;0,INDEX(Transactions!$F:$F,_xlfn.MAXIFS($H$2:H531,$A$2:A531,A531)),W531)),0)</f>
        <v/>
      </c>
      <c r="H531">
        <f>IF(AND(E531=1,B531="RECEIPT"),ROW(),0)</f>
        <v/>
      </c>
      <c r="I531">
        <f>IF(E531=1,IF(OR(B531="SALE",B531="WRITEOFF"),Transactions!E531,0),0)</f>
        <v/>
      </c>
      <c r="J531">
        <f>SUMIFS($F$1:F530,$A$1:A530,A531)</f>
        <v/>
      </c>
      <c r="K531">
        <f>SUMIFS($I$1:I530,$A$1:A530,A531)</f>
        <v/>
      </c>
      <c r="L531">
        <f>IFERROR(VLOOKUP(A531,Opening!$A:$C,3,0),0)</f>
        <v/>
      </c>
      <c r="M531">
        <f>IF(I531=0,0,MAX(0,MIN(INDEX(Month!H$2:H$13,MATCH($A531,Month!$A$2:$A$13,0))-K531,I531)))</f>
        <v/>
      </c>
      <c r="N531">
        <f>IF(I531=0,0,MAX(0,MIN(INDEX(Month!I$2:I$13,MATCH($A531,Month!$A$2:$A$13,0))-K531,I531)))</f>
        <v/>
      </c>
      <c r="O531">
        <f>IF(I531=0,0,MAX(0,MIN(INDEX(Month!J$2:J$13,MATCH($A531,Month!$A$2:$A$13,0))-K531,I531)))</f>
        <v/>
      </c>
      <c r="P531">
        <f>IF(I531=0,0,(MIN(MAX(K531,0),L531)*W531+SUMPRODUCT((Calc!$A$2:$A$1001=A531)*Calc!$G$2:$G$1001*(((K531-(L531+Calc!$J$2:$J$1001))&gt;0)*((K531-(L531+Calc!$J$2:$J$1001))&lt;Calc!$F$2:$F$1001)*(K531-(L531+Calc!$J$2:$J$1001))+((K531-(L531+Calc!$J$2:$J$1001))&gt;=Calc!$F$2:$F$1001)*Calc!$F$2:$F$1001))))</f>
        <v/>
      </c>
      <c r="Q531">
        <f>IF(I531=0,0,(MIN(MAX((K531+M531),0),L531)*W531+SUMPRODUCT((Calc!$A$2:$A$1001=A531)*Calc!$G$2:$G$1001*((((K531+M531)-(L531+Calc!$J$2:$J$1001))&gt;0)*(((K531+M531)-(L531+Calc!$J$2:$J$1001))&lt;Calc!$F$2:$F$1001)*((K531+M531)-(L531+Calc!$J$2:$J$1001))+(((K531+M531)-(L531+Calc!$J$2:$J$1001))&gt;=Calc!$F$2:$F$1001)*Calc!$F$2:$F$1001))))</f>
        <v/>
      </c>
      <c r="R531">
        <f>IF(I531=0,0,(MIN(MAX((K531+N531),0),L531)*W531+SUMPRODUCT((Calc!$A$2:$A$1001=A531)*Calc!$G$2:$G$1001*((((K531+N531)-(L531+Calc!$J$2:$J$1001))&gt;0)*(((K531+N531)-(L531+Calc!$J$2:$J$1001))&lt;Calc!$F$2:$F$1001)*((K531+N531)-(L531+Calc!$J$2:$J$1001))+(((K531+N531)-(L531+Calc!$J$2:$J$1001))&gt;=Calc!$F$2:$F$1001)*Calc!$F$2:$F$1001))))</f>
        <v/>
      </c>
      <c r="S531">
        <f>IF(I531=0,0,(MIN(MAX((K531+O531),0),L531)*W531+SUMPRODUCT((Calc!$A$2:$A$1001=A531)*Calc!$G$2:$G$1001*((((K531+O531)-(L531+Calc!$J$2:$J$1001))&gt;0)*(((K531+O531)-(L531+Calc!$J$2:$J$1001))&lt;Calc!$F$2:$F$1001)*((K531+O531)-(L531+Calc!$J$2:$J$1001))+(((K531+O531)-(L531+Calc!$J$2:$J$1001))&gt;=Calc!$F$2:$F$1001)*Calc!$F$2:$F$1001))))</f>
        <v/>
      </c>
      <c r="T531">
        <f>IF(AND(E531=1,B531="RETURN"),Transactions!E531*Transactions!G531,0)</f>
        <v/>
      </c>
      <c r="U531">
        <f>IF(AND(E531=1,B531="EXPENSE"),Transactions!J531,0)</f>
        <v/>
      </c>
      <c r="V531">
        <f>IF(AND(Transactions!A531&lt;&gt;"",E531=0),ROW(),"")</f>
        <v/>
      </c>
      <c r="W531">
        <f>IFERROR(VLOOKUP(A531,Opening!$A:$D,4,0),0)</f>
        <v/>
      </c>
    </row>
    <row r="532">
      <c r="A532">
        <f>IF(Transactions!D532="","",UPPER(TRIM(Transactions!D532)))</f>
        <v/>
      </c>
      <c r="B532">
        <f>IF(Transactions!C532="","",UPPER(TRIM(Transactions!C532)))</f>
        <v/>
      </c>
      <c r="C532">
        <f>IF(Transactions!B532="",0,YEAR(Transactions!B532)*100+MONTH(Transactions!B532))</f>
        <v/>
      </c>
      <c r="D532">
        <f>IF(Transactions!A532="",1,IF(COUNTIF(Transactions!$A$1:A531,Transactions!A532)&gt;0,1,0))</f>
        <v/>
      </c>
      <c r="E532">
        <f>IF(D532=1,0,IF(B532="RETURN",IF(COUNTIFS($A$1:A531,A532,$B$1:B531,"SALE",$E$1:E531,1)&gt;0,1,0),1))</f>
        <v/>
      </c>
      <c r="F532">
        <f>IF(E532=1,IF(B532="RECEIPT",Transactions!E532,IF(AND(B532="RETURN",LOWER(TRIM(Transactions!H532))="resellable"),Transactions!E532,0)),0)</f>
        <v/>
      </c>
      <c r="G532">
        <f>IF(F532&gt;0,IF(B532="RECEIPT",Transactions!F532,IF(_xlfn.MAXIFS($H$2:H532,$A$2:A532,A532)&gt;0,INDEX(Transactions!$F:$F,_xlfn.MAXIFS($H$2:H532,$A$2:A532,A532)),W532)),0)</f>
        <v/>
      </c>
      <c r="H532">
        <f>IF(AND(E532=1,B532="RECEIPT"),ROW(),0)</f>
        <v/>
      </c>
      <c r="I532">
        <f>IF(E532=1,IF(OR(B532="SALE",B532="WRITEOFF"),Transactions!E532,0),0)</f>
        <v/>
      </c>
      <c r="J532">
        <f>SUMIFS($F$1:F531,$A$1:A531,A532)</f>
        <v/>
      </c>
      <c r="K532">
        <f>SUMIFS($I$1:I531,$A$1:A531,A532)</f>
        <v/>
      </c>
      <c r="L532">
        <f>IFERROR(VLOOKUP(A532,Opening!$A:$C,3,0),0)</f>
        <v/>
      </c>
      <c r="M532">
        <f>IF(I532=0,0,MAX(0,MIN(INDEX(Month!H$2:H$13,MATCH($A532,Month!$A$2:$A$13,0))-K532,I532)))</f>
        <v/>
      </c>
      <c r="N532">
        <f>IF(I532=0,0,MAX(0,MIN(INDEX(Month!I$2:I$13,MATCH($A532,Month!$A$2:$A$13,0))-K532,I532)))</f>
        <v/>
      </c>
      <c r="O532">
        <f>IF(I532=0,0,MAX(0,MIN(INDEX(Month!J$2:J$13,MATCH($A532,Month!$A$2:$A$13,0))-K532,I532)))</f>
        <v/>
      </c>
      <c r="P532">
        <f>IF(I532=0,0,(MIN(MAX(K532,0),L532)*W532+SUMPRODUCT((Calc!$A$2:$A$1001=A532)*Calc!$G$2:$G$1001*(((K532-(L532+Calc!$J$2:$J$1001))&gt;0)*((K532-(L532+Calc!$J$2:$J$1001))&lt;Calc!$F$2:$F$1001)*(K532-(L532+Calc!$J$2:$J$1001))+((K532-(L532+Calc!$J$2:$J$1001))&gt;=Calc!$F$2:$F$1001)*Calc!$F$2:$F$1001))))</f>
        <v/>
      </c>
      <c r="Q532">
        <f>IF(I532=0,0,(MIN(MAX((K532+M532),0),L532)*W532+SUMPRODUCT((Calc!$A$2:$A$1001=A532)*Calc!$G$2:$G$1001*((((K532+M532)-(L532+Calc!$J$2:$J$1001))&gt;0)*(((K532+M532)-(L532+Calc!$J$2:$J$1001))&lt;Calc!$F$2:$F$1001)*((K532+M532)-(L532+Calc!$J$2:$J$1001))+(((K532+M532)-(L532+Calc!$J$2:$J$1001))&gt;=Calc!$F$2:$F$1001)*Calc!$F$2:$F$1001))))</f>
        <v/>
      </c>
      <c r="R532">
        <f>IF(I532=0,0,(MIN(MAX((K532+N532),0),L532)*W532+SUMPRODUCT((Calc!$A$2:$A$1001=A532)*Calc!$G$2:$G$1001*((((K532+N532)-(L532+Calc!$J$2:$J$1001))&gt;0)*(((K532+N532)-(L532+Calc!$J$2:$J$1001))&lt;Calc!$F$2:$F$1001)*((K532+N532)-(L532+Calc!$J$2:$J$1001))+(((K532+N532)-(L532+Calc!$J$2:$J$1001))&gt;=Calc!$F$2:$F$1001)*Calc!$F$2:$F$1001))))</f>
        <v/>
      </c>
      <c r="S532">
        <f>IF(I532=0,0,(MIN(MAX((K532+O532),0),L532)*W532+SUMPRODUCT((Calc!$A$2:$A$1001=A532)*Calc!$G$2:$G$1001*((((K532+O532)-(L532+Calc!$J$2:$J$1001))&gt;0)*(((K532+O532)-(L532+Calc!$J$2:$J$1001))&lt;Calc!$F$2:$F$1001)*((K532+O532)-(L532+Calc!$J$2:$J$1001))+(((K532+O532)-(L532+Calc!$J$2:$J$1001))&gt;=Calc!$F$2:$F$1001)*Calc!$F$2:$F$1001))))</f>
        <v/>
      </c>
      <c r="T532">
        <f>IF(AND(E532=1,B532="RETURN"),Transactions!E532*Transactions!G532,0)</f>
        <v/>
      </c>
      <c r="U532">
        <f>IF(AND(E532=1,B532="EXPENSE"),Transactions!J532,0)</f>
        <v/>
      </c>
      <c r="V532">
        <f>IF(AND(Transactions!A532&lt;&gt;"",E532=0),ROW(),"")</f>
        <v/>
      </c>
      <c r="W532">
        <f>IFERROR(VLOOKUP(A532,Opening!$A:$D,4,0),0)</f>
        <v/>
      </c>
    </row>
    <row r="533">
      <c r="A533">
        <f>IF(Transactions!D533="","",UPPER(TRIM(Transactions!D533)))</f>
        <v/>
      </c>
      <c r="B533">
        <f>IF(Transactions!C533="","",UPPER(TRIM(Transactions!C533)))</f>
        <v/>
      </c>
      <c r="C533">
        <f>IF(Transactions!B533="",0,YEAR(Transactions!B533)*100+MONTH(Transactions!B533))</f>
        <v/>
      </c>
      <c r="D533">
        <f>IF(Transactions!A533="",1,IF(COUNTIF(Transactions!$A$1:A532,Transactions!A533)&gt;0,1,0))</f>
        <v/>
      </c>
      <c r="E533">
        <f>IF(D533=1,0,IF(B533="RETURN",IF(COUNTIFS($A$1:A532,A533,$B$1:B532,"SALE",$E$1:E532,1)&gt;0,1,0),1))</f>
        <v/>
      </c>
      <c r="F533">
        <f>IF(E533=1,IF(B533="RECEIPT",Transactions!E533,IF(AND(B533="RETURN",LOWER(TRIM(Transactions!H533))="resellable"),Transactions!E533,0)),0)</f>
        <v/>
      </c>
      <c r="G533">
        <f>IF(F533&gt;0,IF(B533="RECEIPT",Transactions!F533,IF(_xlfn.MAXIFS($H$2:H533,$A$2:A533,A533)&gt;0,INDEX(Transactions!$F:$F,_xlfn.MAXIFS($H$2:H533,$A$2:A533,A533)),W533)),0)</f>
        <v/>
      </c>
      <c r="H533">
        <f>IF(AND(E533=1,B533="RECEIPT"),ROW(),0)</f>
        <v/>
      </c>
      <c r="I533">
        <f>IF(E533=1,IF(OR(B533="SALE",B533="WRITEOFF"),Transactions!E533,0),0)</f>
        <v/>
      </c>
      <c r="J533">
        <f>SUMIFS($F$1:F532,$A$1:A532,A533)</f>
        <v/>
      </c>
      <c r="K533">
        <f>SUMIFS($I$1:I532,$A$1:A532,A533)</f>
        <v/>
      </c>
      <c r="L533">
        <f>IFERROR(VLOOKUP(A533,Opening!$A:$C,3,0),0)</f>
        <v/>
      </c>
      <c r="M533">
        <f>IF(I533=0,0,MAX(0,MIN(INDEX(Month!H$2:H$13,MATCH($A533,Month!$A$2:$A$13,0))-K533,I533)))</f>
        <v/>
      </c>
      <c r="N533">
        <f>IF(I533=0,0,MAX(0,MIN(INDEX(Month!I$2:I$13,MATCH($A533,Month!$A$2:$A$13,0))-K533,I533)))</f>
        <v/>
      </c>
      <c r="O533">
        <f>IF(I533=0,0,MAX(0,MIN(INDEX(Month!J$2:J$13,MATCH($A533,Month!$A$2:$A$13,0))-K533,I533)))</f>
        <v/>
      </c>
      <c r="P533">
        <f>IF(I533=0,0,(MIN(MAX(K533,0),L533)*W533+SUMPRODUCT((Calc!$A$2:$A$1001=A533)*Calc!$G$2:$G$1001*(((K533-(L533+Calc!$J$2:$J$1001))&gt;0)*((K533-(L533+Calc!$J$2:$J$1001))&lt;Calc!$F$2:$F$1001)*(K533-(L533+Calc!$J$2:$J$1001))+((K533-(L533+Calc!$J$2:$J$1001))&gt;=Calc!$F$2:$F$1001)*Calc!$F$2:$F$1001))))</f>
        <v/>
      </c>
      <c r="Q533">
        <f>IF(I533=0,0,(MIN(MAX((K533+M533),0),L533)*W533+SUMPRODUCT((Calc!$A$2:$A$1001=A533)*Calc!$G$2:$G$1001*((((K533+M533)-(L533+Calc!$J$2:$J$1001))&gt;0)*(((K533+M533)-(L533+Calc!$J$2:$J$1001))&lt;Calc!$F$2:$F$1001)*((K533+M533)-(L533+Calc!$J$2:$J$1001))+(((K533+M533)-(L533+Calc!$J$2:$J$1001))&gt;=Calc!$F$2:$F$1001)*Calc!$F$2:$F$1001))))</f>
        <v/>
      </c>
      <c r="R533">
        <f>IF(I533=0,0,(MIN(MAX((K533+N533),0),L533)*W533+SUMPRODUCT((Calc!$A$2:$A$1001=A533)*Calc!$G$2:$G$1001*((((K533+N533)-(L533+Calc!$J$2:$J$1001))&gt;0)*(((K533+N533)-(L533+Calc!$J$2:$J$1001))&lt;Calc!$F$2:$F$1001)*((K533+N533)-(L533+Calc!$J$2:$J$1001))+(((K533+N533)-(L533+Calc!$J$2:$J$1001))&gt;=Calc!$F$2:$F$1001)*Calc!$F$2:$F$1001))))</f>
        <v/>
      </c>
      <c r="S533">
        <f>IF(I533=0,0,(MIN(MAX((K533+O533),0),L533)*W533+SUMPRODUCT((Calc!$A$2:$A$1001=A533)*Calc!$G$2:$G$1001*((((K533+O533)-(L533+Calc!$J$2:$J$1001))&gt;0)*(((K533+O533)-(L533+Calc!$J$2:$J$1001))&lt;Calc!$F$2:$F$1001)*((K533+O533)-(L533+Calc!$J$2:$J$1001))+(((K533+O533)-(L533+Calc!$J$2:$J$1001))&gt;=Calc!$F$2:$F$1001)*Calc!$F$2:$F$1001))))</f>
        <v/>
      </c>
      <c r="T533">
        <f>IF(AND(E533=1,B533="RETURN"),Transactions!E533*Transactions!G533,0)</f>
        <v/>
      </c>
      <c r="U533">
        <f>IF(AND(E533=1,B533="EXPENSE"),Transactions!J533,0)</f>
        <v/>
      </c>
      <c r="V533">
        <f>IF(AND(Transactions!A533&lt;&gt;"",E533=0),ROW(),"")</f>
        <v/>
      </c>
      <c r="W533">
        <f>IFERROR(VLOOKUP(A533,Opening!$A:$D,4,0),0)</f>
        <v/>
      </c>
    </row>
    <row r="534">
      <c r="A534">
        <f>IF(Transactions!D534="","",UPPER(TRIM(Transactions!D534)))</f>
        <v/>
      </c>
      <c r="B534">
        <f>IF(Transactions!C534="","",UPPER(TRIM(Transactions!C534)))</f>
        <v/>
      </c>
      <c r="C534">
        <f>IF(Transactions!B534="",0,YEAR(Transactions!B534)*100+MONTH(Transactions!B534))</f>
        <v/>
      </c>
      <c r="D534">
        <f>IF(Transactions!A534="",1,IF(COUNTIF(Transactions!$A$1:A533,Transactions!A534)&gt;0,1,0))</f>
        <v/>
      </c>
      <c r="E534">
        <f>IF(D534=1,0,IF(B534="RETURN",IF(COUNTIFS($A$1:A533,A534,$B$1:B533,"SALE",$E$1:E533,1)&gt;0,1,0),1))</f>
        <v/>
      </c>
      <c r="F534">
        <f>IF(E534=1,IF(B534="RECEIPT",Transactions!E534,IF(AND(B534="RETURN",LOWER(TRIM(Transactions!H534))="resellable"),Transactions!E534,0)),0)</f>
        <v/>
      </c>
      <c r="G534">
        <f>IF(F534&gt;0,IF(B534="RECEIPT",Transactions!F534,IF(_xlfn.MAXIFS($H$2:H534,$A$2:A534,A534)&gt;0,INDEX(Transactions!$F:$F,_xlfn.MAXIFS($H$2:H534,$A$2:A534,A534)),W534)),0)</f>
        <v/>
      </c>
      <c r="H534">
        <f>IF(AND(E534=1,B534="RECEIPT"),ROW(),0)</f>
        <v/>
      </c>
      <c r="I534">
        <f>IF(E534=1,IF(OR(B534="SALE",B534="WRITEOFF"),Transactions!E534,0),0)</f>
        <v/>
      </c>
      <c r="J534">
        <f>SUMIFS($F$1:F533,$A$1:A533,A534)</f>
        <v/>
      </c>
      <c r="K534">
        <f>SUMIFS($I$1:I533,$A$1:A533,A534)</f>
        <v/>
      </c>
      <c r="L534">
        <f>IFERROR(VLOOKUP(A534,Opening!$A:$C,3,0),0)</f>
        <v/>
      </c>
      <c r="M534">
        <f>IF(I534=0,0,MAX(0,MIN(INDEX(Month!H$2:H$13,MATCH($A534,Month!$A$2:$A$13,0))-K534,I534)))</f>
        <v/>
      </c>
      <c r="N534">
        <f>IF(I534=0,0,MAX(0,MIN(INDEX(Month!I$2:I$13,MATCH($A534,Month!$A$2:$A$13,0))-K534,I534)))</f>
        <v/>
      </c>
      <c r="O534">
        <f>IF(I534=0,0,MAX(0,MIN(INDEX(Month!J$2:J$13,MATCH($A534,Month!$A$2:$A$13,0))-K534,I534)))</f>
        <v/>
      </c>
      <c r="P534">
        <f>IF(I534=0,0,(MIN(MAX(K534,0),L534)*W534+SUMPRODUCT((Calc!$A$2:$A$1001=A534)*Calc!$G$2:$G$1001*(((K534-(L534+Calc!$J$2:$J$1001))&gt;0)*((K534-(L534+Calc!$J$2:$J$1001))&lt;Calc!$F$2:$F$1001)*(K534-(L534+Calc!$J$2:$J$1001))+((K534-(L534+Calc!$J$2:$J$1001))&gt;=Calc!$F$2:$F$1001)*Calc!$F$2:$F$1001))))</f>
        <v/>
      </c>
      <c r="Q534">
        <f>IF(I534=0,0,(MIN(MAX((K534+M534),0),L534)*W534+SUMPRODUCT((Calc!$A$2:$A$1001=A534)*Calc!$G$2:$G$1001*((((K534+M534)-(L534+Calc!$J$2:$J$1001))&gt;0)*(((K534+M534)-(L534+Calc!$J$2:$J$1001))&lt;Calc!$F$2:$F$1001)*((K534+M534)-(L534+Calc!$J$2:$J$1001))+(((K534+M534)-(L534+Calc!$J$2:$J$1001))&gt;=Calc!$F$2:$F$1001)*Calc!$F$2:$F$1001))))</f>
        <v/>
      </c>
      <c r="R534">
        <f>IF(I534=0,0,(MIN(MAX((K534+N534),0),L534)*W534+SUMPRODUCT((Calc!$A$2:$A$1001=A534)*Calc!$G$2:$G$1001*((((K534+N534)-(L534+Calc!$J$2:$J$1001))&gt;0)*(((K534+N534)-(L534+Calc!$J$2:$J$1001))&lt;Calc!$F$2:$F$1001)*((K534+N534)-(L534+Calc!$J$2:$J$1001))+(((K534+N534)-(L534+Calc!$J$2:$J$1001))&gt;=Calc!$F$2:$F$1001)*Calc!$F$2:$F$1001))))</f>
        <v/>
      </c>
      <c r="S534">
        <f>IF(I534=0,0,(MIN(MAX((K534+O534),0),L534)*W534+SUMPRODUCT((Calc!$A$2:$A$1001=A534)*Calc!$G$2:$G$1001*((((K534+O534)-(L534+Calc!$J$2:$J$1001))&gt;0)*(((K534+O534)-(L534+Calc!$J$2:$J$1001))&lt;Calc!$F$2:$F$1001)*((K534+O534)-(L534+Calc!$J$2:$J$1001))+(((K534+O534)-(L534+Calc!$J$2:$J$1001))&gt;=Calc!$F$2:$F$1001)*Calc!$F$2:$F$1001))))</f>
        <v/>
      </c>
      <c r="T534">
        <f>IF(AND(E534=1,B534="RETURN"),Transactions!E534*Transactions!G534,0)</f>
        <v/>
      </c>
      <c r="U534">
        <f>IF(AND(E534=1,B534="EXPENSE"),Transactions!J534,0)</f>
        <v/>
      </c>
      <c r="V534">
        <f>IF(AND(Transactions!A534&lt;&gt;"",E534=0),ROW(),"")</f>
        <v/>
      </c>
      <c r="W534">
        <f>IFERROR(VLOOKUP(A534,Opening!$A:$D,4,0),0)</f>
        <v/>
      </c>
    </row>
    <row r="535">
      <c r="A535">
        <f>IF(Transactions!D535="","",UPPER(TRIM(Transactions!D535)))</f>
        <v/>
      </c>
      <c r="B535">
        <f>IF(Transactions!C535="","",UPPER(TRIM(Transactions!C535)))</f>
        <v/>
      </c>
      <c r="C535">
        <f>IF(Transactions!B535="",0,YEAR(Transactions!B535)*100+MONTH(Transactions!B535))</f>
        <v/>
      </c>
      <c r="D535">
        <f>IF(Transactions!A535="",1,IF(COUNTIF(Transactions!$A$1:A534,Transactions!A535)&gt;0,1,0))</f>
        <v/>
      </c>
      <c r="E535">
        <f>IF(D535=1,0,IF(B535="RETURN",IF(COUNTIFS($A$1:A534,A535,$B$1:B534,"SALE",$E$1:E534,1)&gt;0,1,0),1))</f>
        <v/>
      </c>
      <c r="F535">
        <f>IF(E535=1,IF(B535="RECEIPT",Transactions!E535,IF(AND(B535="RETURN",LOWER(TRIM(Transactions!H535))="resellable"),Transactions!E535,0)),0)</f>
        <v/>
      </c>
      <c r="G535">
        <f>IF(F535&gt;0,IF(B535="RECEIPT",Transactions!F535,IF(_xlfn.MAXIFS($H$2:H535,$A$2:A535,A535)&gt;0,INDEX(Transactions!$F:$F,_xlfn.MAXIFS($H$2:H535,$A$2:A535,A535)),W535)),0)</f>
        <v/>
      </c>
      <c r="H535">
        <f>IF(AND(E535=1,B535="RECEIPT"),ROW(),0)</f>
        <v/>
      </c>
      <c r="I535">
        <f>IF(E535=1,IF(OR(B535="SALE",B535="WRITEOFF"),Transactions!E535,0),0)</f>
        <v/>
      </c>
      <c r="J535">
        <f>SUMIFS($F$1:F534,$A$1:A534,A535)</f>
        <v/>
      </c>
      <c r="K535">
        <f>SUMIFS($I$1:I534,$A$1:A534,A535)</f>
        <v/>
      </c>
      <c r="L535">
        <f>IFERROR(VLOOKUP(A535,Opening!$A:$C,3,0),0)</f>
        <v/>
      </c>
      <c r="M535">
        <f>IF(I535=0,0,MAX(0,MIN(INDEX(Month!H$2:H$13,MATCH($A535,Month!$A$2:$A$13,0))-K535,I535)))</f>
        <v/>
      </c>
      <c r="N535">
        <f>IF(I535=0,0,MAX(0,MIN(INDEX(Month!I$2:I$13,MATCH($A535,Month!$A$2:$A$13,0))-K535,I535)))</f>
        <v/>
      </c>
      <c r="O535">
        <f>IF(I535=0,0,MAX(0,MIN(INDEX(Month!J$2:J$13,MATCH($A535,Month!$A$2:$A$13,0))-K535,I535)))</f>
        <v/>
      </c>
      <c r="P535">
        <f>IF(I535=0,0,(MIN(MAX(K535,0),L535)*W535+SUMPRODUCT((Calc!$A$2:$A$1001=A535)*Calc!$G$2:$G$1001*(((K535-(L535+Calc!$J$2:$J$1001))&gt;0)*((K535-(L535+Calc!$J$2:$J$1001))&lt;Calc!$F$2:$F$1001)*(K535-(L535+Calc!$J$2:$J$1001))+((K535-(L535+Calc!$J$2:$J$1001))&gt;=Calc!$F$2:$F$1001)*Calc!$F$2:$F$1001))))</f>
        <v/>
      </c>
      <c r="Q535">
        <f>IF(I535=0,0,(MIN(MAX((K535+M535),0),L535)*W535+SUMPRODUCT((Calc!$A$2:$A$1001=A535)*Calc!$G$2:$G$1001*((((K535+M535)-(L535+Calc!$J$2:$J$1001))&gt;0)*(((K535+M535)-(L535+Calc!$J$2:$J$1001))&lt;Calc!$F$2:$F$1001)*((K535+M535)-(L535+Calc!$J$2:$J$1001))+(((K535+M535)-(L535+Calc!$J$2:$J$1001))&gt;=Calc!$F$2:$F$1001)*Calc!$F$2:$F$1001))))</f>
        <v/>
      </c>
      <c r="R535">
        <f>IF(I535=0,0,(MIN(MAX((K535+N535),0),L535)*W535+SUMPRODUCT((Calc!$A$2:$A$1001=A535)*Calc!$G$2:$G$1001*((((K535+N535)-(L535+Calc!$J$2:$J$1001))&gt;0)*(((K535+N535)-(L535+Calc!$J$2:$J$1001))&lt;Calc!$F$2:$F$1001)*((K535+N535)-(L535+Calc!$J$2:$J$1001))+(((K535+N535)-(L535+Calc!$J$2:$J$1001))&gt;=Calc!$F$2:$F$1001)*Calc!$F$2:$F$1001))))</f>
        <v/>
      </c>
      <c r="S535">
        <f>IF(I535=0,0,(MIN(MAX((K535+O535),0),L535)*W535+SUMPRODUCT((Calc!$A$2:$A$1001=A535)*Calc!$G$2:$G$1001*((((K535+O535)-(L535+Calc!$J$2:$J$1001))&gt;0)*(((K535+O535)-(L535+Calc!$J$2:$J$1001))&lt;Calc!$F$2:$F$1001)*((K535+O535)-(L535+Calc!$J$2:$J$1001))+(((K535+O535)-(L535+Calc!$J$2:$J$1001))&gt;=Calc!$F$2:$F$1001)*Calc!$F$2:$F$1001))))</f>
        <v/>
      </c>
      <c r="T535">
        <f>IF(AND(E535=1,B535="RETURN"),Transactions!E535*Transactions!G535,0)</f>
        <v/>
      </c>
      <c r="U535">
        <f>IF(AND(E535=1,B535="EXPENSE"),Transactions!J535,0)</f>
        <v/>
      </c>
      <c r="V535">
        <f>IF(AND(Transactions!A535&lt;&gt;"",E535=0),ROW(),"")</f>
        <v/>
      </c>
      <c r="W535">
        <f>IFERROR(VLOOKUP(A535,Opening!$A:$D,4,0),0)</f>
        <v/>
      </c>
    </row>
    <row r="536">
      <c r="A536">
        <f>IF(Transactions!D536="","",UPPER(TRIM(Transactions!D536)))</f>
        <v/>
      </c>
      <c r="B536">
        <f>IF(Transactions!C536="","",UPPER(TRIM(Transactions!C536)))</f>
        <v/>
      </c>
      <c r="C536">
        <f>IF(Transactions!B536="",0,YEAR(Transactions!B536)*100+MONTH(Transactions!B536))</f>
        <v/>
      </c>
      <c r="D536">
        <f>IF(Transactions!A536="",1,IF(COUNTIF(Transactions!$A$1:A535,Transactions!A536)&gt;0,1,0))</f>
        <v/>
      </c>
      <c r="E536">
        <f>IF(D536=1,0,IF(B536="RETURN",IF(COUNTIFS($A$1:A535,A536,$B$1:B535,"SALE",$E$1:E535,1)&gt;0,1,0),1))</f>
        <v/>
      </c>
      <c r="F536">
        <f>IF(E536=1,IF(B536="RECEIPT",Transactions!E536,IF(AND(B536="RETURN",LOWER(TRIM(Transactions!H536))="resellable"),Transactions!E536,0)),0)</f>
        <v/>
      </c>
      <c r="G536">
        <f>IF(F536&gt;0,IF(B536="RECEIPT",Transactions!F536,IF(_xlfn.MAXIFS($H$2:H536,$A$2:A536,A536)&gt;0,INDEX(Transactions!$F:$F,_xlfn.MAXIFS($H$2:H536,$A$2:A536,A536)),W536)),0)</f>
        <v/>
      </c>
      <c r="H536">
        <f>IF(AND(E536=1,B536="RECEIPT"),ROW(),0)</f>
        <v/>
      </c>
      <c r="I536">
        <f>IF(E536=1,IF(OR(B536="SALE",B536="WRITEOFF"),Transactions!E536,0),0)</f>
        <v/>
      </c>
      <c r="J536">
        <f>SUMIFS($F$1:F535,$A$1:A535,A536)</f>
        <v/>
      </c>
      <c r="K536">
        <f>SUMIFS($I$1:I535,$A$1:A535,A536)</f>
        <v/>
      </c>
      <c r="L536">
        <f>IFERROR(VLOOKUP(A536,Opening!$A:$C,3,0),0)</f>
        <v/>
      </c>
      <c r="M536">
        <f>IF(I536=0,0,MAX(0,MIN(INDEX(Month!H$2:H$13,MATCH($A536,Month!$A$2:$A$13,0))-K536,I536)))</f>
        <v/>
      </c>
      <c r="N536">
        <f>IF(I536=0,0,MAX(0,MIN(INDEX(Month!I$2:I$13,MATCH($A536,Month!$A$2:$A$13,0))-K536,I536)))</f>
        <v/>
      </c>
      <c r="O536">
        <f>IF(I536=0,0,MAX(0,MIN(INDEX(Month!J$2:J$13,MATCH($A536,Month!$A$2:$A$13,0))-K536,I536)))</f>
        <v/>
      </c>
      <c r="P536">
        <f>IF(I536=0,0,(MIN(MAX(K536,0),L536)*W536+SUMPRODUCT((Calc!$A$2:$A$1001=A536)*Calc!$G$2:$G$1001*(((K536-(L536+Calc!$J$2:$J$1001))&gt;0)*((K536-(L536+Calc!$J$2:$J$1001))&lt;Calc!$F$2:$F$1001)*(K536-(L536+Calc!$J$2:$J$1001))+((K536-(L536+Calc!$J$2:$J$1001))&gt;=Calc!$F$2:$F$1001)*Calc!$F$2:$F$1001))))</f>
        <v/>
      </c>
      <c r="Q536">
        <f>IF(I536=0,0,(MIN(MAX((K536+M536),0),L536)*W536+SUMPRODUCT((Calc!$A$2:$A$1001=A536)*Calc!$G$2:$G$1001*((((K536+M536)-(L536+Calc!$J$2:$J$1001))&gt;0)*(((K536+M536)-(L536+Calc!$J$2:$J$1001))&lt;Calc!$F$2:$F$1001)*((K536+M536)-(L536+Calc!$J$2:$J$1001))+(((K536+M536)-(L536+Calc!$J$2:$J$1001))&gt;=Calc!$F$2:$F$1001)*Calc!$F$2:$F$1001))))</f>
        <v/>
      </c>
      <c r="R536">
        <f>IF(I536=0,0,(MIN(MAX((K536+N536),0),L536)*W536+SUMPRODUCT((Calc!$A$2:$A$1001=A536)*Calc!$G$2:$G$1001*((((K536+N536)-(L536+Calc!$J$2:$J$1001))&gt;0)*(((K536+N536)-(L536+Calc!$J$2:$J$1001))&lt;Calc!$F$2:$F$1001)*((K536+N536)-(L536+Calc!$J$2:$J$1001))+(((K536+N536)-(L536+Calc!$J$2:$J$1001))&gt;=Calc!$F$2:$F$1001)*Calc!$F$2:$F$1001))))</f>
        <v/>
      </c>
      <c r="S536">
        <f>IF(I536=0,0,(MIN(MAX((K536+O536),0),L536)*W536+SUMPRODUCT((Calc!$A$2:$A$1001=A536)*Calc!$G$2:$G$1001*((((K536+O536)-(L536+Calc!$J$2:$J$1001))&gt;0)*(((K536+O536)-(L536+Calc!$J$2:$J$1001))&lt;Calc!$F$2:$F$1001)*((K536+O536)-(L536+Calc!$J$2:$J$1001))+(((K536+O536)-(L536+Calc!$J$2:$J$1001))&gt;=Calc!$F$2:$F$1001)*Calc!$F$2:$F$1001))))</f>
        <v/>
      </c>
      <c r="T536">
        <f>IF(AND(E536=1,B536="RETURN"),Transactions!E536*Transactions!G536,0)</f>
        <v/>
      </c>
      <c r="U536">
        <f>IF(AND(E536=1,B536="EXPENSE"),Transactions!J536,0)</f>
        <v/>
      </c>
      <c r="V536">
        <f>IF(AND(Transactions!A536&lt;&gt;"",E536=0),ROW(),"")</f>
        <v/>
      </c>
      <c r="W536">
        <f>IFERROR(VLOOKUP(A536,Opening!$A:$D,4,0),0)</f>
        <v/>
      </c>
    </row>
    <row r="537">
      <c r="A537">
        <f>IF(Transactions!D537="","",UPPER(TRIM(Transactions!D537)))</f>
        <v/>
      </c>
      <c r="B537">
        <f>IF(Transactions!C537="","",UPPER(TRIM(Transactions!C537)))</f>
        <v/>
      </c>
      <c r="C537">
        <f>IF(Transactions!B537="",0,YEAR(Transactions!B537)*100+MONTH(Transactions!B537))</f>
        <v/>
      </c>
      <c r="D537">
        <f>IF(Transactions!A537="",1,IF(COUNTIF(Transactions!$A$1:A536,Transactions!A537)&gt;0,1,0))</f>
        <v/>
      </c>
      <c r="E537">
        <f>IF(D537=1,0,IF(B537="RETURN",IF(COUNTIFS($A$1:A536,A537,$B$1:B536,"SALE",$E$1:E536,1)&gt;0,1,0),1))</f>
        <v/>
      </c>
      <c r="F537">
        <f>IF(E537=1,IF(B537="RECEIPT",Transactions!E537,IF(AND(B537="RETURN",LOWER(TRIM(Transactions!H537))="resellable"),Transactions!E537,0)),0)</f>
        <v/>
      </c>
      <c r="G537">
        <f>IF(F537&gt;0,IF(B537="RECEIPT",Transactions!F537,IF(_xlfn.MAXIFS($H$2:H537,$A$2:A537,A537)&gt;0,INDEX(Transactions!$F:$F,_xlfn.MAXIFS($H$2:H537,$A$2:A537,A537)),W537)),0)</f>
        <v/>
      </c>
      <c r="H537">
        <f>IF(AND(E537=1,B537="RECEIPT"),ROW(),0)</f>
        <v/>
      </c>
      <c r="I537">
        <f>IF(E537=1,IF(OR(B537="SALE",B537="WRITEOFF"),Transactions!E537,0),0)</f>
        <v/>
      </c>
      <c r="J537">
        <f>SUMIFS($F$1:F536,$A$1:A536,A537)</f>
        <v/>
      </c>
      <c r="K537">
        <f>SUMIFS($I$1:I536,$A$1:A536,A537)</f>
        <v/>
      </c>
      <c r="L537">
        <f>IFERROR(VLOOKUP(A537,Opening!$A:$C,3,0),0)</f>
        <v/>
      </c>
      <c r="M537">
        <f>IF(I537=0,0,MAX(0,MIN(INDEX(Month!H$2:H$13,MATCH($A537,Month!$A$2:$A$13,0))-K537,I537)))</f>
        <v/>
      </c>
      <c r="N537">
        <f>IF(I537=0,0,MAX(0,MIN(INDEX(Month!I$2:I$13,MATCH($A537,Month!$A$2:$A$13,0))-K537,I537)))</f>
        <v/>
      </c>
      <c r="O537">
        <f>IF(I537=0,0,MAX(0,MIN(INDEX(Month!J$2:J$13,MATCH($A537,Month!$A$2:$A$13,0))-K537,I537)))</f>
        <v/>
      </c>
      <c r="P537">
        <f>IF(I537=0,0,(MIN(MAX(K537,0),L537)*W537+SUMPRODUCT((Calc!$A$2:$A$1001=A537)*Calc!$G$2:$G$1001*(((K537-(L537+Calc!$J$2:$J$1001))&gt;0)*((K537-(L537+Calc!$J$2:$J$1001))&lt;Calc!$F$2:$F$1001)*(K537-(L537+Calc!$J$2:$J$1001))+((K537-(L537+Calc!$J$2:$J$1001))&gt;=Calc!$F$2:$F$1001)*Calc!$F$2:$F$1001))))</f>
        <v/>
      </c>
      <c r="Q537">
        <f>IF(I537=0,0,(MIN(MAX((K537+M537),0),L537)*W537+SUMPRODUCT((Calc!$A$2:$A$1001=A537)*Calc!$G$2:$G$1001*((((K537+M537)-(L537+Calc!$J$2:$J$1001))&gt;0)*(((K537+M537)-(L537+Calc!$J$2:$J$1001))&lt;Calc!$F$2:$F$1001)*((K537+M537)-(L537+Calc!$J$2:$J$1001))+(((K537+M537)-(L537+Calc!$J$2:$J$1001))&gt;=Calc!$F$2:$F$1001)*Calc!$F$2:$F$1001))))</f>
        <v/>
      </c>
      <c r="R537">
        <f>IF(I537=0,0,(MIN(MAX((K537+N537),0),L537)*W537+SUMPRODUCT((Calc!$A$2:$A$1001=A537)*Calc!$G$2:$G$1001*((((K537+N537)-(L537+Calc!$J$2:$J$1001))&gt;0)*(((K537+N537)-(L537+Calc!$J$2:$J$1001))&lt;Calc!$F$2:$F$1001)*((K537+N537)-(L537+Calc!$J$2:$J$1001))+(((K537+N537)-(L537+Calc!$J$2:$J$1001))&gt;=Calc!$F$2:$F$1001)*Calc!$F$2:$F$1001))))</f>
        <v/>
      </c>
      <c r="S537">
        <f>IF(I537=0,0,(MIN(MAX((K537+O537),0),L537)*W537+SUMPRODUCT((Calc!$A$2:$A$1001=A537)*Calc!$G$2:$G$1001*((((K537+O537)-(L537+Calc!$J$2:$J$1001))&gt;0)*(((K537+O537)-(L537+Calc!$J$2:$J$1001))&lt;Calc!$F$2:$F$1001)*((K537+O537)-(L537+Calc!$J$2:$J$1001))+(((K537+O537)-(L537+Calc!$J$2:$J$1001))&gt;=Calc!$F$2:$F$1001)*Calc!$F$2:$F$1001))))</f>
        <v/>
      </c>
      <c r="T537">
        <f>IF(AND(E537=1,B537="RETURN"),Transactions!E537*Transactions!G537,0)</f>
        <v/>
      </c>
      <c r="U537">
        <f>IF(AND(E537=1,B537="EXPENSE"),Transactions!J537,0)</f>
        <v/>
      </c>
      <c r="V537">
        <f>IF(AND(Transactions!A537&lt;&gt;"",E537=0),ROW(),"")</f>
        <v/>
      </c>
      <c r="W537">
        <f>IFERROR(VLOOKUP(A537,Opening!$A:$D,4,0),0)</f>
        <v/>
      </c>
    </row>
    <row r="538">
      <c r="A538">
        <f>IF(Transactions!D538="","",UPPER(TRIM(Transactions!D538)))</f>
        <v/>
      </c>
      <c r="B538">
        <f>IF(Transactions!C538="","",UPPER(TRIM(Transactions!C538)))</f>
        <v/>
      </c>
      <c r="C538">
        <f>IF(Transactions!B538="",0,YEAR(Transactions!B538)*100+MONTH(Transactions!B538))</f>
        <v/>
      </c>
      <c r="D538">
        <f>IF(Transactions!A538="",1,IF(COUNTIF(Transactions!$A$1:A537,Transactions!A538)&gt;0,1,0))</f>
        <v/>
      </c>
      <c r="E538">
        <f>IF(D538=1,0,IF(B538="RETURN",IF(COUNTIFS($A$1:A537,A538,$B$1:B537,"SALE",$E$1:E537,1)&gt;0,1,0),1))</f>
        <v/>
      </c>
      <c r="F538">
        <f>IF(E538=1,IF(B538="RECEIPT",Transactions!E538,IF(AND(B538="RETURN",LOWER(TRIM(Transactions!H538))="resellable"),Transactions!E538,0)),0)</f>
        <v/>
      </c>
      <c r="G538">
        <f>IF(F538&gt;0,IF(B538="RECEIPT",Transactions!F538,IF(_xlfn.MAXIFS($H$2:H538,$A$2:A538,A538)&gt;0,INDEX(Transactions!$F:$F,_xlfn.MAXIFS($H$2:H538,$A$2:A538,A538)),W538)),0)</f>
        <v/>
      </c>
      <c r="H538">
        <f>IF(AND(E538=1,B538="RECEIPT"),ROW(),0)</f>
        <v/>
      </c>
      <c r="I538">
        <f>IF(E538=1,IF(OR(B538="SALE",B538="WRITEOFF"),Transactions!E538,0),0)</f>
        <v/>
      </c>
      <c r="J538">
        <f>SUMIFS($F$1:F537,$A$1:A537,A538)</f>
        <v/>
      </c>
      <c r="K538">
        <f>SUMIFS($I$1:I537,$A$1:A537,A538)</f>
        <v/>
      </c>
      <c r="L538">
        <f>IFERROR(VLOOKUP(A538,Opening!$A:$C,3,0),0)</f>
        <v/>
      </c>
      <c r="M538">
        <f>IF(I538=0,0,MAX(0,MIN(INDEX(Month!H$2:H$13,MATCH($A538,Month!$A$2:$A$13,0))-K538,I538)))</f>
        <v/>
      </c>
      <c r="N538">
        <f>IF(I538=0,0,MAX(0,MIN(INDEX(Month!I$2:I$13,MATCH($A538,Month!$A$2:$A$13,0))-K538,I538)))</f>
        <v/>
      </c>
      <c r="O538">
        <f>IF(I538=0,0,MAX(0,MIN(INDEX(Month!J$2:J$13,MATCH($A538,Month!$A$2:$A$13,0))-K538,I538)))</f>
        <v/>
      </c>
      <c r="P538">
        <f>IF(I538=0,0,(MIN(MAX(K538,0),L538)*W538+SUMPRODUCT((Calc!$A$2:$A$1001=A538)*Calc!$G$2:$G$1001*(((K538-(L538+Calc!$J$2:$J$1001))&gt;0)*((K538-(L538+Calc!$J$2:$J$1001))&lt;Calc!$F$2:$F$1001)*(K538-(L538+Calc!$J$2:$J$1001))+((K538-(L538+Calc!$J$2:$J$1001))&gt;=Calc!$F$2:$F$1001)*Calc!$F$2:$F$1001))))</f>
        <v/>
      </c>
      <c r="Q538">
        <f>IF(I538=0,0,(MIN(MAX((K538+M538),0),L538)*W538+SUMPRODUCT((Calc!$A$2:$A$1001=A538)*Calc!$G$2:$G$1001*((((K538+M538)-(L538+Calc!$J$2:$J$1001))&gt;0)*(((K538+M538)-(L538+Calc!$J$2:$J$1001))&lt;Calc!$F$2:$F$1001)*((K538+M538)-(L538+Calc!$J$2:$J$1001))+(((K538+M538)-(L538+Calc!$J$2:$J$1001))&gt;=Calc!$F$2:$F$1001)*Calc!$F$2:$F$1001))))</f>
        <v/>
      </c>
      <c r="R538">
        <f>IF(I538=0,0,(MIN(MAX((K538+N538),0),L538)*W538+SUMPRODUCT((Calc!$A$2:$A$1001=A538)*Calc!$G$2:$G$1001*((((K538+N538)-(L538+Calc!$J$2:$J$1001))&gt;0)*(((K538+N538)-(L538+Calc!$J$2:$J$1001))&lt;Calc!$F$2:$F$1001)*((K538+N538)-(L538+Calc!$J$2:$J$1001))+(((K538+N538)-(L538+Calc!$J$2:$J$1001))&gt;=Calc!$F$2:$F$1001)*Calc!$F$2:$F$1001))))</f>
        <v/>
      </c>
      <c r="S538">
        <f>IF(I538=0,0,(MIN(MAX((K538+O538),0),L538)*W538+SUMPRODUCT((Calc!$A$2:$A$1001=A538)*Calc!$G$2:$G$1001*((((K538+O538)-(L538+Calc!$J$2:$J$1001))&gt;0)*(((K538+O538)-(L538+Calc!$J$2:$J$1001))&lt;Calc!$F$2:$F$1001)*((K538+O538)-(L538+Calc!$J$2:$J$1001))+(((K538+O538)-(L538+Calc!$J$2:$J$1001))&gt;=Calc!$F$2:$F$1001)*Calc!$F$2:$F$1001))))</f>
        <v/>
      </c>
      <c r="T538">
        <f>IF(AND(E538=1,B538="RETURN"),Transactions!E538*Transactions!G538,0)</f>
        <v/>
      </c>
      <c r="U538">
        <f>IF(AND(E538=1,B538="EXPENSE"),Transactions!J538,0)</f>
        <v/>
      </c>
      <c r="V538">
        <f>IF(AND(Transactions!A538&lt;&gt;"",E538=0),ROW(),"")</f>
        <v/>
      </c>
      <c r="W538">
        <f>IFERROR(VLOOKUP(A538,Opening!$A:$D,4,0),0)</f>
        <v/>
      </c>
    </row>
    <row r="539">
      <c r="A539">
        <f>IF(Transactions!D539="","",UPPER(TRIM(Transactions!D539)))</f>
        <v/>
      </c>
      <c r="B539">
        <f>IF(Transactions!C539="","",UPPER(TRIM(Transactions!C539)))</f>
        <v/>
      </c>
      <c r="C539">
        <f>IF(Transactions!B539="",0,YEAR(Transactions!B539)*100+MONTH(Transactions!B539))</f>
        <v/>
      </c>
      <c r="D539">
        <f>IF(Transactions!A539="",1,IF(COUNTIF(Transactions!$A$1:A538,Transactions!A539)&gt;0,1,0))</f>
        <v/>
      </c>
      <c r="E539">
        <f>IF(D539=1,0,IF(B539="RETURN",IF(COUNTIFS($A$1:A538,A539,$B$1:B538,"SALE",$E$1:E538,1)&gt;0,1,0),1))</f>
        <v/>
      </c>
      <c r="F539">
        <f>IF(E539=1,IF(B539="RECEIPT",Transactions!E539,IF(AND(B539="RETURN",LOWER(TRIM(Transactions!H539))="resellable"),Transactions!E539,0)),0)</f>
        <v/>
      </c>
      <c r="G539">
        <f>IF(F539&gt;0,IF(B539="RECEIPT",Transactions!F539,IF(_xlfn.MAXIFS($H$2:H539,$A$2:A539,A539)&gt;0,INDEX(Transactions!$F:$F,_xlfn.MAXIFS($H$2:H539,$A$2:A539,A539)),W539)),0)</f>
        <v/>
      </c>
      <c r="H539">
        <f>IF(AND(E539=1,B539="RECEIPT"),ROW(),0)</f>
        <v/>
      </c>
      <c r="I539">
        <f>IF(E539=1,IF(OR(B539="SALE",B539="WRITEOFF"),Transactions!E539,0),0)</f>
        <v/>
      </c>
      <c r="J539">
        <f>SUMIFS($F$1:F538,$A$1:A538,A539)</f>
        <v/>
      </c>
      <c r="K539">
        <f>SUMIFS($I$1:I538,$A$1:A538,A539)</f>
        <v/>
      </c>
      <c r="L539">
        <f>IFERROR(VLOOKUP(A539,Opening!$A:$C,3,0),0)</f>
        <v/>
      </c>
      <c r="M539">
        <f>IF(I539=0,0,MAX(0,MIN(INDEX(Month!H$2:H$13,MATCH($A539,Month!$A$2:$A$13,0))-K539,I539)))</f>
        <v/>
      </c>
      <c r="N539">
        <f>IF(I539=0,0,MAX(0,MIN(INDEX(Month!I$2:I$13,MATCH($A539,Month!$A$2:$A$13,0))-K539,I539)))</f>
        <v/>
      </c>
      <c r="O539">
        <f>IF(I539=0,0,MAX(0,MIN(INDEX(Month!J$2:J$13,MATCH($A539,Month!$A$2:$A$13,0))-K539,I539)))</f>
        <v/>
      </c>
      <c r="P539">
        <f>IF(I539=0,0,(MIN(MAX(K539,0),L539)*W539+SUMPRODUCT((Calc!$A$2:$A$1001=A539)*Calc!$G$2:$G$1001*(((K539-(L539+Calc!$J$2:$J$1001))&gt;0)*((K539-(L539+Calc!$J$2:$J$1001))&lt;Calc!$F$2:$F$1001)*(K539-(L539+Calc!$J$2:$J$1001))+((K539-(L539+Calc!$J$2:$J$1001))&gt;=Calc!$F$2:$F$1001)*Calc!$F$2:$F$1001))))</f>
        <v/>
      </c>
      <c r="Q539">
        <f>IF(I539=0,0,(MIN(MAX((K539+M539),0),L539)*W539+SUMPRODUCT((Calc!$A$2:$A$1001=A539)*Calc!$G$2:$G$1001*((((K539+M539)-(L539+Calc!$J$2:$J$1001))&gt;0)*(((K539+M539)-(L539+Calc!$J$2:$J$1001))&lt;Calc!$F$2:$F$1001)*((K539+M539)-(L539+Calc!$J$2:$J$1001))+(((K539+M539)-(L539+Calc!$J$2:$J$1001))&gt;=Calc!$F$2:$F$1001)*Calc!$F$2:$F$1001))))</f>
        <v/>
      </c>
      <c r="R539">
        <f>IF(I539=0,0,(MIN(MAX((K539+N539),0),L539)*W539+SUMPRODUCT((Calc!$A$2:$A$1001=A539)*Calc!$G$2:$G$1001*((((K539+N539)-(L539+Calc!$J$2:$J$1001))&gt;0)*(((K539+N539)-(L539+Calc!$J$2:$J$1001))&lt;Calc!$F$2:$F$1001)*((K539+N539)-(L539+Calc!$J$2:$J$1001))+(((K539+N539)-(L539+Calc!$J$2:$J$1001))&gt;=Calc!$F$2:$F$1001)*Calc!$F$2:$F$1001))))</f>
        <v/>
      </c>
      <c r="S539">
        <f>IF(I539=0,0,(MIN(MAX((K539+O539),0),L539)*W539+SUMPRODUCT((Calc!$A$2:$A$1001=A539)*Calc!$G$2:$G$1001*((((K539+O539)-(L539+Calc!$J$2:$J$1001))&gt;0)*(((K539+O539)-(L539+Calc!$J$2:$J$1001))&lt;Calc!$F$2:$F$1001)*((K539+O539)-(L539+Calc!$J$2:$J$1001))+(((K539+O539)-(L539+Calc!$J$2:$J$1001))&gt;=Calc!$F$2:$F$1001)*Calc!$F$2:$F$1001))))</f>
        <v/>
      </c>
      <c r="T539">
        <f>IF(AND(E539=1,B539="RETURN"),Transactions!E539*Transactions!G539,0)</f>
        <v/>
      </c>
      <c r="U539">
        <f>IF(AND(E539=1,B539="EXPENSE"),Transactions!J539,0)</f>
        <v/>
      </c>
      <c r="V539">
        <f>IF(AND(Transactions!A539&lt;&gt;"",E539=0),ROW(),"")</f>
        <v/>
      </c>
      <c r="W539">
        <f>IFERROR(VLOOKUP(A539,Opening!$A:$D,4,0),0)</f>
        <v/>
      </c>
    </row>
    <row r="540">
      <c r="A540">
        <f>IF(Transactions!D540="","",UPPER(TRIM(Transactions!D540)))</f>
        <v/>
      </c>
      <c r="B540">
        <f>IF(Transactions!C540="","",UPPER(TRIM(Transactions!C540)))</f>
        <v/>
      </c>
      <c r="C540">
        <f>IF(Transactions!B540="",0,YEAR(Transactions!B540)*100+MONTH(Transactions!B540))</f>
        <v/>
      </c>
      <c r="D540">
        <f>IF(Transactions!A540="",1,IF(COUNTIF(Transactions!$A$1:A539,Transactions!A540)&gt;0,1,0))</f>
        <v/>
      </c>
      <c r="E540">
        <f>IF(D540=1,0,IF(B540="RETURN",IF(COUNTIFS($A$1:A539,A540,$B$1:B539,"SALE",$E$1:E539,1)&gt;0,1,0),1))</f>
        <v/>
      </c>
      <c r="F540">
        <f>IF(E540=1,IF(B540="RECEIPT",Transactions!E540,IF(AND(B540="RETURN",LOWER(TRIM(Transactions!H540))="resellable"),Transactions!E540,0)),0)</f>
        <v/>
      </c>
      <c r="G540">
        <f>IF(F540&gt;0,IF(B540="RECEIPT",Transactions!F540,IF(_xlfn.MAXIFS($H$2:H540,$A$2:A540,A540)&gt;0,INDEX(Transactions!$F:$F,_xlfn.MAXIFS($H$2:H540,$A$2:A540,A540)),W540)),0)</f>
        <v/>
      </c>
      <c r="H540">
        <f>IF(AND(E540=1,B540="RECEIPT"),ROW(),0)</f>
        <v/>
      </c>
      <c r="I540">
        <f>IF(E540=1,IF(OR(B540="SALE",B540="WRITEOFF"),Transactions!E540,0),0)</f>
        <v/>
      </c>
      <c r="J540">
        <f>SUMIFS($F$1:F539,$A$1:A539,A540)</f>
        <v/>
      </c>
      <c r="K540">
        <f>SUMIFS($I$1:I539,$A$1:A539,A540)</f>
        <v/>
      </c>
      <c r="L540">
        <f>IFERROR(VLOOKUP(A540,Opening!$A:$C,3,0),0)</f>
        <v/>
      </c>
      <c r="M540">
        <f>IF(I540=0,0,MAX(0,MIN(INDEX(Month!H$2:H$13,MATCH($A540,Month!$A$2:$A$13,0))-K540,I540)))</f>
        <v/>
      </c>
      <c r="N540">
        <f>IF(I540=0,0,MAX(0,MIN(INDEX(Month!I$2:I$13,MATCH($A540,Month!$A$2:$A$13,0))-K540,I540)))</f>
        <v/>
      </c>
      <c r="O540">
        <f>IF(I540=0,0,MAX(0,MIN(INDEX(Month!J$2:J$13,MATCH($A540,Month!$A$2:$A$13,0))-K540,I540)))</f>
        <v/>
      </c>
      <c r="P540">
        <f>IF(I540=0,0,(MIN(MAX(K540,0),L540)*W540+SUMPRODUCT((Calc!$A$2:$A$1001=A540)*Calc!$G$2:$G$1001*(((K540-(L540+Calc!$J$2:$J$1001))&gt;0)*((K540-(L540+Calc!$J$2:$J$1001))&lt;Calc!$F$2:$F$1001)*(K540-(L540+Calc!$J$2:$J$1001))+((K540-(L540+Calc!$J$2:$J$1001))&gt;=Calc!$F$2:$F$1001)*Calc!$F$2:$F$1001))))</f>
        <v/>
      </c>
      <c r="Q540">
        <f>IF(I540=0,0,(MIN(MAX((K540+M540),0),L540)*W540+SUMPRODUCT((Calc!$A$2:$A$1001=A540)*Calc!$G$2:$G$1001*((((K540+M540)-(L540+Calc!$J$2:$J$1001))&gt;0)*(((K540+M540)-(L540+Calc!$J$2:$J$1001))&lt;Calc!$F$2:$F$1001)*((K540+M540)-(L540+Calc!$J$2:$J$1001))+(((K540+M540)-(L540+Calc!$J$2:$J$1001))&gt;=Calc!$F$2:$F$1001)*Calc!$F$2:$F$1001))))</f>
        <v/>
      </c>
      <c r="R540">
        <f>IF(I540=0,0,(MIN(MAX((K540+N540),0),L540)*W540+SUMPRODUCT((Calc!$A$2:$A$1001=A540)*Calc!$G$2:$G$1001*((((K540+N540)-(L540+Calc!$J$2:$J$1001))&gt;0)*(((K540+N540)-(L540+Calc!$J$2:$J$1001))&lt;Calc!$F$2:$F$1001)*((K540+N540)-(L540+Calc!$J$2:$J$1001))+(((K540+N540)-(L540+Calc!$J$2:$J$1001))&gt;=Calc!$F$2:$F$1001)*Calc!$F$2:$F$1001))))</f>
        <v/>
      </c>
      <c r="S540">
        <f>IF(I540=0,0,(MIN(MAX((K540+O540),0),L540)*W540+SUMPRODUCT((Calc!$A$2:$A$1001=A540)*Calc!$G$2:$G$1001*((((K540+O540)-(L540+Calc!$J$2:$J$1001))&gt;0)*(((K540+O540)-(L540+Calc!$J$2:$J$1001))&lt;Calc!$F$2:$F$1001)*((K540+O540)-(L540+Calc!$J$2:$J$1001))+(((K540+O540)-(L540+Calc!$J$2:$J$1001))&gt;=Calc!$F$2:$F$1001)*Calc!$F$2:$F$1001))))</f>
        <v/>
      </c>
      <c r="T540">
        <f>IF(AND(E540=1,B540="RETURN"),Transactions!E540*Transactions!G540,0)</f>
        <v/>
      </c>
      <c r="U540">
        <f>IF(AND(E540=1,B540="EXPENSE"),Transactions!J540,0)</f>
        <v/>
      </c>
      <c r="V540">
        <f>IF(AND(Transactions!A540&lt;&gt;"",E540=0),ROW(),"")</f>
        <v/>
      </c>
      <c r="W540">
        <f>IFERROR(VLOOKUP(A540,Opening!$A:$D,4,0),0)</f>
        <v/>
      </c>
    </row>
    <row r="541">
      <c r="A541">
        <f>IF(Transactions!D541="","",UPPER(TRIM(Transactions!D541)))</f>
        <v/>
      </c>
      <c r="B541">
        <f>IF(Transactions!C541="","",UPPER(TRIM(Transactions!C541)))</f>
        <v/>
      </c>
      <c r="C541">
        <f>IF(Transactions!B541="",0,YEAR(Transactions!B541)*100+MONTH(Transactions!B541))</f>
        <v/>
      </c>
      <c r="D541">
        <f>IF(Transactions!A541="",1,IF(COUNTIF(Transactions!$A$1:A540,Transactions!A541)&gt;0,1,0))</f>
        <v/>
      </c>
      <c r="E541">
        <f>IF(D541=1,0,IF(B541="RETURN",IF(COUNTIFS($A$1:A540,A541,$B$1:B540,"SALE",$E$1:E540,1)&gt;0,1,0),1))</f>
        <v/>
      </c>
      <c r="F541">
        <f>IF(E541=1,IF(B541="RECEIPT",Transactions!E541,IF(AND(B541="RETURN",LOWER(TRIM(Transactions!H541))="resellable"),Transactions!E541,0)),0)</f>
        <v/>
      </c>
      <c r="G541">
        <f>IF(F541&gt;0,IF(B541="RECEIPT",Transactions!F541,IF(_xlfn.MAXIFS($H$2:H541,$A$2:A541,A541)&gt;0,INDEX(Transactions!$F:$F,_xlfn.MAXIFS($H$2:H541,$A$2:A541,A541)),W541)),0)</f>
        <v/>
      </c>
      <c r="H541">
        <f>IF(AND(E541=1,B541="RECEIPT"),ROW(),0)</f>
        <v/>
      </c>
      <c r="I541">
        <f>IF(E541=1,IF(OR(B541="SALE",B541="WRITEOFF"),Transactions!E541,0),0)</f>
        <v/>
      </c>
      <c r="J541">
        <f>SUMIFS($F$1:F540,$A$1:A540,A541)</f>
        <v/>
      </c>
      <c r="K541">
        <f>SUMIFS($I$1:I540,$A$1:A540,A541)</f>
        <v/>
      </c>
      <c r="L541">
        <f>IFERROR(VLOOKUP(A541,Opening!$A:$C,3,0),0)</f>
        <v/>
      </c>
      <c r="M541">
        <f>IF(I541=0,0,MAX(0,MIN(INDEX(Month!H$2:H$13,MATCH($A541,Month!$A$2:$A$13,0))-K541,I541)))</f>
        <v/>
      </c>
      <c r="N541">
        <f>IF(I541=0,0,MAX(0,MIN(INDEX(Month!I$2:I$13,MATCH($A541,Month!$A$2:$A$13,0))-K541,I541)))</f>
        <v/>
      </c>
      <c r="O541">
        <f>IF(I541=0,0,MAX(0,MIN(INDEX(Month!J$2:J$13,MATCH($A541,Month!$A$2:$A$13,0))-K541,I541)))</f>
        <v/>
      </c>
      <c r="P541">
        <f>IF(I541=0,0,(MIN(MAX(K541,0),L541)*W541+SUMPRODUCT((Calc!$A$2:$A$1001=A541)*Calc!$G$2:$G$1001*(((K541-(L541+Calc!$J$2:$J$1001))&gt;0)*((K541-(L541+Calc!$J$2:$J$1001))&lt;Calc!$F$2:$F$1001)*(K541-(L541+Calc!$J$2:$J$1001))+((K541-(L541+Calc!$J$2:$J$1001))&gt;=Calc!$F$2:$F$1001)*Calc!$F$2:$F$1001))))</f>
        <v/>
      </c>
      <c r="Q541">
        <f>IF(I541=0,0,(MIN(MAX((K541+M541),0),L541)*W541+SUMPRODUCT((Calc!$A$2:$A$1001=A541)*Calc!$G$2:$G$1001*((((K541+M541)-(L541+Calc!$J$2:$J$1001))&gt;0)*(((K541+M541)-(L541+Calc!$J$2:$J$1001))&lt;Calc!$F$2:$F$1001)*((K541+M541)-(L541+Calc!$J$2:$J$1001))+(((K541+M541)-(L541+Calc!$J$2:$J$1001))&gt;=Calc!$F$2:$F$1001)*Calc!$F$2:$F$1001))))</f>
        <v/>
      </c>
      <c r="R541">
        <f>IF(I541=0,0,(MIN(MAX((K541+N541),0),L541)*W541+SUMPRODUCT((Calc!$A$2:$A$1001=A541)*Calc!$G$2:$G$1001*((((K541+N541)-(L541+Calc!$J$2:$J$1001))&gt;0)*(((K541+N541)-(L541+Calc!$J$2:$J$1001))&lt;Calc!$F$2:$F$1001)*((K541+N541)-(L541+Calc!$J$2:$J$1001))+(((K541+N541)-(L541+Calc!$J$2:$J$1001))&gt;=Calc!$F$2:$F$1001)*Calc!$F$2:$F$1001))))</f>
        <v/>
      </c>
      <c r="S541">
        <f>IF(I541=0,0,(MIN(MAX((K541+O541),0),L541)*W541+SUMPRODUCT((Calc!$A$2:$A$1001=A541)*Calc!$G$2:$G$1001*((((K541+O541)-(L541+Calc!$J$2:$J$1001))&gt;0)*(((K541+O541)-(L541+Calc!$J$2:$J$1001))&lt;Calc!$F$2:$F$1001)*((K541+O541)-(L541+Calc!$J$2:$J$1001))+(((K541+O541)-(L541+Calc!$J$2:$J$1001))&gt;=Calc!$F$2:$F$1001)*Calc!$F$2:$F$1001))))</f>
        <v/>
      </c>
      <c r="T541">
        <f>IF(AND(E541=1,B541="RETURN"),Transactions!E541*Transactions!G541,0)</f>
        <v/>
      </c>
      <c r="U541">
        <f>IF(AND(E541=1,B541="EXPENSE"),Transactions!J541,0)</f>
        <v/>
      </c>
      <c r="V541">
        <f>IF(AND(Transactions!A541&lt;&gt;"",E541=0),ROW(),"")</f>
        <v/>
      </c>
      <c r="W541">
        <f>IFERROR(VLOOKUP(A541,Opening!$A:$D,4,0),0)</f>
        <v/>
      </c>
    </row>
    <row r="542">
      <c r="A542">
        <f>IF(Transactions!D542="","",UPPER(TRIM(Transactions!D542)))</f>
        <v/>
      </c>
      <c r="B542">
        <f>IF(Transactions!C542="","",UPPER(TRIM(Transactions!C542)))</f>
        <v/>
      </c>
      <c r="C542">
        <f>IF(Transactions!B542="",0,YEAR(Transactions!B542)*100+MONTH(Transactions!B542))</f>
        <v/>
      </c>
      <c r="D542">
        <f>IF(Transactions!A542="",1,IF(COUNTIF(Transactions!$A$1:A541,Transactions!A542)&gt;0,1,0))</f>
        <v/>
      </c>
      <c r="E542">
        <f>IF(D542=1,0,IF(B542="RETURN",IF(COUNTIFS($A$1:A541,A542,$B$1:B541,"SALE",$E$1:E541,1)&gt;0,1,0),1))</f>
        <v/>
      </c>
      <c r="F542">
        <f>IF(E542=1,IF(B542="RECEIPT",Transactions!E542,IF(AND(B542="RETURN",LOWER(TRIM(Transactions!H542))="resellable"),Transactions!E542,0)),0)</f>
        <v/>
      </c>
      <c r="G542">
        <f>IF(F542&gt;0,IF(B542="RECEIPT",Transactions!F542,IF(_xlfn.MAXIFS($H$2:H542,$A$2:A542,A542)&gt;0,INDEX(Transactions!$F:$F,_xlfn.MAXIFS($H$2:H542,$A$2:A542,A542)),W542)),0)</f>
        <v/>
      </c>
      <c r="H542">
        <f>IF(AND(E542=1,B542="RECEIPT"),ROW(),0)</f>
        <v/>
      </c>
      <c r="I542">
        <f>IF(E542=1,IF(OR(B542="SALE",B542="WRITEOFF"),Transactions!E542,0),0)</f>
        <v/>
      </c>
      <c r="J542">
        <f>SUMIFS($F$1:F541,$A$1:A541,A542)</f>
        <v/>
      </c>
      <c r="K542">
        <f>SUMIFS($I$1:I541,$A$1:A541,A542)</f>
        <v/>
      </c>
      <c r="L542">
        <f>IFERROR(VLOOKUP(A542,Opening!$A:$C,3,0),0)</f>
        <v/>
      </c>
      <c r="M542">
        <f>IF(I542=0,0,MAX(0,MIN(INDEX(Month!H$2:H$13,MATCH($A542,Month!$A$2:$A$13,0))-K542,I542)))</f>
        <v/>
      </c>
      <c r="N542">
        <f>IF(I542=0,0,MAX(0,MIN(INDEX(Month!I$2:I$13,MATCH($A542,Month!$A$2:$A$13,0))-K542,I542)))</f>
        <v/>
      </c>
      <c r="O542">
        <f>IF(I542=0,0,MAX(0,MIN(INDEX(Month!J$2:J$13,MATCH($A542,Month!$A$2:$A$13,0))-K542,I542)))</f>
        <v/>
      </c>
      <c r="P542">
        <f>IF(I542=0,0,(MIN(MAX(K542,0),L542)*W542+SUMPRODUCT((Calc!$A$2:$A$1001=A542)*Calc!$G$2:$G$1001*(((K542-(L542+Calc!$J$2:$J$1001))&gt;0)*((K542-(L542+Calc!$J$2:$J$1001))&lt;Calc!$F$2:$F$1001)*(K542-(L542+Calc!$J$2:$J$1001))+((K542-(L542+Calc!$J$2:$J$1001))&gt;=Calc!$F$2:$F$1001)*Calc!$F$2:$F$1001))))</f>
        <v/>
      </c>
      <c r="Q542">
        <f>IF(I542=0,0,(MIN(MAX((K542+M542),0),L542)*W542+SUMPRODUCT((Calc!$A$2:$A$1001=A542)*Calc!$G$2:$G$1001*((((K542+M542)-(L542+Calc!$J$2:$J$1001))&gt;0)*(((K542+M542)-(L542+Calc!$J$2:$J$1001))&lt;Calc!$F$2:$F$1001)*((K542+M542)-(L542+Calc!$J$2:$J$1001))+(((K542+M542)-(L542+Calc!$J$2:$J$1001))&gt;=Calc!$F$2:$F$1001)*Calc!$F$2:$F$1001))))</f>
        <v/>
      </c>
      <c r="R542">
        <f>IF(I542=0,0,(MIN(MAX((K542+N542),0),L542)*W542+SUMPRODUCT((Calc!$A$2:$A$1001=A542)*Calc!$G$2:$G$1001*((((K542+N542)-(L542+Calc!$J$2:$J$1001))&gt;0)*(((K542+N542)-(L542+Calc!$J$2:$J$1001))&lt;Calc!$F$2:$F$1001)*((K542+N542)-(L542+Calc!$J$2:$J$1001))+(((K542+N542)-(L542+Calc!$J$2:$J$1001))&gt;=Calc!$F$2:$F$1001)*Calc!$F$2:$F$1001))))</f>
        <v/>
      </c>
      <c r="S542">
        <f>IF(I542=0,0,(MIN(MAX((K542+O542),0),L542)*W542+SUMPRODUCT((Calc!$A$2:$A$1001=A542)*Calc!$G$2:$G$1001*((((K542+O542)-(L542+Calc!$J$2:$J$1001))&gt;0)*(((K542+O542)-(L542+Calc!$J$2:$J$1001))&lt;Calc!$F$2:$F$1001)*((K542+O542)-(L542+Calc!$J$2:$J$1001))+(((K542+O542)-(L542+Calc!$J$2:$J$1001))&gt;=Calc!$F$2:$F$1001)*Calc!$F$2:$F$1001))))</f>
        <v/>
      </c>
      <c r="T542">
        <f>IF(AND(E542=1,B542="RETURN"),Transactions!E542*Transactions!G542,0)</f>
        <v/>
      </c>
      <c r="U542">
        <f>IF(AND(E542=1,B542="EXPENSE"),Transactions!J542,0)</f>
        <v/>
      </c>
      <c r="V542">
        <f>IF(AND(Transactions!A542&lt;&gt;"",E542=0),ROW(),"")</f>
        <v/>
      </c>
      <c r="W542">
        <f>IFERROR(VLOOKUP(A542,Opening!$A:$D,4,0),0)</f>
        <v/>
      </c>
    </row>
    <row r="543">
      <c r="A543">
        <f>IF(Transactions!D543="","",UPPER(TRIM(Transactions!D543)))</f>
        <v/>
      </c>
      <c r="B543">
        <f>IF(Transactions!C543="","",UPPER(TRIM(Transactions!C543)))</f>
        <v/>
      </c>
      <c r="C543">
        <f>IF(Transactions!B543="",0,YEAR(Transactions!B543)*100+MONTH(Transactions!B543))</f>
        <v/>
      </c>
      <c r="D543">
        <f>IF(Transactions!A543="",1,IF(COUNTIF(Transactions!$A$1:A542,Transactions!A543)&gt;0,1,0))</f>
        <v/>
      </c>
      <c r="E543">
        <f>IF(D543=1,0,IF(B543="RETURN",IF(COUNTIFS($A$1:A542,A543,$B$1:B542,"SALE",$E$1:E542,1)&gt;0,1,0),1))</f>
        <v/>
      </c>
      <c r="F543">
        <f>IF(E543=1,IF(B543="RECEIPT",Transactions!E543,IF(AND(B543="RETURN",LOWER(TRIM(Transactions!H543))="resellable"),Transactions!E543,0)),0)</f>
        <v/>
      </c>
      <c r="G543">
        <f>IF(F543&gt;0,IF(B543="RECEIPT",Transactions!F543,IF(_xlfn.MAXIFS($H$2:H543,$A$2:A543,A543)&gt;0,INDEX(Transactions!$F:$F,_xlfn.MAXIFS($H$2:H543,$A$2:A543,A543)),W543)),0)</f>
        <v/>
      </c>
      <c r="H543">
        <f>IF(AND(E543=1,B543="RECEIPT"),ROW(),0)</f>
        <v/>
      </c>
      <c r="I543">
        <f>IF(E543=1,IF(OR(B543="SALE",B543="WRITEOFF"),Transactions!E543,0),0)</f>
        <v/>
      </c>
      <c r="J543">
        <f>SUMIFS($F$1:F542,$A$1:A542,A543)</f>
        <v/>
      </c>
      <c r="K543">
        <f>SUMIFS($I$1:I542,$A$1:A542,A543)</f>
        <v/>
      </c>
      <c r="L543">
        <f>IFERROR(VLOOKUP(A543,Opening!$A:$C,3,0),0)</f>
        <v/>
      </c>
      <c r="M543">
        <f>IF(I543=0,0,MAX(0,MIN(INDEX(Month!H$2:H$13,MATCH($A543,Month!$A$2:$A$13,0))-K543,I543)))</f>
        <v/>
      </c>
      <c r="N543">
        <f>IF(I543=0,0,MAX(0,MIN(INDEX(Month!I$2:I$13,MATCH($A543,Month!$A$2:$A$13,0))-K543,I543)))</f>
        <v/>
      </c>
      <c r="O543">
        <f>IF(I543=0,0,MAX(0,MIN(INDEX(Month!J$2:J$13,MATCH($A543,Month!$A$2:$A$13,0))-K543,I543)))</f>
        <v/>
      </c>
      <c r="P543">
        <f>IF(I543=0,0,(MIN(MAX(K543,0),L543)*W543+SUMPRODUCT((Calc!$A$2:$A$1001=A543)*Calc!$G$2:$G$1001*(((K543-(L543+Calc!$J$2:$J$1001))&gt;0)*((K543-(L543+Calc!$J$2:$J$1001))&lt;Calc!$F$2:$F$1001)*(K543-(L543+Calc!$J$2:$J$1001))+((K543-(L543+Calc!$J$2:$J$1001))&gt;=Calc!$F$2:$F$1001)*Calc!$F$2:$F$1001))))</f>
        <v/>
      </c>
      <c r="Q543">
        <f>IF(I543=0,0,(MIN(MAX((K543+M543),0),L543)*W543+SUMPRODUCT((Calc!$A$2:$A$1001=A543)*Calc!$G$2:$G$1001*((((K543+M543)-(L543+Calc!$J$2:$J$1001))&gt;0)*(((K543+M543)-(L543+Calc!$J$2:$J$1001))&lt;Calc!$F$2:$F$1001)*((K543+M543)-(L543+Calc!$J$2:$J$1001))+(((K543+M543)-(L543+Calc!$J$2:$J$1001))&gt;=Calc!$F$2:$F$1001)*Calc!$F$2:$F$1001))))</f>
        <v/>
      </c>
      <c r="R543">
        <f>IF(I543=0,0,(MIN(MAX((K543+N543),0),L543)*W543+SUMPRODUCT((Calc!$A$2:$A$1001=A543)*Calc!$G$2:$G$1001*((((K543+N543)-(L543+Calc!$J$2:$J$1001))&gt;0)*(((K543+N543)-(L543+Calc!$J$2:$J$1001))&lt;Calc!$F$2:$F$1001)*((K543+N543)-(L543+Calc!$J$2:$J$1001))+(((K543+N543)-(L543+Calc!$J$2:$J$1001))&gt;=Calc!$F$2:$F$1001)*Calc!$F$2:$F$1001))))</f>
        <v/>
      </c>
      <c r="S543">
        <f>IF(I543=0,0,(MIN(MAX((K543+O543),0),L543)*W543+SUMPRODUCT((Calc!$A$2:$A$1001=A543)*Calc!$G$2:$G$1001*((((K543+O543)-(L543+Calc!$J$2:$J$1001))&gt;0)*(((K543+O543)-(L543+Calc!$J$2:$J$1001))&lt;Calc!$F$2:$F$1001)*((K543+O543)-(L543+Calc!$J$2:$J$1001))+(((K543+O543)-(L543+Calc!$J$2:$J$1001))&gt;=Calc!$F$2:$F$1001)*Calc!$F$2:$F$1001))))</f>
        <v/>
      </c>
      <c r="T543">
        <f>IF(AND(E543=1,B543="RETURN"),Transactions!E543*Transactions!G543,0)</f>
        <v/>
      </c>
      <c r="U543">
        <f>IF(AND(E543=1,B543="EXPENSE"),Transactions!J543,0)</f>
        <v/>
      </c>
      <c r="V543">
        <f>IF(AND(Transactions!A543&lt;&gt;"",E543=0),ROW(),"")</f>
        <v/>
      </c>
      <c r="W543">
        <f>IFERROR(VLOOKUP(A543,Opening!$A:$D,4,0),0)</f>
        <v/>
      </c>
    </row>
    <row r="544">
      <c r="A544">
        <f>IF(Transactions!D544="","",UPPER(TRIM(Transactions!D544)))</f>
        <v/>
      </c>
      <c r="B544">
        <f>IF(Transactions!C544="","",UPPER(TRIM(Transactions!C544)))</f>
        <v/>
      </c>
      <c r="C544">
        <f>IF(Transactions!B544="",0,YEAR(Transactions!B544)*100+MONTH(Transactions!B544))</f>
        <v/>
      </c>
      <c r="D544">
        <f>IF(Transactions!A544="",1,IF(COUNTIF(Transactions!$A$1:A543,Transactions!A544)&gt;0,1,0))</f>
        <v/>
      </c>
      <c r="E544">
        <f>IF(D544=1,0,IF(B544="RETURN",IF(COUNTIFS($A$1:A543,A544,$B$1:B543,"SALE",$E$1:E543,1)&gt;0,1,0),1))</f>
        <v/>
      </c>
      <c r="F544">
        <f>IF(E544=1,IF(B544="RECEIPT",Transactions!E544,IF(AND(B544="RETURN",LOWER(TRIM(Transactions!H544))="resellable"),Transactions!E544,0)),0)</f>
        <v/>
      </c>
      <c r="G544">
        <f>IF(F544&gt;0,IF(B544="RECEIPT",Transactions!F544,IF(_xlfn.MAXIFS($H$2:H544,$A$2:A544,A544)&gt;0,INDEX(Transactions!$F:$F,_xlfn.MAXIFS($H$2:H544,$A$2:A544,A544)),W544)),0)</f>
        <v/>
      </c>
      <c r="H544">
        <f>IF(AND(E544=1,B544="RECEIPT"),ROW(),0)</f>
        <v/>
      </c>
      <c r="I544">
        <f>IF(E544=1,IF(OR(B544="SALE",B544="WRITEOFF"),Transactions!E544,0),0)</f>
        <v/>
      </c>
      <c r="J544">
        <f>SUMIFS($F$1:F543,$A$1:A543,A544)</f>
        <v/>
      </c>
      <c r="K544">
        <f>SUMIFS($I$1:I543,$A$1:A543,A544)</f>
        <v/>
      </c>
      <c r="L544">
        <f>IFERROR(VLOOKUP(A544,Opening!$A:$C,3,0),0)</f>
        <v/>
      </c>
      <c r="M544">
        <f>IF(I544=0,0,MAX(0,MIN(INDEX(Month!H$2:H$13,MATCH($A544,Month!$A$2:$A$13,0))-K544,I544)))</f>
        <v/>
      </c>
      <c r="N544">
        <f>IF(I544=0,0,MAX(0,MIN(INDEX(Month!I$2:I$13,MATCH($A544,Month!$A$2:$A$13,0))-K544,I544)))</f>
        <v/>
      </c>
      <c r="O544">
        <f>IF(I544=0,0,MAX(0,MIN(INDEX(Month!J$2:J$13,MATCH($A544,Month!$A$2:$A$13,0))-K544,I544)))</f>
        <v/>
      </c>
      <c r="P544">
        <f>IF(I544=0,0,(MIN(MAX(K544,0),L544)*W544+SUMPRODUCT((Calc!$A$2:$A$1001=A544)*Calc!$G$2:$G$1001*(((K544-(L544+Calc!$J$2:$J$1001))&gt;0)*((K544-(L544+Calc!$J$2:$J$1001))&lt;Calc!$F$2:$F$1001)*(K544-(L544+Calc!$J$2:$J$1001))+((K544-(L544+Calc!$J$2:$J$1001))&gt;=Calc!$F$2:$F$1001)*Calc!$F$2:$F$1001))))</f>
        <v/>
      </c>
      <c r="Q544">
        <f>IF(I544=0,0,(MIN(MAX((K544+M544),0),L544)*W544+SUMPRODUCT((Calc!$A$2:$A$1001=A544)*Calc!$G$2:$G$1001*((((K544+M544)-(L544+Calc!$J$2:$J$1001))&gt;0)*(((K544+M544)-(L544+Calc!$J$2:$J$1001))&lt;Calc!$F$2:$F$1001)*((K544+M544)-(L544+Calc!$J$2:$J$1001))+(((K544+M544)-(L544+Calc!$J$2:$J$1001))&gt;=Calc!$F$2:$F$1001)*Calc!$F$2:$F$1001))))</f>
        <v/>
      </c>
      <c r="R544">
        <f>IF(I544=0,0,(MIN(MAX((K544+N544),0),L544)*W544+SUMPRODUCT((Calc!$A$2:$A$1001=A544)*Calc!$G$2:$G$1001*((((K544+N544)-(L544+Calc!$J$2:$J$1001))&gt;0)*(((K544+N544)-(L544+Calc!$J$2:$J$1001))&lt;Calc!$F$2:$F$1001)*((K544+N544)-(L544+Calc!$J$2:$J$1001))+(((K544+N544)-(L544+Calc!$J$2:$J$1001))&gt;=Calc!$F$2:$F$1001)*Calc!$F$2:$F$1001))))</f>
        <v/>
      </c>
      <c r="S544">
        <f>IF(I544=0,0,(MIN(MAX((K544+O544),0),L544)*W544+SUMPRODUCT((Calc!$A$2:$A$1001=A544)*Calc!$G$2:$G$1001*((((K544+O544)-(L544+Calc!$J$2:$J$1001))&gt;0)*(((K544+O544)-(L544+Calc!$J$2:$J$1001))&lt;Calc!$F$2:$F$1001)*((K544+O544)-(L544+Calc!$J$2:$J$1001))+(((K544+O544)-(L544+Calc!$J$2:$J$1001))&gt;=Calc!$F$2:$F$1001)*Calc!$F$2:$F$1001))))</f>
        <v/>
      </c>
      <c r="T544">
        <f>IF(AND(E544=1,B544="RETURN"),Transactions!E544*Transactions!G544,0)</f>
        <v/>
      </c>
      <c r="U544">
        <f>IF(AND(E544=1,B544="EXPENSE"),Transactions!J544,0)</f>
        <v/>
      </c>
      <c r="V544">
        <f>IF(AND(Transactions!A544&lt;&gt;"",E544=0),ROW(),"")</f>
        <v/>
      </c>
      <c r="W544">
        <f>IFERROR(VLOOKUP(A544,Opening!$A:$D,4,0),0)</f>
        <v/>
      </c>
    </row>
    <row r="545">
      <c r="A545">
        <f>IF(Transactions!D545="","",UPPER(TRIM(Transactions!D545)))</f>
        <v/>
      </c>
      <c r="B545">
        <f>IF(Transactions!C545="","",UPPER(TRIM(Transactions!C545)))</f>
        <v/>
      </c>
      <c r="C545">
        <f>IF(Transactions!B545="",0,YEAR(Transactions!B545)*100+MONTH(Transactions!B545))</f>
        <v/>
      </c>
      <c r="D545">
        <f>IF(Transactions!A545="",1,IF(COUNTIF(Transactions!$A$1:A544,Transactions!A545)&gt;0,1,0))</f>
        <v/>
      </c>
      <c r="E545">
        <f>IF(D545=1,0,IF(B545="RETURN",IF(COUNTIFS($A$1:A544,A545,$B$1:B544,"SALE",$E$1:E544,1)&gt;0,1,0),1))</f>
        <v/>
      </c>
      <c r="F545">
        <f>IF(E545=1,IF(B545="RECEIPT",Transactions!E545,IF(AND(B545="RETURN",LOWER(TRIM(Transactions!H545))="resellable"),Transactions!E545,0)),0)</f>
        <v/>
      </c>
      <c r="G545">
        <f>IF(F545&gt;0,IF(B545="RECEIPT",Transactions!F545,IF(_xlfn.MAXIFS($H$2:H545,$A$2:A545,A545)&gt;0,INDEX(Transactions!$F:$F,_xlfn.MAXIFS($H$2:H545,$A$2:A545,A545)),W545)),0)</f>
        <v/>
      </c>
      <c r="H545">
        <f>IF(AND(E545=1,B545="RECEIPT"),ROW(),0)</f>
        <v/>
      </c>
      <c r="I545">
        <f>IF(E545=1,IF(OR(B545="SALE",B545="WRITEOFF"),Transactions!E545,0),0)</f>
        <v/>
      </c>
      <c r="J545">
        <f>SUMIFS($F$1:F544,$A$1:A544,A545)</f>
        <v/>
      </c>
      <c r="K545">
        <f>SUMIFS($I$1:I544,$A$1:A544,A545)</f>
        <v/>
      </c>
      <c r="L545">
        <f>IFERROR(VLOOKUP(A545,Opening!$A:$C,3,0),0)</f>
        <v/>
      </c>
      <c r="M545">
        <f>IF(I545=0,0,MAX(0,MIN(INDEX(Month!H$2:H$13,MATCH($A545,Month!$A$2:$A$13,0))-K545,I545)))</f>
        <v/>
      </c>
      <c r="N545">
        <f>IF(I545=0,0,MAX(0,MIN(INDEX(Month!I$2:I$13,MATCH($A545,Month!$A$2:$A$13,0))-K545,I545)))</f>
        <v/>
      </c>
      <c r="O545">
        <f>IF(I545=0,0,MAX(0,MIN(INDEX(Month!J$2:J$13,MATCH($A545,Month!$A$2:$A$13,0))-K545,I545)))</f>
        <v/>
      </c>
      <c r="P545">
        <f>IF(I545=0,0,(MIN(MAX(K545,0),L545)*W545+SUMPRODUCT((Calc!$A$2:$A$1001=A545)*Calc!$G$2:$G$1001*(((K545-(L545+Calc!$J$2:$J$1001))&gt;0)*((K545-(L545+Calc!$J$2:$J$1001))&lt;Calc!$F$2:$F$1001)*(K545-(L545+Calc!$J$2:$J$1001))+((K545-(L545+Calc!$J$2:$J$1001))&gt;=Calc!$F$2:$F$1001)*Calc!$F$2:$F$1001))))</f>
        <v/>
      </c>
      <c r="Q545">
        <f>IF(I545=0,0,(MIN(MAX((K545+M545),0),L545)*W545+SUMPRODUCT((Calc!$A$2:$A$1001=A545)*Calc!$G$2:$G$1001*((((K545+M545)-(L545+Calc!$J$2:$J$1001))&gt;0)*(((K545+M545)-(L545+Calc!$J$2:$J$1001))&lt;Calc!$F$2:$F$1001)*((K545+M545)-(L545+Calc!$J$2:$J$1001))+(((K545+M545)-(L545+Calc!$J$2:$J$1001))&gt;=Calc!$F$2:$F$1001)*Calc!$F$2:$F$1001))))</f>
        <v/>
      </c>
      <c r="R545">
        <f>IF(I545=0,0,(MIN(MAX((K545+N545),0),L545)*W545+SUMPRODUCT((Calc!$A$2:$A$1001=A545)*Calc!$G$2:$G$1001*((((K545+N545)-(L545+Calc!$J$2:$J$1001))&gt;0)*(((K545+N545)-(L545+Calc!$J$2:$J$1001))&lt;Calc!$F$2:$F$1001)*((K545+N545)-(L545+Calc!$J$2:$J$1001))+(((K545+N545)-(L545+Calc!$J$2:$J$1001))&gt;=Calc!$F$2:$F$1001)*Calc!$F$2:$F$1001))))</f>
        <v/>
      </c>
      <c r="S545">
        <f>IF(I545=0,0,(MIN(MAX((K545+O545),0),L545)*W545+SUMPRODUCT((Calc!$A$2:$A$1001=A545)*Calc!$G$2:$G$1001*((((K545+O545)-(L545+Calc!$J$2:$J$1001))&gt;0)*(((K545+O545)-(L545+Calc!$J$2:$J$1001))&lt;Calc!$F$2:$F$1001)*((K545+O545)-(L545+Calc!$J$2:$J$1001))+(((K545+O545)-(L545+Calc!$J$2:$J$1001))&gt;=Calc!$F$2:$F$1001)*Calc!$F$2:$F$1001))))</f>
        <v/>
      </c>
      <c r="T545">
        <f>IF(AND(E545=1,B545="RETURN"),Transactions!E545*Transactions!G545,0)</f>
        <v/>
      </c>
      <c r="U545">
        <f>IF(AND(E545=1,B545="EXPENSE"),Transactions!J545,0)</f>
        <v/>
      </c>
      <c r="V545">
        <f>IF(AND(Transactions!A545&lt;&gt;"",E545=0),ROW(),"")</f>
        <v/>
      </c>
      <c r="W545">
        <f>IFERROR(VLOOKUP(A545,Opening!$A:$D,4,0),0)</f>
        <v/>
      </c>
    </row>
    <row r="546">
      <c r="A546">
        <f>IF(Transactions!D546="","",UPPER(TRIM(Transactions!D546)))</f>
        <v/>
      </c>
      <c r="B546">
        <f>IF(Transactions!C546="","",UPPER(TRIM(Transactions!C546)))</f>
        <v/>
      </c>
      <c r="C546">
        <f>IF(Transactions!B546="",0,YEAR(Transactions!B546)*100+MONTH(Transactions!B546))</f>
        <v/>
      </c>
      <c r="D546">
        <f>IF(Transactions!A546="",1,IF(COUNTIF(Transactions!$A$1:A545,Transactions!A546)&gt;0,1,0))</f>
        <v/>
      </c>
      <c r="E546">
        <f>IF(D546=1,0,IF(B546="RETURN",IF(COUNTIFS($A$1:A545,A546,$B$1:B545,"SALE",$E$1:E545,1)&gt;0,1,0),1))</f>
        <v/>
      </c>
      <c r="F546">
        <f>IF(E546=1,IF(B546="RECEIPT",Transactions!E546,IF(AND(B546="RETURN",LOWER(TRIM(Transactions!H546))="resellable"),Transactions!E546,0)),0)</f>
        <v/>
      </c>
      <c r="G546">
        <f>IF(F546&gt;0,IF(B546="RECEIPT",Transactions!F546,IF(_xlfn.MAXIFS($H$2:H546,$A$2:A546,A546)&gt;0,INDEX(Transactions!$F:$F,_xlfn.MAXIFS($H$2:H546,$A$2:A546,A546)),W546)),0)</f>
        <v/>
      </c>
      <c r="H546">
        <f>IF(AND(E546=1,B546="RECEIPT"),ROW(),0)</f>
        <v/>
      </c>
      <c r="I546">
        <f>IF(E546=1,IF(OR(B546="SALE",B546="WRITEOFF"),Transactions!E546,0),0)</f>
        <v/>
      </c>
      <c r="J546">
        <f>SUMIFS($F$1:F545,$A$1:A545,A546)</f>
        <v/>
      </c>
      <c r="K546">
        <f>SUMIFS($I$1:I545,$A$1:A545,A546)</f>
        <v/>
      </c>
      <c r="L546">
        <f>IFERROR(VLOOKUP(A546,Opening!$A:$C,3,0),0)</f>
        <v/>
      </c>
      <c r="M546">
        <f>IF(I546=0,0,MAX(0,MIN(INDEX(Month!H$2:H$13,MATCH($A546,Month!$A$2:$A$13,0))-K546,I546)))</f>
        <v/>
      </c>
      <c r="N546">
        <f>IF(I546=0,0,MAX(0,MIN(INDEX(Month!I$2:I$13,MATCH($A546,Month!$A$2:$A$13,0))-K546,I546)))</f>
        <v/>
      </c>
      <c r="O546">
        <f>IF(I546=0,0,MAX(0,MIN(INDEX(Month!J$2:J$13,MATCH($A546,Month!$A$2:$A$13,0))-K546,I546)))</f>
        <v/>
      </c>
      <c r="P546">
        <f>IF(I546=0,0,(MIN(MAX(K546,0),L546)*W546+SUMPRODUCT((Calc!$A$2:$A$1001=A546)*Calc!$G$2:$G$1001*(((K546-(L546+Calc!$J$2:$J$1001))&gt;0)*((K546-(L546+Calc!$J$2:$J$1001))&lt;Calc!$F$2:$F$1001)*(K546-(L546+Calc!$J$2:$J$1001))+((K546-(L546+Calc!$J$2:$J$1001))&gt;=Calc!$F$2:$F$1001)*Calc!$F$2:$F$1001))))</f>
        <v/>
      </c>
      <c r="Q546">
        <f>IF(I546=0,0,(MIN(MAX((K546+M546),0),L546)*W546+SUMPRODUCT((Calc!$A$2:$A$1001=A546)*Calc!$G$2:$G$1001*((((K546+M546)-(L546+Calc!$J$2:$J$1001))&gt;0)*(((K546+M546)-(L546+Calc!$J$2:$J$1001))&lt;Calc!$F$2:$F$1001)*((K546+M546)-(L546+Calc!$J$2:$J$1001))+(((K546+M546)-(L546+Calc!$J$2:$J$1001))&gt;=Calc!$F$2:$F$1001)*Calc!$F$2:$F$1001))))</f>
        <v/>
      </c>
      <c r="R546">
        <f>IF(I546=0,0,(MIN(MAX((K546+N546),0),L546)*W546+SUMPRODUCT((Calc!$A$2:$A$1001=A546)*Calc!$G$2:$G$1001*((((K546+N546)-(L546+Calc!$J$2:$J$1001))&gt;0)*(((K546+N546)-(L546+Calc!$J$2:$J$1001))&lt;Calc!$F$2:$F$1001)*((K546+N546)-(L546+Calc!$J$2:$J$1001))+(((K546+N546)-(L546+Calc!$J$2:$J$1001))&gt;=Calc!$F$2:$F$1001)*Calc!$F$2:$F$1001))))</f>
        <v/>
      </c>
      <c r="S546">
        <f>IF(I546=0,0,(MIN(MAX((K546+O546),0),L546)*W546+SUMPRODUCT((Calc!$A$2:$A$1001=A546)*Calc!$G$2:$G$1001*((((K546+O546)-(L546+Calc!$J$2:$J$1001))&gt;0)*(((K546+O546)-(L546+Calc!$J$2:$J$1001))&lt;Calc!$F$2:$F$1001)*((K546+O546)-(L546+Calc!$J$2:$J$1001))+(((K546+O546)-(L546+Calc!$J$2:$J$1001))&gt;=Calc!$F$2:$F$1001)*Calc!$F$2:$F$1001))))</f>
        <v/>
      </c>
      <c r="T546">
        <f>IF(AND(E546=1,B546="RETURN"),Transactions!E546*Transactions!G546,0)</f>
        <v/>
      </c>
      <c r="U546">
        <f>IF(AND(E546=1,B546="EXPENSE"),Transactions!J546,0)</f>
        <v/>
      </c>
      <c r="V546">
        <f>IF(AND(Transactions!A546&lt;&gt;"",E546=0),ROW(),"")</f>
        <v/>
      </c>
      <c r="W546">
        <f>IFERROR(VLOOKUP(A546,Opening!$A:$D,4,0),0)</f>
        <v/>
      </c>
    </row>
    <row r="547">
      <c r="A547">
        <f>IF(Transactions!D547="","",UPPER(TRIM(Transactions!D547)))</f>
        <v/>
      </c>
      <c r="B547">
        <f>IF(Transactions!C547="","",UPPER(TRIM(Transactions!C547)))</f>
        <v/>
      </c>
      <c r="C547">
        <f>IF(Transactions!B547="",0,YEAR(Transactions!B547)*100+MONTH(Transactions!B547))</f>
        <v/>
      </c>
      <c r="D547">
        <f>IF(Transactions!A547="",1,IF(COUNTIF(Transactions!$A$1:A546,Transactions!A547)&gt;0,1,0))</f>
        <v/>
      </c>
      <c r="E547">
        <f>IF(D547=1,0,IF(B547="RETURN",IF(COUNTIFS($A$1:A546,A547,$B$1:B546,"SALE",$E$1:E546,1)&gt;0,1,0),1))</f>
        <v/>
      </c>
      <c r="F547">
        <f>IF(E547=1,IF(B547="RECEIPT",Transactions!E547,IF(AND(B547="RETURN",LOWER(TRIM(Transactions!H547))="resellable"),Transactions!E547,0)),0)</f>
        <v/>
      </c>
      <c r="G547">
        <f>IF(F547&gt;0,IF(B547="RECEIPT",Transactions!F547,IF(_xlfn.MAXIFS($H$2:H547,$A$2:A547,A547)&gt;0,INDEX(Transactions!$F:$F,_xlfn.MAXIFS($H$2:H547,$A$2:A547,A547)),W547)),0)</f>
        <v/>
      </c>
      <c r="H547">
        <f>IF(AND(E547=1,B547="RECEIPT"),ROW(),0)</f>
        <v/>
      </c>
      <c r="I547">
        <f>IF(E547=1,IF(OR(B547="SALE",B547="WRITEOFF"),Transactions!E547,0),0)</f>
        <v/>
      </c>
      <c r="J547">
        <f>SUMIFS($F$1:F546,$A$1:A546,A547)</f>
        <v/>
      </c>
      <c r="K547">
        <f>SUMIFS($I$1:I546,$A$1:A546,A547)</f>
        <v/>
      </c>
      <c r="L547">
        <f>IFERROR(VLOOKUP(A547,Opening!$A:$C,3,0),0)</f>
        <v/>
      </c>
      <c r="M547">
        <f>IF(I547=0,0,MAX(0,MIN(INDEX(Month!H$2:H$13,MATCH($A547,Month!$A$2:$A$13,0))-K547,I547)))</f>
        <v/>
      </c>
      <c r="N547">
        <f>IF(I547=0,0,MAX(0,MIN(INDEX(Month!I$2:I$13,MATCH($A547,Month!$A$2:$A$13,0))-K547,I547)))</f>
        <v/>
      </c>
      <c r="O547">
        <f>IF(I547=0,0,MAX(0,MIN(INDEX(Month!J$2:J$13,MATCH($A547,Month!$A$2:$A$13,0))-K547,I547)))</f>
        <v/>
      </c>
      <c r="P547">
        <f>IF(I547=0,0,(MIN(MAX(K547,0),L547)*W547+SUMPRODUCT((Calc!$A$2:$A$1001=A547)*Calc!$G$2:$G$1001*(((K547-(L547+Calc!$J$2:$J$1001))&gt;0)*((K547-(L547+Calc!$J$2:$J$1001))&lt;Calc!$F$2:$F$1001)*(K547-(L547+Calc!$J$2:$J$1001))+((K547-(L547+Calc!$J$2:$J$1001))&gt;=Calc!$F$2:$F$1001)*Calc!$F$2:$F$1001))))</f>
        <v/>
      </c>
      <c r="Q547">
        <f>IF(I547=0,0,(MIN(MAX((K547+M547),0),L547)*W547+SUMPRODUCT((Calc!$A$2:$A$1001=A547)*Calc!$G$2:$G$1001*((((K547+M547)-(L547+Calc!$J$2:$J$1001))&gt;0)*(((K547+M547)-(L547+Calc!$J$2:$J$1001))&lt;Calc!$F$2:$F$1001)*((K547+M547)-(L547+Calc!$J$2:$J$1001))+(((K547+M547)-(L547+Calc!$J$2:$J$1001))&gt;=Calc!$F$2:$F$1001)*Calc!$F$2:$F$1001))))</f>
        <v/>
      </c>
      <c r="R547">
        <f>IF(I547=0,0,(MIN(MAX((K547+N547),0),L547)*W547+SUMPRODUCT((Calc!$A$2:$A$1001=A547)*Calc!$G$2:$G$1001*((((K547+N547)-(L547+Calc!$J$2:$J$1001))&gt;0)*(((K547+N547)-(L547+Calc!$J$2:$J$1001))&lt;Calc!$F$2:$F$1001)*((K547+N547)-(L547+Calc!$J$2:$J$1001))+(((K547+N547)-(L547+Calc!$J$2:$J$1001))&gt;=Calc!$F$2:$F$1001)*Calc!$F$2:$F$1001))))</f>
        <v/>
      </c>
      <c r="S547">
        <f>IF(I547=0,0,(MIN(MAX((K547+O547),0),L547)*W547+SUMPRODUCT((Calc!$A$2:$A$1001=A547)*Calc!$G$2:$G$1001*((((K547+O547)-(L547+Calc!$J$2:$J$1001))&gt;0)*(((K547+O547)-(L547+Calc!$J$2:$J$1001))&lt;Calc!$F$2:$F$1001)*((K547+O547)-(L547+Calc!$J$2:$J$1001))+(((K547+O547)-(L547+Calc!$J$2:$J$1001))&gt;=Calc!$F$2:$F$1001)*Calc!$F$2:$F$1001))))</f>
        <v/>
      </c>
      <c r="T547">
        <f>IF(AND(E547=1,B547="RETURN"),Transactions!E547*Transactions!G547,0)</f>
        <v/>
      </c>
      <c r="U547">
        <f>IF(AND(E547=1,B547="EXPENSE"),Transactions!J547,0)</f>
        <v/>
      </c>
      <c r="V547">
        <f>IF(AND(Transactions!A547&lt;&gt;"",E547=0),ROW(),"")</f>
        <v/>
      </c>
      <c r="W547">
        <f>IFERROR(VLOOKUP(A547,Opening!$A:$D,4,0),0)</f>
        <v/>
      </c>
    </row>
    <row r="548">
      <c r="A548">
        <f>IF(Transactions!D548="","",UPPER(TRIM(Transactions!D548)))</f>
        <v/>
      </c>
      <c r="B548">
        <f>IF(Transactions!C548="","",UPPER(TRIM(Transactions!C548)))</f>
        <v/>
      </c>
      <c r="C548">
        <f>IF(Transactions!B548="",0,YEAR(Transactions!B548)*100+MONTH(Transactions!B548))</f>
        <v/>
      </c>
      <c r="D548">
        <f>IF(Transactions!A548="",1,IF(COUNTIF(Transactions!$A$1:A547,Transactions!A548)&gt;0,1,0))</f>
        <v/>
      </c>
      <c r="E548">
        <f>IF(D548=1,0,IF(B548="RETURN",IF(COUNTIFS($A$1:A547,A548,$B$1:B547,"SALE",$E$1:E547,1)&gt;0,1,0),1))</f>
        <v/>
      </c>
      <c r="F548">
        <f>IF(E548=1,IF(B548="RECEIPT",Transactions!E548,IF(AND(B548="RETURN",LOWER(TRIM(Transactions!H548))="resellable"),Transactions!E548,0)),0)</f>
        <v/>
      </c>
      <c r="G548">
        <f>IF(F548&gt;0,IF(B548="RECEIPT",Transactions!F548,IF(_xlfn.MAXIFS($H$2:H548,$A$2:A548,A548)&gt;0,INDEX(Transactions!$F:$F,_xlfn.MAXIFS($H$2:H548,$A$2:A548,A548)),W548)),0)</f>
        <v/>
      </c>
      <c r="H548">
        <f>IF(AND(E548=1,B548="RECEIPT"),ROW(),0)</f>
        <v/>
      </c>
      <c r="I548">
        <f>IF(E548=1,IF(OR(B548="SALE",B548="WRITEOFF"),Transactions!E548,0),0)</f>
        <v/>
      </c>
      <c r="J548">
        <f>SUMIFS($F$1:F547,$A$1:A547,A548)</f>
        <v/>
      </c>
      <c r="K548">
        <f>SUMIFS($I$1:I547,$A$1:A547,A548)</f>
        <v/>
      </c>
      <c r="L548">
        <f>IFERROR(VLOOKUP(A548,Opening!$A:$C,3,0),0)</f>
        <v/>
      </c>
      <c r="M548">
        <f>IF(I548=0,0,MAX(0,MIN(INDEX(Month!H$2:H$13,MATCH($A548,Month!$A$2:$A$13,0))-K548,I548)))</f>
        <v/>
      </c>
      <c r="N548">
        <f>IF(I548=0,0,MAX(0,MIN(INDEX(Month!I$2:I$13,MATCH($A548,Month!$A$2:$A$13,0))-K548,I548)))</f>
        <v/>
      </c>
      <c r="O548">
        <f>IF(I548=0,0,MAX(0,MIN(INDEX(Month!J$2:J$13,MATCH($A548,Month!$A$2:$A$13,0))-K548,I548)))</f>
        <v/>
      </c>
      <c r="P548">
        <f>IF(I548=0,0,(MIN(MAX(K548,0),L548)*W548+SUMPRODUCT((Calc!$A$2:$A$1001=A548)*Calc!$G$2:$G$1001*(((K548-(L548+Calc!$J$2:$J$1001))&gt;0)*((K548-(L548+Calc!$J$2:$J$1001))&lt;Calc!$F$2:$F$1001)*(K548-(L548+Calc!$J$2:$J$1001))+((K548-(L548+Calc!$J$2:$J$1001))&gt;=Calc!$F$2:$F$1001)*Calc!$F$2:$F$1001))))</f>
        <v/>
      </c>
      <c r="Q548">
        <f>IF(I548=0,0,(MIN(MAX((K548+M548),0),L548)*W548+SUMPRODUCT((Calc!$A$2:$A$1001=A548)*Calc!$G$2:$G$1001*((((K548+M548)-(L548+Calc!$J$2:$J$1001))&gt;0)*(((K548+M548)-(L548+Calc!$J$2:$J$1001))&lt;Calc!$F$2:$F$1001)*((K548+M548)-(L548+Calc!$J$2:$J$1001))+(((K548+M548)-(L548+Calc!$J$2:$J$1001))&gt;=Calc!$F$2:$F$1001)*Calc!$F$2:$F$1001))))</f>
        <v/>
      </c>
      <c r="R548">
        <f>IF(I548=0,0,(MIN(MAX((K548+N548),0),L548)*W548+SUMPRODUCT((Calc!$A$2:$A$1001=A548)*Calc!$G$2:$G$1001*((((K548+N548)-(L548+Calc!$J$2:$J$1001))&gt;0)*(((K548+N548)-(L548+Calc!$J$2:$J$1001))&lt;Calc!$F$2:$F$1001)*((K548+N548)-(L548+Calc!$J$2:$J$1001))+(((K548+N548)-(L548+Calc!$J$2:$J$1001))&gt;=Calc!$F$2:$F$1001)*Calc!$F$2:$F$1001))))</f>
        <v/>
      </c>
      <c r="S548">
        <f>IF(I548=0,0,(MIN(MAX((K548+O548),0),L548)*W548+SUMPRODUCT((Calc!$A$2:$A$1001=A548)*Calc!$G$2:$G$1001*((((K548+O548)-(L548+Calc!$J$2:$J$1001))&gt;0)*(((K548+O548)-(L548+Calc!$J$2:$J$1001))&lt;Calc!$F$2:$F$1001)*((K548+O548)-(L548+Calc!$J$2:$J$1001))+(((K548+O548)-(L548+Calc!$J$2:$J$1001))&gt;=Calc!$F$2:$F$1001)*Calc!$F$2:$F$1001))))</f>
        <v/>
      </c>
      <c r="T548">
        <f>IF(AND(E548=1,B548="RETURN"),Transactions!E548*Transactions!G548,0)</f>
        <v/>
      </c>
      <c r="U548">
        <f>IF(AND(E548=1,B548="EXPENSE"),Transactions!J548,0)</f>
        <v/>
      </c>
      <c r="V548">
        <f>IF(AND(Transactions!A548&lt;&gt;"",E548=0),ROW(),"")</f>
        <v/>
      </c>
      <c r="W548">
        <f>IFERROR(VLOOKUP(A548,Opening!$A:$D,4,0),0)</f>
        <v/>
      </c>
    </row>
    <row r="549">
      <c r="A549">
        <f>IF(Transactions!D549="","",UPPER(TRIM(Transactions!D549)))</f>
        <v/>
      </c>
      <c r="B549">
        <f>IF(Transactions!C549="","",UPPER(TRIM(Transactions!C549)))</f>
        <v/>
      </c>
      <c r="C549">
        <f>IF(Transactions!B549="",0,YEAR(Transactions!B549)*100+MONTH(Transactions!B549))</f>
        <v/>
      </c>
      <c r="D549">
        <f>IF(Transactions!A549="",1,IF(COUNTIF(Transactions!$A$1:A548,Transactions!A549)&gt;0,1,0))</f>
        <v/>
      </c>
      <c r="E549">
        <f>IF(D549=1,0,IF(B549="RETURN",IF(COUNTIFS($A$1:A548,A549,$B$1:B548,"SALE",$E$1:E548,1)&gt;0,1,0),1))</f>
        <v/>
      </c>
      <c r="F549">
        <f>IF(E549=1,IF(B549="RECEIPT",Transactions!E549,IF(AND(B549="RETURN",LOWER(TRIM(Transactions!H549))="resellable"),Transactions!E549,0)),0)</f>
        <v/>
      </c>
      <c r="G549">
        <f>IF(F549&gt;0,IF(B549="RECEIPT",Transactions!F549,IF(_xlfn.MAXIFS($H$2:H549,$A$2:A549,A549)&gt;0,INDEX(Transactions!$F:$F,_xlfn.MAXIFS($H$2:H549,$A$2:A549,A549)),W549)),0)</f>
        <v/>
      </c>
      <c r="H549">
        <f>IF(AND(E549=1,B549="RECEIPT"),ROW(),0)</f>
        <v/>
      </c>
      <c r="I549">
        <f>IF(E549=1,IF(OR(B549="SALE",B549="WRITEOFF"),Transactions!E549,0),0)</f>
        <v/>
      </c>
      <c r="J549">
        <f>SUMIFS($F$1:F548,$A$1:A548,A549)</f>
        <v/>
      </c>
      <c r="K549">
        <f>SUMIFS($I$1:I548,$A$1:A548,A549)</f>
        <v/>
      </c>
      <c r="L549">
        <f>IFERROR(VLOOKUP(A549,Opening!$A:$C,3,0),0)</f>
        <v/>
      </c>
      <c r="M549">
        <f>IF(I549=0,0,MAX(0,MIN(INDEX(Month!H$2:H$13,MATCH($A549,Month!$A$2:$A$13,0))-K549,I549)))</f>
        <v/>
      </c>
      <c r="N549">
        <f>IF(I549=0,0,MAX(0,MIN(INDEX(Month!I$2:I$13,MATCH($A549,Month!$A$2:$A$13,0))-K549,I549)))</f>
        <v/>
      </c>
      <c r="O549">
        <f>IF(I549=0,0,MAX(0,MIN(INDEX(Month!J$2:J$13,MATCH($A549,Month!$A$2:$A$13,0))-K549,I549)))</f>
        <v/>
      </c>
      <c r="P549">
        <f>IF(I549=0,0,(MIN(MAX(K549,0),L549)*W549+SUMPRODUCT((Calc!$A$2:$A$1001=A549)*Calc!$G$2:$G$1001*(((K549-(L549+Calc!$J$2:$J$1001))&gt;0)*((K549-(L549+Calc!$J$2:$J$1001))&lt;Calc!$F$2:$F$1001)*(K549-(L549+Calc!$J$2:$J$1001))+((K549-(L549+Calc!$J$2:$J$1001))&gt;=Calc!$F$2:$F$1001)*Calc!$F$2:$F$1001))))</f>
        <v/>
      </c>
      <c r="Q549">
        <f>IF(I549=0,0,(MIN(MAX((K549+M549),0),L549)*W549+SUMPRODUCT((Calc!$A$2:$A$1001=A549)*Calc!$G$2:$G$1001*((((K549+M549)-(L549+Calc!$J$2:$J$1001))&gt;0)*(((K549+M549)-(L549+Calc!$J$2:$J$1001))&lt;Calc!$F$2:$F$1001)*((K549+M549)-(L549+Calc!$J$2:$J$1001))+(((K549+M549)-(L549+Calc!$J$2:$J$1001))&gt;=Calc!$F$2:$F$1001)*Calc!$F$2:$F$1001))))</f>
        <v/>
      </c>
      <c r="R549">
        <f>IF(I549=0,0,(MIN(MAX((K549+N549),0),L549)*W549+SUMPRODUCT((Calc!$A$2:$A$1001=A549)*Calc!$G$2:$G$1001*((((K549+N549)-(L549+Calc!$J$2:$J$1001))&gt;0)*(((K549+N549)-(L549+Calc!$J$2:$J$1001))&lt;Calc!$F$2:$F$1001)*((K549+N549)-(L549+Calc!$J$2:$J$1001))+(((K549+N549)-(L549+Calc!$J$2:$J$1001))&gt;=Calc!$F$2:$F$1001)*Calc!$F$2:$F$1001))))</f>
        <v/>
      </c>
      <c r="S549">
        <f>IF(I549=0,0,(MIN(MAX((K549+O549),0),L549)*W549+SUMPRODUCT((Calc!$A$2:$A$1001=A549)*Calc!$G$2:$G$1001*((((K549+O549)-(L549+Calc!$J$2:$J$1001))&gt;0)*(((K549+O549)-(L549+Calc!$J$2:$J$1001))&lt;Calc!$F$2:$F$1001)*((K549+O549)-(L549+Calc!$J$2:$J$1001))+(((K549+O549)-(L549+Calc!$J$2:$J$1001))&gt;=Calc!$F$2:$F$1001)*Calc!$F$2:$F$1001))))</f>
        <v/>
      </c>
      <c r="T549">
        <f>IF(AND(E549=1,B549="RETURN"),Transactions!E549*Transactions!G549,0)</f>
        <v/>
      </c>
      <c r="U549">
        <f>IF(AND(E549=1,B549="EXPENSE"),Transactions!J549,0)</f>
        <v/>
      </c>
      <c r="V549">
        <f>IF(AND(Transactions!A549&lt;&gt;"",E549=0),ROW(),"")</f>
        <v/>
      </c>
      <c r="W549">
        <f>IFERROR(VLOOKUP(A549,Opening!$A:$D,4,0),0)</f>
        <v/>
      </c>
    </row>
    <row r="550">
      <c r="A550">
        <f>IF(Transactions!D550="","",UPPER(TRIM(Transactions!D550)))</f>
        <v/>
      </c>
      <c r="B550">
        <f>IF(Transactions!C550="","",UPPER(TRIM(Transactions!C550)))</f>
        <v/>
      </c>
      <c r="C550">
        <f>IF(Transactions!B550="",0,YEAR(Transactions!B550)*100+MONTH(Transactions!B550))</f>
        <v/>
      </c>
      <c r="D550">
        <f>IF(Transactions!A550="",1,IF(COUNTIF(Transactions!$A$1:A549,Transactions!A550)&gt;0,1,0))</f>
        <v/>
      </c>
      <c r="E550">
        <f>IF(D550=1,0,IF(B550="RETURN",IF(COUNTIFS($A$1:A549,A550,$B$1:B549,"SALE",$E$1:E549,1)&gt;0,1,0),1))</f>
        <v/>
      </c>
      <c r="F550">
        <f>IF(E550=1,IF(B550="RECEIPT",Transactions!E550,IF(AND(B550="RETURN",LOWER(TRIM(Transactions!H550))="resellable"),Transactions!E550,0)),0)</f>
        <v/>
      </c>
      <c r="G550">
        <f>IF(F550&gt;0,IF(B550="RECEIPT",Transactions!F550,IF(_xlfn.MAXIFS($H$2:H550,$A$2:A550,A550)&gt;0,INDEX(Transactions!$F:$F,_xlfn.MAXIFS($H$2:H550,$A$2:A550,A550)),W550)),0)</f>
        <v/>
      </c>
      <c r="H550">
        <f>IF(AND(E550=1,B550="RECEIPT"),ROW(),0)</f>
        <v/>
      </c>
      <c r="I550">
        <f>IF(E550=1,IF(OR(B550="SALE",B550="WRITEOFF"),Transactions!E550,0),0)</f>
        <v/>
      </c>
      <c r="J550">
        <f>SUMIFS($F$1:F549,$A$1:A549,A550)</f>
        <v/>
      </c>
      <c r="K550">
        <f>SUMIFS($I$1:I549,$A$1:A549,A550)</f>
        <v/>
      </c>
      <c r="L550">
        <f>IFERROR(VLOOKUP(A550,Opening!$A:$C,3,0),0)</f>
        <v/>
      </c>
      <c r="M550">
        <f>IF(I550=0,0,MAX(0,MIN(INDEX(Month!H$2:H$13,MATCH($A550,Month!$A$2:$A$13,0))-K550,I550)))</f>
        <v/>
      </c>
      <c r="N550">
        <f>IF(I550=0,0,MAX(0,MIN(INDEX(Month!I$2:I$13,MATCH($A550,Month!$A$2:$A$13,0))-K550,I550)))</f>
        <v/>
      </c>
      <c r="O550">
        <f>IF(I550=0,0,MAX(0,MIN(INDEX(Month!J$2:J$13,MATCH($A550,Month!$A$2:$A$13,0))-K550,I550)))</f>
        <v/>
      </c>
      <c r="P550">
        <f>IF(I550=0,0,(MIN(MAX(K550,0),L550)*W550+SUMPRODUCT((Calc!$A$2:$A$1001=A550)*Calc!$G$2:$G$1001*(((K550-(L550+Calc!$J$2:$J$1001))&gt;0)*((K550-(L550+Calc!$J$2:$J$1001))&lt;Calc!$F$2:$F$1001)*(K550-(L550+Calc!$J$2:$J$1001))+((K550-(L550+Calc!$J$2:$J$1001))&gt;=Calc!$F$2:$F$1001)*Calc!$F$2:$F$1001))))</f>
        <v/>
      </c>
      <c r="Q550">
        <f>IF(I550=0,0,(MIN(MAX((K550+M550),0),L550)*W550+SUMPRODUCT((Calc!$A$2:$A$1001=A550)*Calc!$G$2:$G$1001*((((K550+M550)-(L550+Calc!$J$2:$J$1001))&gt;0)*(((K550+M550)-(L550+Calc!$J$2:$J$1001))&lt;Calc!$F$2:$F$1001)*((K550+M550)-(L550+Calc!$J$2:$J$1001))+(((K550+M550)-(L550+Calc!$J$2:$J$1001))&gt;=Calc!$F$2:$F$1001)*Calc!$F$2:$F$1001))))</f>
        <v/>
      </c>
      <c r="R550">
        <f>IF(I550=0,0,(MIN(MAX((K550+N550),0),L550)*W550+SUMPRODUCT((Calc!$A$2:$A$1001=A550)*Calc!$G$2:$G$1001*((((K550+N550)-(L550+Calc!$J$2:$J$1001))&gt;0)*(((K550+N550)-(L550+Calc!$J$2:$J$1001))&lt;Calc!$F$2:$F$1001)*((K550+N550)-(L550+Calc!$J$2:$J$1001))+(((K550+N550)-(L550+Calc!$J$2:$J$1001))&gt;=Calc!$F$2:$F$1001)*Calc!$F$2:$F$1001))))</f>
        <v/>
      </c>
      <c r="S550">
        <f>IF(I550=0,0,(MIN(MAX((K550+O550),0),L550)*W550+SUMPRODUCT((Calc!$A$2:$A$1001=A550)*Calc!$G$2:$G$1001*((((K550+O550)-(L550+Calc!$J$2:$J$1001))&gt;0)*(((K550+O550)-(L550+Calc!$J$2:$J$1001))&lt;Calc!$F$2:$F$1001)*((K550+O550)-(L550+Calc!$J$2:$J$1001))+(((K550+O550)-(L550+Calc!$J$2:$J$1001))&gt;=Calc!$F$2:$F$1001)*Calc!$F$2:$F$1001))))</f>
        <v/>
      </c>
      <c r="T550">
        <f>IF(AND(E550=1,B550="RETURN"),Transactions!E550*Transactions!G550,0)</f>
        <v/>
      </c>
      <c r="U550">
        <f>IF(AND(E550=1,B550="EXPENSE"),Transactions!J550,0)</f>
        <v/>
      </c>
      <c r="V550">
        <f>IF(AND(Transactions!A550&lt;&gt;"",E550=0),ROW(),"")</f>
        <v/>
      </c>
      <c r="W550">
        <f>IFERROR(VLOOKUP(A550,Opening!$A:$D,4,0),0)</f>
        <v/>
      </c>
    </row>
    <row r="551">
      <c r="A551">
        <f>IF(Transactions!D551="","",UPPER(TRIM(Transactions!D551)))</f>
        <v/>
      </c>
      <c r="B551">
        <f>IF(Transactions!C551="","",UPPER(TRIM(Transactions!C551)))</f>
        <v/>
      </c>
      <c r="C551">
        <f>IF(Transactions!B551="",0,YEAR(Transactions!B551)*100+MONTH(Transactions!B551))</f>
        <v/>
      </c>
      <c r="D551">
        <f>IF(Transactions!A551="",1,IF(COUNTIF(Transactions!$A$1:A550,Transactions!A551)&gt;0,1,0))</f>
        <v/>
      </c>
      <c r="E551">
        <f>IF(D551=1,0,IF(B551="RETURN",IF(COUNTIFS($A$1:A550,A551,$B$1:B550,"SALE",$E$1:E550,1)&gt;0,1,0),1))</f>
        <v/>
      </c>
      <c r="F551">
        <f>IF(E551=1,IF(B551="RECEIPT",Transactions!E551,IF(AND(B551="RETURN",LOWER(TRIM(Transactions!H551))="resellable"),Transactions!E551,0)),0)</f>
        <v/>
      </c>
      <c r="G551">
        <f>IF(F551&gt;0,IF(B551="RECEIPT",Transactions!F551,IF(_xlfn.MAXIFS($H$2:H551,$A$2:A551,A551)&gt;0,INDEX(Transactions!$F:$F,_xlfn.MAXIFS($H$2:H551,$A$2:A551,A551)),W551)),0)</f>
        <v/>
      </c>
      <c r="H551">
        <f>IF(AND(E551=1,B551="RECEIPT"),ROW(),0)</f>
        <v/>
      </c>
      <c r="I551">
        <f>IF(E551=1,IF(OR(B551="SALE",B551="WRITEOFF"),Transactions!E551,0),0)</f>
        <v/>
      </c>
      <c r="J551">
        <f>SUMIFS($F$1:F550,$A$1:A550,A551)</f>
        <v/>
      </c>
      <c r="K551">
        <f>SUMIFS($I$1:I550,$A$1:A550,A551)</f>
        <v/>
      </c>
      <c r="L551">
        <f>IFERROR(VLOOKUP(A551,Opening!$A:$C,3,0),0)</f>
        <v/>
      </c>
      <c r="M551">
        <f>IF(I551=0,0,MAX(0,MIN(INDEX(Month!H$2:H$13,MATCH($A551,Month!$A$2:$A$13,0))-K551,I551)))</f>
        <v/>
      </c>
      <c r="N551">
        <f>IF(I551=0,0,MAX(0,MIN(INDEX(Month!I$2:I$13,MATCH($A551,Month!$A$2:$A$13,0))-K551,I551)))</f>
        <v/>
      </c>
      <c r="O551">
        <f>IF(I551=0,0,MAX(0,MIN(INDEX(Month!J$2:J$13,MATCH($A551,Month!$A$2:$A$13,0))-K551,I551)))</f>
        <v/>
      </c>
      <c r="P551">
        <f>IF(I551=0,0,(MIN(MAX(K551,0),L551)*W551+SUMPRODUCT((Calc!$A$2:$A$1001=A551)*Calc!$G$2:$G$1001*(((K551-(L551+Calc!$J$2:$J$1001))&gt;0)*((K551-(L551+Calc!$J$2:$J$1001))&lt;Calc!$F$2:$F$1001)*(K551-(L551+Calc!$J$2:$J$1001))+((K551-(L551+Calc!$J$2:$J$1001))&gt;=Calc!$F$2:$F$1001)*Calc!$F$2:$F$1001))))</f>
        <v/>
      </c>
      <c r="Q551">
        <f>IF(I551=0,0,(MIN(MAX((K551+M551),0),L551)*W551+SUMPRODUCT((Calc!$A$2:$A$1001=A551)*Calc!$G$2:$G$1001*((((K551+M551)-(L551+Calc!$J$2:$J$1001))&gt;0)*(((K551+M551)-(L551+Calc!$J$2:$J$1001))&lt;Calc!$F$2:$F$1001)*((K551+M551)-(L551+Calc!$J$2:$J$1001))+(((K551+M551)-(L551+Calc!$J$2:$J$1001))&gt;=Calc!$F$2:$F$1001)*Calc!$F$2:$F$1001))))</f>
        <v/>
      </c>
      <c r="R551">
        <f>IF(I551=0,0,(MIN(MAX((K551+N551),0),L551)*W551+SUMPRODUCT((Calc!$A$2:$A$1001=A551)*Calc!$G$2:$G$1001*((((K551+N551)-(L551+Calc!$J$2:$J$1001))&gt;0)*(((K551+N551)-(L551+Calc!$J$2:$J$1001))&lt;Calc!$F$2:$F$1001)*((K551+N551)-(L551+Calc!$J$2:$J$1001))+(((K551+N551)-(L551+Calc!$J$2:$J$1001))&gt;=Calc!$F$2:$F$1001)*Calc!$F$2:$F$1001))))</f>
        <v/>
      </c>
      <c r="S551">
        <f>IF(I551=0,0,(MIN(MAX((K551+O551),0),L551)*W551+SUMPRODUCT((Calc!$A$2:$A$1001=A551)*Calc!$G$2:$G$1001*((((K551+O551)-(L551+Calc!$J$2:$J$1001))&gt;0)*(((K551+O551)-(L551+Calc!$J$2:$J$1001))&lt;Calc!$F$2:$F$1001)*((K551+O551)-(L551+Calc!$J$2:$J$1001))+(((K551+O551)-(L551+Calc!$J$2:$J$1001))&gt;=Calc!$F$2:$F$1001)*Calc!$F$2:$F$1001))))</f>
        <v/>
      </c>
      <c r="T551">
        <f>IF(AND(E551=1,B551="RETURN"),Transactions!E551*Transactions!G551,0)</f>
        <v/>
      </c>
      <c r="U551">
        <f>IF(AND(E551=1,B551="EXPENSE"),Transactions!J551,0)</f>
        <v/>
      </c>
      <c r="V551">
        <f>IF(AND(Transactions!A551&lt;&gt;"",E551=0),ROW(),"")</f>
        <v/>
      </c>
      <c r="W551">
        <f>IFERROR(VLOOKUP(A551,Opening!$A:$D,4,0),0)</f>
        <v/>
      </c>
    </row>
    <row r="552">
      <c r="A552">
        <f>IF(Transactions!D552="","",UPPER(TRIM(Transactions!D552)))</f>
        <v/>
      </c>
      <c r="B552">
        <f>IF(Transactions!C552="","",UPPER(TRIM(Transactions!C552)))</f>
        <v/>
      </c>
      <c r="C552">
        <f>IF(Transactions!B552="",0,YEAR(Transactions!B552)*100+MONTH(Transactions!B552))</f>
        <v/>
      </c>
      <c r="D552">
        <f>IF(Transactions!A552="",1,IF(COUNTIF(Transactions!$A$1:A551,Transactions!A552)&gt;0,1,0))</f>
        <v/>
      </c>
      <c r="E552">
        <f>IF(D552=1,0,IF(B552="RETURN",IF(COUNTIFS($A$1:A551,A552,$B$1:B551,"SALE",$E$1:E551,1)&gt;0,1,0),1))</f>
        <v/>
      </c>
      <c r="F552">
        <f>IF(E552=1,IF(B552="RECEIPT",Transactions!E552,IF(AND(B552="RETURN",LOWER(TRIM(Transactions!H552))="resellable"),Transactions!E552,0)),0)</f>
        <v/>
      </c>
      <c r="G552">
        <f>IF(F552&gt;0,IF(B552="RECEIPT",Transactions!F552,IF(_xlfn.MAXIFS($H$2:H552,$A$2:A552,A552)&gt;0,INDEX(Transactions!$F:$F,_xlfn.MAXIFS($H$2:H552,$A$2:A552,A552)),W552)),0)</f>
        <v/>
      </c>
      <c r="H552">
        <f>IF(AND(E552=1,B552="RECEIPT"),ROW(),0)</f>
        <v/>
      </c>
      <c r="I552">
        <f>IF(E552=1,IF(OR(B552="SALE",B552="WRITEOFF"),Transactions!E552,0),0)</f>
        <v/>
      </c>
      <c r="J552">
        <f>SUMIFS($F$1:F551,$A$1:A551,A552)</f>
        <v/>
      </c>
      <c r="K552">
        <f>SUMIFS($I$1:I551,$A$1:A551,A552)</f>
        <v/>
      </c>
      <c r="L552">
        <f>IFERROR(VLOOKUP(A552,Opening!$A:$C,3,0),0)</f>
        <v/>
      </c>
      <c r="M552">
        <f>IF(I552=0,0,MAX(0,MIN(INDEX(Month!H$2:H$13,MATCH($A552,Month!$A$2:$A$13,0))-K552,I552)))</f>
        <v/>
      </c>
      <c r="N552">
        <f>IF(I552=0,0,MAX(0,MIN(INDEX(Month!I$2:I$13,MATCH($A552,Month!$A$2:$A$13,0))-K552,I552)))</f>
        <v/>
      </c>
      <c r="O552">
        <f>IF(I552=0,0,MAX(0,MIN(INDEX(Month!J$2:J$13,MATCH($A552,Month!$A$2:$A$13,0))-K552,I552)))</f>
        <v/>
      </c>
      <c r="P552">
        <f>IF(I552=0,0,(MIN(MAX(K552,0),L552)*W552+SUMPRODUCT((Calc!$A$2:$A$1001=A552)*Calc!$G$2:$G$1001*(((K552-(L552+Calc!$J$2:$J$1001))&gt;0)*((K552-(L552+Calc!$J$2:$J$1001))&lt;Calc!$F$2:$F$1001)*(K552-(L552+Calc!$J$2:$J$1001))+((K552-(L552+Calc!$J$2:$J$1001))&gt;=Calc!$F$2:$F$1001)*Calc!$F$2:$F$1001))))</f>
        <v/>
      </c>
      <c r="Q552">
        <f>IF(I552=0,0,(MIN(MAX((K552+M552),0),L552)*W552+SUMPRODUCT((Calc!$A$2:$A$1001=A552)*Calc!$G$2:$G$1001*((((K552+M552)-(L552+Calc!$J$2:$J$1001))&gt;0)*(((K552+M552)-(L552+Calc!$J$2:$J$1001))&lt;Calc!$F$2:$F$1001)*((K552+M552)-(L552+Calc!$J$2:$J$1001))+(((K552+M552)-(L552+Calc!$J$2:$J$1001))&gt;=Calc!$F$2:$F$1001)*Calc!$F$2:$F$1001))))</f>
        <v/>
      </c>
      <c r="R552">
        <f>IF(I552=0,0,(MIN(MAX((K552+N552),0),L552)*W552+SUMPRODUCT((Calc!$A$2:$A$1001=A552)*Calc!$G$2:$G$1001*((((K552+N552)-(L552+Calc!$J$2:$J$1001))&gt;0)*(((K552+N552)-(L552+Calc!$J$2:$J$1001))&lt;Calc!$F$2:$F$1001)*((K552+N552)-(L552+Calc!$J$2:$J$1001))+(((K552+N552)-(L552+Calc!$J$2:$J$1001))&gt;=Calc!$F$2:$F$1001)*Calc!$F$2:$F$1001))))</f>
        <v/>
      </c>
      <c r="S552">
        <f>IF(I552=0,0,(MIN(MAX((K552+O552),0),L552)*W552+SUMPRODUCT((Calc!$A$2:$A$1001=A552)*Calc!$G$2:$G$1001*((((K552+O552)-(L552+Calc!$J$2:$J$1001))&gt;0)*(((K552+O552)-(L552+Calc!$J$2:$J$1001))&lt;Calc!$F$2:$F$1001)*((K552+O552)-(L552+Calc!$J$2:$J$1001))+(((K552+O552)-(L552+Calc!$J$2:$J$1001))&gt;=Calc!$F$2:$F$1001)*Calc!$F$2:$F$1001))))</f>
        <v/>
      </c>
      <c r="T552">
        <f>IF(AND(E552=1,B552="RETURN"),Transactions!E552*Transactions!G552,0)</f>
        <v/>
      </c>
      <c r="U552">
        <f>IF(AND(E552=1,B552="EXPENSE"),Transactions!J552,0)</f>
        <v/>
      </c>
      <c r="V552">
        <f>IF(AND(Transactions!A552&lt;&gt;"",E552=0),ROW(),"")</f>
        <v/>
      </c>
      <c r="W552">
        <f>IFERROR(VLOOKUP(A552,Opening!$A:$D,4,0),0)</f>
        <v/>
      </c>
    </row>
    <row r="553">
      <c r="A553">
        <f>IF(Transactions!D553="","",UPPER(TRIM(Transactions!D553)))</f>
        <v/>
      </c>
      <c r="B553">
        <f>IF(Transactions!C553="","",UPPER(TRIM(Transactions!C553)))</f>
        <v/>
      </c>
      <c r="C553">
        <f>IF(Transactions!B553="",0,YEAR(Transactions!B553)*100+MONTH(Transactions!B553))</f>
        <v/>
      </c>
      <c r="D553">
        <f>IF(Transactions!A553="",1,IF(COUNTIF(Transactions!$A$1:A552,Transactions!A553)&gt;0,1,0))</f>
        <v/>
      </c>
      <c r="E553">
        <f>IF(D553=1,0,IF(B553="RETURN",IF(COUNTIFS($A$1:A552,A553,$B$1:B552,"SALE",$E$1:E552,1)&gt;0,1,0),1))</f>
        <v/>
      </c>
      <c r="F553">
        <f>IF(E553=1,IF(B553="RECEIPT",Transactions!E553,IF(AND(B553="RETURN",LOWER(TRIM(Transactions!H553))="resellable"),Transactions!E553,0)),0)</f>
        <v/>
      </c>
      <c r="G553">
        <f>IF(F553&gt;0,IF(B553="RECEIPT",Transactions!F553,IF(_xlfn.MAXIFS($H$2:H553,$A$2:A553,A553)&gt;0,INDEX(Transactions!$F:$F,_xlfn.MAXIFS($H$2:H553,$A$2:A553,A553)),W553)),0)</f>
        <v/>
      </c>
      <c r="H553">
        <f>IF(AND(E553=1,B553="RECEIPT"),ROW(),0)</f>
        <v/>
      </c>
      <c r="I553">
        <f>IF(E553=1,IF(OR(B553="SALE",B553="WRITEOFF"),Transactions!E553,0),0)</f>
        <v/>
      </c>
      <c r="J553">
        <f>SUMIFS($F$1:F552,$A$1:A552,A553)</f>
        <v/>
      </c>
      <c r="K553">
        <f>SUMIFS($I$1:I552,$A$1:A552,A553)</f>
        <v/>
      </c>
      <c r="L553">
        <f>IFERROR(VLOOKUP(A553,Opening!$A:$C,3,0),0)</f>
        <v/>
      </c>
      <c r="M553">
        <f>IF(I553=0,0,MAX(0,MIN(INDEX(Month!H$2:H$13,MATCH($A553,Month!$A$2:$A$13,0))-K553,I553)))</f>
        <v/>
      </c>
      <c r="N553">
        <f>IF(I553=0,0,MAX(0,MIN(INDEX(Month!I$2:I$13,MATCH($A553,Month!$A$2:$A$13,0))-K553,I553)))</f>
        <v/>
      </c>
      <c r="O553">
        <f>IF(I553=0,0,MAX(0,MIN(INDEX(Month!J$2:J$13,MATCH($A553,Month!$A$2:$A$13,0))-K553,I553)))</f>
        <v/>
      </c>
      <c r="P553">
        <f>IF(I553=0,0,(MIN(MAX(K553,0),L553)*W553+SUMPRODUCT((Calc!$A$2:$A$1001=A553)*Calc!$G$2:$G$1001*(((K553-(L553+Calc!$J$2:$J$1001))&gt;0)*((K553-(L553+Calc!$J$2:$J$1001))&lt;Calc!$F$2:$F$1001)*(K553-(L553+Calc!$J$2:$J$1001))+((K553-(L553+Calc!$J$2:$J$1001))&gt;=Calc!$F$2:$F$1001)*Calc!$F$2:$F$1001))))</f>
        <v/>
      </c>
      <c r="Q553">
        <f>IF(I553=0,0,(MIN(MAX((K553+M553),0),L553)*W553+SUMPRODUCT((Calc!$A$2:$A$1001=A553)*Calc!$G$2:$G$1001*((((K553+M553)-(L553+Calc!$J$2:$J$1001))&gt;0)*(((K553+M553)-(L553+Calc!$J$2:$J$1001))&lt;Calc!$F$2:$F$1001)*((K553+M553)-(L553+Calc!$J$2:$J$1001))+(((K553+M553)-(L553+Calc!$J$2:$J$1001))&gt;=Calc!$F$2:$F$1001)*Calc!$F$2:$F$1001))))</f>
        <v/>
      </c>
      <c r="R553">
        <f>IF(I553=0,0,(MIN(MAX((K553+N553),0),L553)*W553+SUMPRODUCT((Calc!$A$2:$A$1001=A553)*Calc!$G$2:$G$1001*((((K553+N553)-(L553+Calc!$J$2:$J$1001))&gt;0)*(((K553+N553)-(L553+Calc!$J$2:$J$1001))&lt;Calc!$F$2:$F$1001)*((K553+N553)-(L553+Calc!$J$2:$J$1001))+(((K553+N553)-(L553+Calc!$J$2:$J$1001))&gt;=Calc!$F$2:$F$1001)*Calc!$F$2:$F$1001))))</f>
        <v/>
      </c>
      <c r="S553">
        <f>IF(I553=0,0,(MIN(MAX((K553+O553),0),L553)*W553+SUMPRODUCT((Calc!$A$2:$A$1001=A553)*Calc!$G$2:$G$1001*((((K553+O553)-(L553+Calc!$J$2:$J$1001))&gt;0)*(((K553+O553)-(L553+Calc!$J$2:$J$1001))&lt;Calc!$F$2:$F$1001)*((K553+O553)-(L553+Calc!$J$2:$J$1001))+(((K553+O553)-(L553+Calc!$J$2:$J$1001))&gt;=Calc!$F$2:$F$1001)*Calc!$F$2:$F$1001))))</f>
        <v/>
      </c>
      <c r="T553">
        <f>IF(AND(E553=1,B553="RETURN"),Transactions!E553*Transactions!G553,0)</f>
        <v/>
      </c>
      <c r="U553">
        <f>IF(AND(E553=1,B553="EXPENSE"),Transactions!J553,0)</f>
        <v/>
      </c>
      <c r="V553">
        <f>IF(AND(Transactions!A553&lt;&gt;"",E553=0),ROW(),"")</f>
        <v/>
      </c>
      <c r="W553">
        <f>IFERROR(VLOOKUP(A553,Opening!$A:$D,4,0),0)</f>
        <v/>
      </c>
    </row>
    <row r="554">
      <c r="A554">
        <f>IF(Transactions!D554="","",UPPER(TRIM(Transactions!D554)))</f>
        <v/>
      </c>
      <c r="B554">
        <f>IF(Transactions!C554="","",UPPER(TRIM(Transactions!C554)))</f>
        <v/>
      </c>
      <c r="C554">
        <f>IF(Transactions!B554="",0,YEAR(Transactions!B554)*100+MONTH(Transactions!B554))</f>
        <v/>
      </c>
      <c r="D554">
        <f>IF(Transactions!A554="",1,IF(COUNTIF(Transactions!$A$1:A553,Transactions!A554)&gt;0,1,0))</f>
        <v/>
      </c>
      <c r="E554">
        <f>IF(D554=1,0,IF(B554="RETURN",IF(COUNTIFS($A$1:A553,A554,$B$1:B553,"SALE",$E$1:E553,1)&gt;0,1,0),1))</f>
        <v/>
      </c>
      <c r="F554">
        <f>IF(E554=1,IF(B554="RECEIPT",Transactions!E554,IF(AND(B554="RETURN",LOWER(TRIM(Transactions!H554))="resellable"),Transactions!E554,0)),0)</f>
        <v/>
      </c>
      <c r="G554">
        <f>IF(F554&gt;0,IF(B554="RECEIPT",Transactions!F554,IF(_xlfn.MAXIFS($H$2:H554,$A$2:A554,A554)&gt;0,INDEX(Transactions!$F:$F,_xlfn.MAXIFS($H$2:H554,$A$2:A554,A554)),W554)),0)</f>
        <v/>
      </c>
      <c r="H554">
        <f>IF(AND(E554=1,B554="RECEIPT"),ROW(),0)</f>
        <v/>
      </c>
      <c r="I554">
        <f>IF(E554=1,IF(OR(B554="SALE",B554="WRITEOFF"),Transactions!E554,0),0)</f>
        <v/>
      </c>
      <c r="J554">
        <f>SUMIFS($F$1:F553,$A$1:A553,A554)</f>
        <v/>
      </c>
      <c r="K554">
        <f>SUMIFS($I$1:I553,$A$1:A553,A554)</f>
        <v/>
      </c>
      <c r="L554">
        <f>IFERROR(VLOOKUP(A554,Opening!$A:$C,3,0),0)</f>
        <v/>
      </c>
      <c r="M554">
        <f>IF(I554=0,0,MAX(0,MIN(INDEX(Month!H$2:H$13,MATCH($A554,Month!$A$2:$A$13,0))-K554,I554)))</f>
        <v/>
      </c>
      <c r="N554">
        <f>IF(I554=0,0,MAX(0,MIN(INDEX(Month!I$2:I$13,MATCH($A554,Month!$A$2:$A$13,0))-K554,I554)))</f>
        <v/>
      </c>
      <c r="O554">
        <f>IF(I554=0,0,MAX(0,MIN(INDEX(Month!J$2:J$13,MATCH($A554,Month!$A$2:$A$13,0))-K554,I554)))</f>
        <v/>
      </c>
      <c r="P554">
        <f>IF(I554=0,0,(MIN(MAX(K554,0),L554)*W554+SUMPRODUCT((Calc!$A$2:$A$1001=A554)*Calc!$G$2:$G$1001*(((K554-(L554+Calc!$J$2:$J$1001))&gt;0)*((K554-(L554+Calc!$J$2:$J$1001))&lt;Calc!$F$2:$F$1001)*(K554-(L554+Calc!$J$2:$J$1001))+((K554-(L554+Calc!$J$2:$J$1001))&gt;=Calc!$F$2:$F$1001)*Calc!$F$2:$F$1001))))</f>
        <v/>
      </c>
      <c r="Q554">
        <f>IF(I554=0,0,(MIN(MAX((K554+M554),0),L554)*W554+SUMPRODUCT((Calc!$A$2:$A$1001=A554)*Calc!$G$2:$G$1001*((((K554+M554)-(L554+Calc!$J$2:$J$1001))&gt;0)*(((K554+M554)-(L554+Calc!$J$2:$J$1001))&lt;Calc!$F$2:$F$1001)*((K554+M554)-(L554+Calc!$J$2:$J$1001))+(((K554+M554)-(L554+Calc!$J$2:$J$1001))&gt;=Calc!$F$2:$F$1001)*Calc!$F$2:$F$1001))))</f>
        <v/>
      </c>
      <c r="R554">
        <f>IF(I554=0,0,(MIN(MAX((K554+N554),0),L554)*W554+SUMPRODUCT((Calc!$A$2:$A$1001=A554)*Calc!$G$2:$G$1001*((((K554+N554)-(L554+Calc!$J$2:$J$1001))&gt;0)*(((K554+N554)-(L554+Calc!$J$2:$J$1001))&lt;Calc!$F$2:$F$1001)*((K554+N554)-(L554+Calc!$J$2:$J$1001))+(((K554+N554)-(L554+Calc!$J$2:$J$1001))&gt;=Calc!$F$2:$F$1001)*Calc!$F$2:$F$1001))))</f>
        <v/>
      </c>
      <c r="S554">
        <f>IF(I554=0,0,(MIN(MAX((K554+O554),0),L554)*W554+SUMPRODUCT((Calc!$A$2:$A$1001=A554)*Calc!$G$2:$G$1001*((((K554+O554)-(L554+Calc!$J$2:$J$1001))&gt;0)*(((K554+O554)-(L554+Calc!$J$2:$J$1001))&lt;Calc!$F$2:$F$1001)*((K554+O554)-(L554+Calc!$J$2:$J$1001))+(((K554+O554)-(L554+Calc!$J$2:$J$1001))&gt;=Calc!$F$2:$F$1001)*Calc!$F$2:$F$1001))))</f>
        <v/>
      </c>
      <c r="T554">
        <f>IF(AND(E554=1,B554="RETURN"),Transactions!E554*Transactions!G554,0)</f>
        <v/>
      </c>
      <c r="U554">
        <f>IF(AND(E554=1,B554="EXPENSE"),Transactions!J554,0)</f>
        <v/>
      </c>
      <c r="V554">
        <f>IF(AND(Transactions!A554&lt;&gt;"",E554=0),ROW(),"")</f>
        <v/>
      </c>
      <c r="W554">
        <f>IFERROR(VLOOKUP(A554,Opening!$A:$D,4,0),0)</f>
        <v/>
      </c>
    </row>
    <row r="555">
      <c r="A555">
        <f>IF(Transactions!D555="","",UPPER(TRIM(Transactions!D555)))</f>
        <v/>
      </c>
      <c r="B555">
        <f>IF(Transactions!C555="","",UPPER(TRIM(Transactions!C555)))</f>
        <v/>
      </c>
      <c r="C555">
        <f>IF(Transactions!B555="",0,YEAR(Transactions!B555)*100+MONTH(Transactions!B555))</f>
        <v/>
      </c>
      <c r="D555">
        <f>IF(Transactions!A555="",1,IF(COUNTIF(Transactions!$A$1:A554,Transactions!A555)&gt;0,1,0))</f>
        <v/>
      </c>
      <c r="E555">
        <f>IF(D555=1,0,IF(B555="RETURN",IF(COUNTIFS($A$1:A554,A555,$B$1:B554,"SALE",$E$1:E554,1)&gt;0,1,0),1))</f>
        <v/>
      </c>
      <c r="F555">
        <f>IF(E555=1,IF(B555="RECEIPT",Transactions!E555,IF(AND(B555="RETURN",LOWER(TRIM(Transactions!H555))="resellable"),Transactions!E555,0)),0)</f>
        <v/>
      </c>
      <c r="G555">
        <f>IF(F555&gt;0,IF(B555="RECEIPT",Transactions!F555,IF(_xlfn.MAXIFS($H$2:H555,$A$2:A555,A555)&gt;0,INDEX(Transactions!$F:$F,_xlfn.MAXIFS($H$2:H555,$A$2:A555,A555)),W555)),0)</f>
        <v/>
      </c>
      <c r="H555">
        <f>IF(AND(E555=1,B555="RECEIPT"),ROW(),0)</f>
        <v/>
      </c>
      <c r="I555">
        <f>IF(E555=1,IF(OR(B555="SALE",B555="WRITEOFF"),Transactions!E555,0),0)</f>
        <v/>
      </c>
      <c r="J555">
        <f>SUMIFS($F$1:F554,$A$1:A554,A555)</f>
        <v/>
      </c>
      <c r="K555">
        <f>SUMIFS($I$1:I554,$A$1:A554,A555)</f>
        <v/>
      </c>
      <c r="L555">
        <f>IFERROR(VLOOKUP(A555,Opening!$A:$C,3,0),0)</f>
        <v/>
      </c>
      <c r="M555">
        <f>IF(I555=0,0,MAX(0,MIN(INDEX(Month!H$2:H$13,MATCH($A555,Month!$A$2:$A$13,0))-K555,I555)))</f>
        <v/>
      </c>
      <c r="N555">
        <f>IF(I555=0,0,MAX(0,MIN(INDEX(Month!I$2:I$13,MATCH($A555,Month!$A$2:$A$13,0))-K555,I555)))</f>
        <v/>
      </c>
      <c r="O555">
        <f>IF(I555=0,0,MAX(0,MIN(INDEX(Month!J$2:J$13,MATCH($A555,Month!$A$2:$A$13,0))-K555,I555)))</f>
        <v/>
      </c>
      <c r="P555">
        <f>IF(I555=0,0,(MIN(MAX(K555,0),L555)*W555+SUMPRODUCT((Calc!$A$2:$A$1001=A555)*Calc!$G$2:$G$1001*(((K555-(L555+Calc!$J$2:$J$1001))&gt;0)*((K555-(L555+Calc!$J$2:$J$1001))&lt;Calc!$F$2:$F$1001)*(K555-(L555+Calc!$J$2:$J$1001))+((K555-(L555+Calc!$J$2:$J$1001))&gt;=Calc!$F$2:$F$1001)*Calc!$F$2:$F$1001))))</f>
        <v/>
      </c>
      <c r="Q555">
        <f>IF(I555=0,0,(MIN(MAX((K555+M555),0),L555)*W555+SUMPRODUCT((Calc!$A$2:$A$1001=A555)*Calc!$G$2:$G$1001*((((K555+M555)-(L555+Calc!$J$2:$J$1001))&gt;0)*(((K555+M555)-(L555+Calc!$J$2:$J$1001))&lt;Calc!$F$2:$F$1001)*((K555+M555)-(L555+Calc!$J$2:$J$1001))+(((K555+M555)-(L555+Calc!$J$2:$J$1001))&gt;=Calc!$F$2:$F$1001)*Calc!$F$2:$F$1001))))</f>
        <v/>
      </c>
      <c r="R555">
        <f>IF(I555=0,0,(MIN(MAX((K555+N555),0),L555)*W555+SUMPRODUCT((Calc!$A$2:$A$1001=A555)*Calc!$G$2:$G$1001*((((K555+N555)-(L555+Calc!$J$2:$J$1001))&gt;0)*(((K555+N555)-(L555+Calc!$J$2:$J$1001))&lt;Calc!$F$2:$F$1001)*((K555+N555)-(L555+Calc!$J$2:$J$1001))+(((K555+N555)-(L555+Calc!$J$2:$J$1001))&gt;=Calc!$F$2:$F$1001)*Calc!$F$2:$F$1001))))</f>
        <v/>
      </c>
      <c r="S555">
        <f>IF(I555=0,0,(MIN(MAX((K555+O555),0),L555)*W555+SUMPRODUCT((Calc!$A$2:$A$1001=A555)*Calc!$G$2:$G$1001*((((K555+O555)-(L555+Calc!$J$2:$J$1001))&gt;0)*(((K555+O555)-(L555+Calc!$J$2:$J$1001))&lt;Calc!$F$2:$F$1001)*((K555+O555)-(L555+Calc!$J$2:$J$1001))+(((K555+O555)-(L555+Calc!$J$2:$J$1001))&gt;=Calc!$F$2:$F$1001)*Calc!$F$2:$F$1001))))</f>
        <v/>
      </c>
      <c r="T555">
        <f>IF(AND(E555=1,B555="RETURN"),Transactions!E555*Transactions!G555,0)</f>
        <v/>
      </c>
      <c r="U555">
        <f>IF(AND(E555=1,B555="EXPENSE"),Transactions!J555,0)</f>
        <v/>
      </c>
      <c r="V555">
        <f>IF(AND(Transactions!A555&lt;&gt;"",E555=0),ROW(),"")</f>
        <v/>
      </c>
      <c r="W555">
        <f>IFERROR(VLOOKUP(A555,Opening!$A:$D,4,0),0)</f>
        <v/>
      </c>
    </row>
    <row r="556">
      <c r="A556">
        <f>IF(Transactions!D556="","",UPPER(TRIM(Transactions!D556)))</f>
        <v/>
      </c>
      <c r="B556">
        <f>IF(Transactions!C556="","",UPPER(TRIM(Transactions!C556)))</f>
        <v/>
      </c>
      <c r="C556">
        <f>IF(Transactions!B556="",0,YEAR(Transactions!B556)*100+MONTH(Transactions!B556))</f>
        <v/>
      </c>
      <c r="D556">
        <f>IF(Transactions!A556="",1,IF(COUNTIF(Transactions!$A$1:A555,Transactions!A556)&gt;0,1,0))</f>
        <v/>
      </c>
      <c r="E556">
        <f>IF(D556=1,0,IF(B556="RETURN",IF(COUNTIFS($A$1:A555,A556,$B$1:B555,"SALE",$E$1:E555,1)&gt;0,1,0),1))</f>
        <v/>
      </c>
      <c r="F556">
        <f>IF(E556=1,IF(B556="RECEIPT",Transactions!E556,IF(AND(B556="RETURN",LOWER(TRIM(Transactions!H556))="resellable"),Transactions!E556,0)),0)</f>
        <v/>
      </c>
      <c r="G556">
        <f>IF(F556&gt;0,IF(B556="RECEIPT",Transactions!F556,IF(_xlfn.MAXIFS($H$2:H556,$A$2:A556,A556)&gt;0,INDEX(Transactions!$F:$F,_xlfn.MAXIFS($H$2:H556,$A$2:A556,A556)),W556)),0)</f>
        <v/>
      </c>
      <c r="H556">
        <f>IF(AND(E556=1,B556="RECEIPT"),ROW(),0)</f>
        <v/>
      </c>
      <c r="I556">
        <f>IF(E556=1,IF(OR(B556="SALE",B556="WRITEOFF"),Transactions!E556,0),0)</f>
        <v/>
      </c>
      <c r="J556">
        <f>SUMIFS($F$1:F555,$A$1:A555,A556)</f>
        <v/>
      </c>
      <c r="K556">
        <f>SUMIFS($I$1:I555,$A$1:A555,A556)</f>
        <v/>
      </c>
      <c r="L556">
        <f>IFERROR(VLOOKUP(A556,Opening!$A:$C,3,0),0)</f>
        <v/>
      </c>
      <c r="M556">
        <f>IF(I556=0,0,MAX(0,MIN(INDEX(Month!H$2:H$13,MATCH($A556,Month!$A$2:$A$13,0))-K556,I556)))</f>
        <v/>
      </c>
      <c r="N556">
        <f>IF(I556=0,0,MAX(0,MIN(INDEX(Month!I$2:I$13,MATCH($A556,Month!$A$2:$A$13,0))-K556,I556)))</f>
        <v/>
      </c>
      <c r="O556">
        <f>IF(I556=0,0,MAX(0,MIN(INDEX(Month!J$2:J$13,MATCH($A556,Month!$A$2:$A$13,0))-K556,I556)))</f>
        <v/>
      </c>
      <c r="P556">
        <f>IF(I556=0,0,(MIN(MAX(K556,0),L556)*W556+SUMPRODUCT((Calc!$A$2:$A$1001=A556)*Calc!$G$2:$G$1001*(((K556-(L556+Calc!$J$2:$J$1001))&gt;0)*((K556-(L556+Calc!$J$2:$J$1001))&lt;Calc!$F$2:$F$1001)*(K556-(L556+Calc!$J$2:$J$1001))+((K556-(L556+Calc!$J$2:$J$1001))&gt;=Calc!$F$2:$F$1001)*Calc!$F$2:$F$1001))))</f>
        <v/>
      </c>
      <c r="Q556">
        <f>IF(I556=0,0,(MIN(MAX((K556+M556),0),L556)*W556+SUMPRODUCT((Calc!$A$2:$A$1001=A556)*Calc!$G$2:$G$1001*((((K556+M556)-(L556+Calc!$J$2:$J$1001))&gt;0)*(((K556+M556)-(L556+Calc!$J$2:$J$1001))&lt;Calc!$F$2:$F$1001)*((K556+M556)-(L556+Calc!$J$2:$J$1001))+(((K556+M556)-(L556+Calc!$J$2:$J$1001))&gt;=Calc!$F$2:$F$1001)*Calc!$F$2:$F$1001))))</f>
        <v/>
      </c>
      <c r="R556">
        <f>IF(I556=0,0,(MIN(MAX((K556+N556),0),L556)*W556+SUMPRODUCT((Calc!$A$2:$A$1001=A556)*Calc!$G$2:$G$1001*((((K556+N556)-(L556+Calc!$J$2:$J$1001))&gt;0)*(((K556+N556)-(L556+Calc!$J$2:$J$1001))&lt;Calc!$F$2:$F$1001)*((K556+N556)-(L556+Calc!$J$2:$J$1001))+(((K556+N556)-(L556+Calc!$J$2:$J$1001))&gt;=Calc!$F$2:$F$1001)*Calc!$F$2:$F$1001))))</f>
        <v/>
      </c>
      <c r="S556">
        <f>IF(I556=0,0,(MIN(MAX((K556+O556),0),L556)*W556+SUMPRODUCT((Calc!$A$2:$A$1001=A556)*Calc!$G$2:$G$1001*((((K556+O556)-(L556+Calc!$J$2:$J$1001))&gt;0)*(((K556+O556)-(L556+Calc!$J$2:$J$1001))&lt;Calc!$F$2:$F$1001)*((K556+O556)-(L556+Calc!$J$2:$J$1001))+(((K556+O556)-(L556+Calc!$J$2:$J$1001))&gt;=Calc!$F$2:$F$1001)*Calc!$F$2:$F$1001))))</f>
        <v/>
      </c>
      <c r="T556">
        <f>IF(AND(E556=1,B556="RETURN"),Transactions!E556*Transactions!G556,0)</f>
        <v/>
      </c>
      <c r="U556">
        <f>IF(AND(E556=1,B556="EXPENSE"),Transactions!J556,0)</f>
        <v/>
      </c>
      <c r="V556">
        <f>IF(AND(Transactions!A556&lt;&gt;"",E556=0),ROW(),"")</f>
        <v/>
      </c>
      <c r="W556">
        <f>IFERROR(VLOOKUP(A556,Opening!$A:$D,4,0),0)</f>
        <v/>
      </c>
    </row>
    <row r="557">
      <c r="A557">
        <f>IF(Transactions!D557="","",UPPER(TRIM(Transactions!D557)))</f>
        <v/>
      </c>
      <c r="B557">
        <f>IF(Transactions!C557="","",UPPER(TRIM(Transactions!C557)))</f>
        <v/>
      </c>
      <c r="C557">
        <f>IF(Transactions!B557="",0,YEAR(Transactions!B557)*100+MONTH(Transactions!B557))</f>
        <v/>
      </c>
      <c r="D557">
        <f>IF(Transactions!A557="",1,IF(COUNTIF(Transactions!$A$1:A556,Transactions!A557)&gt;0,1,0))</f>
        <v/>
      </c>
      <c r="E557">
        <f>IF(D557=1,0,IF(B557="RETURN",IF(COUNTIFS($A$1:A556,A557,$B$1:B556,"SALE",$E$1:E556,1)&gt;0,1,0),1))</f>
        <v/>
      </c>
      <c r="F557">
        <f>IF(E557=1,IF(B557="RECEIPT",Transactions!E557,IF(AND(B557="RETURN",LOWER(TRIM(Transactions!H557))="resellable"),Transactions!E557,0)),0)</f>
        <v/>
      </c>
      <c r="G557">
        <f>IF(F557&gt;0,IF(B557="RECEIPT",Transactions!F557,IF(_xlfn.MAXIFS($H$2:H557,$A$2:A557,A557)&gt;0,INDEX(Transactions!$F:$F,_xlfn.MAXIFS($H$2:H557,$A$2:A557,A557)),W557)),0)</f>
        <v/>
      </c>
      <c r="H557">
        <f>IF(AND(E557=1,B557="RECEIPT"),ROW(),0)</f>
        <v/>
      </c>
      <c r="I557">
        <f>IF(E557=1,IF(OR(B557="SALE",B557="WRITEOFF"),Transactions!E557,0),0)</f>
        <v/>
      </c>
      <c r="J557">
        <f>SUMIFS($F$1:F556,$A$1:A556,A557)</f>
        <v/>
      </c>
      <c r="K557">
        <f>SUMIFS($I$1:I556,$A$1:A556,A557)</f>
        <v/>
      </c>
      <c r="L557">
        <f>IFERROR(VLOOKUP(A557,Opening!$A:$C,3,0),0)</f>
        <v/>
      </c>
      <c r="M557">
        <f>IF(I557=0,0,MAX(0,MIN(INDEX(Month!H$2:H$13,MATCH($A557,Month!$A$2:$A$13,0))-K557,I557)))</f>
        <v/>
      </c>
      <c r="N557">
        <f>IF(I557=0,0,MAX(0,MIN(INDEX(Month!I$2:I$13,MATCH($A557,Month!$A$2:$A$13,0))-K557,I557)))</f>
        <v/>
      </c>
      <c r="O557">
        <f>IF(I557=0,0,MAX(0,MIN(INDEX(Month!J$2:J$13,MATCH($A557,Month!$A$2:$A$13,0))-K557,I557)))</f>
        <v/>
      </c>
      <c r="P557">
        <f>IF(I557=0,0,(MIN(MAX(K557,0),L557)*W557+SUMPRODUCT((Calc!$A$2:$A$1001=A557)*Calc!$G$2:$G$1001*(((K557-(L557+Calc!$J$2:$J$1001))&gt;0)*((K557-(L557+Calc!$J$2:$J$1001))&lt;Calc!$F$2:$F$1001)*(K557-(L557+Calc!$J$2:$J$1001))+((K557-(L557+Calc!$J$2:$J$1001))&gt;=Calc!$F$2:$F$1001)*Calc!$F$2:$F$1001))))</f>
        <v/>
      </c>
      <c r="Q557">
        <f>IF(I557=0,0,(MIN(MAX((K557+M557),0),L557)*W557+SUMPRODUCT((Calc!$A$2:$A$1001=A557)*Calc!$G$2:$G$1001*((((K557+M557)-(L557+Calc!$J$2:$J$1001))&gt;0)*(((K557+M557)-(L557+Calc!$J$2:$J$1001))&lt;Calc!$F$2:$F$1001)*((K557+M557)-(L557+Calc!$J$2:$J$1001))+(((K557+M557)-(L557+Calc!$J$2:$J$1001))&gt;=Calc!$F$2:$F$1001)*Calc!$F$2:$F$1001))))</f>
        <v/>
      </c>
      <c r="R557">
        <f>IF(I557=0,0,(MIN(MAX((K557+N557),0),L557)*W557+SUMPRODUCT((Calc!$A$2:$A$1001=A557)*Calc!$G$2:$G$1001*((((K557+N557)-(L557+Calc!$J$2:$J$1001))&gt;0)*(((K557+N557)-(L557+Calc!$J$2:$J$1001))&lt;Calc!$F$2:$F$1001)*((K557+N557)-(L557+Calc!$J$2:$J$1001))+(((K557+N557)-(L557+Calc!$J$2:$J$1001))&gt;=Calc!$F$2:$F$1001)*Calc!$F$2:$F$1001))))</f>
        <v/>
      </c>
      <c r="S557">
        <f>IF(I557=0,0,(MIN(MAX((K557+O557),0),L557)*W557+SUMPRODUCT((Calc!$A$2:$A$1001=A557)*Calc!$G$2:$G$1001*((((K557+O557)-(L557+Calc!$J$2:$J$1001))&gt;0)*(((K557+O557)-(L557+Calc!$J$2:$J$1001))&lt;Calc!$F$2:$F$1001)*((K557+O557)-(L557+Calc!$J$2:$J$1001))+(((K557+O557)-(L557+Calc!$J$2:$J$1001))&gt;=Calc!$F$2:$F$1001)*Calc!$F$2:$F$1001))))</f>
        <v/>
      </c>
      <c r="T557">
        <f>IF(AND(E557=1,B557="RETURN"),Transactions!E557*Transactions!G557,0)</f>
        <v/>
      </c>
      <c r="U557">
        <f>IF(AND(E557=1,B557="EXPENSE"),Transactions!J557,0)</f>
        <v/>
      </c>
      <c r="V557">
        <f>IF(AND(Transactions!A557&lt;&gt;"",E557=0),ROW(),"")</f>
        <v/>
      </c>
      <c r="W557">
        <f>IFERROR(VLOOKUP(A557,Opening!$A:$D,4,0),0)</f>
        <v/>
      </c>
    </row>
    <row r="558">
      <c r="A558">
        <f>IF(Transactions!D558="","",UPPER(TRIM(Transactions!D558)))</f>
        <v/>
      </c>
      <c r="B558">
        <f>IF(Transactions!C558="","",UPPER(TRIM(Transactions!C558)))</f>
        <v/>
      </c>
      <c r="C558">
        <f>IF(Transactions!B558="",0,YEAR(Transactions!B558)*100+MONTH(Transactions!B558))</f>
        <v/>
      </c>
      <c r="D558">
        <f>IF(Transactions!A558="",1,IF(COUNTIF(Transactions!$A$1:A557,Transactions!A558)&gt;0,1,0))</f>
        <v/>
      </c>
      <c r="E558">
        <f>IF(D558=1,0,IF(B558="RETURN",IF(COUNTIFS($A$1:A557,A558,$B$1:B557,"SALE",$E$1:E557,1)&gt;0,1,0),1))</f>
        <v/>
      </c>
      <c r="F558">
        <f>IF(E558=1,IF(B558="RECEIPT",Transactions!E558,IF(AND(B558="RETURN",LOWER(TRIM(Transactions!H558))="resellable"),Transactions!E558,0)),0)</f>
        <v/>
      </c>
      <c r="G558">
        <f>IF(F558&gt;0,IF(B558="RECEIPT",Transactions!F558,IF(_xlfn.MAXIFS($H$2:H558,$A$2:A558,A558)&gt;0,INDEX(Transactions!$F:$F,_xlfn.MAXIFS($H$2:H558,$A$2:A558,A558)),W558)),0)</f>
        <v/>
      </c>
      <c r="H558">
        <f>IF(AND(E558=1,B558="RECEIPT"),ROW(),0)</f>
        <v/>
      </c>
      <c r="I558">
        <f>IF(E558=1,IF(OR(B558="SALE",B558="WRITEOFF"),Transactions!E558,0),0)</f>
        <v/>
      </c>
      <c r="J558">
        <f>SUMIFS($F$1:F557,$A$1:A557,A558)</f>
        <v/>
      </c>
      <c r="K558">
        <f>SUMIFS($I$1:I557,$A$1:A557,A558)</f>
        <v/>
      </c>
      <c r="L558">
        <f>IFERROR(VLOOKUP(A558,Opening!$A:$C,3,0),0)</f>
        <v/>
      </c>
      <c r="M558">
        <f>IF(I558=0,0,MAX(0,MIN(INDEX(Month!H$2:H$13,MATCH($A558,Month!$A$2:$A$13,0))-K558,I558)))</f>
        <v/>
      </c>
      <c r="N558">
        <f>IF(I558=0,0,MAX(0,MIN(INDEX(Month!I$2:I$13,MATCH($A558,Month!$A$2:$A$13,0))-K558,I558)))</f>
        <v/>
      </c>
      <c r="O558">
        <f>IF(I558=0,0,MAX(0,MIN(INDEX(Month!J$2:J$13,MATCH($A558,Month!$A$2:$A$13,0))-K558,I558)))</f>
        <v/>
      </c>
      <c r="P558">
        <f>IF(I558=0,0,(MIN(MAX(K558,0),L558)*W558+SUMPRODUCT((Calc!$A$2:$A$1001=A558)*Calc!$G$2:$G$1001*(((K558-(L558+Calc!$J$2:$J$1001))&gt;0)*((K558-(L558+Calc!$J$2:$J$1001))&lt;Calc!$F$2:$F$1001)*(K558-(L558+Calc!$J$2:$J$1001))+((K558-(L558+Calc!$J$2:$J$1001))&gt;=Calc!$F$2:$F$1001)*Calc!$F$2:$F$1001))))</f>
        <v/>
      </c>
      <c r="Q558">
        <f>IF(I558=0,0,(MIN(MAX((K558+M558),0),L558)*W558+SUMPRODUCT((Calc!$A$2:$A$1001=A558)*Calc!$G$2:$G$1001*((((K558+M558)-(L558+Calc!$J$2:$J$1001))&gt;0)*(((K558+M558)-(L558+Calc!$J$2:$J$1001))&lt;Calc!$F$2:$F$1001)*((K558+M558)-(L558+Calc!$J$2:$J$1001))+(((K558+M558)-(L558+Calc!$J$2:$J$1001))&gt;=Calc!$F$2:$F$1001)*Calc!$F$2:$F$1001))))</f>
        <v/>
      </c>
      <c r="R558">
        <f>IF(I558=0,0,(MIN(MAX((K558+N558),0),L558)*W558+SUMPRODUCT((Calc!$A$2:$A$1001=A558)*Calc!$G$2:$G$1001*((((K558+N558)-(L558+Calc!$J$2:$J$1001))&gt;0)*(((K558+N558)-(L558+Calc!$J$2:$J$1001))&lt;Calc!$F$2:$F$1001)*((K558+N558)-(L558+Calc!$J$2:$J$1001))+(((K558+N558)-(L558+Calc!$J$2:$J$1001))&gt;=Calc!$F$2:$F$1001)*Calc!$F$2:$F$1001))))</f>
        <v/>
      </c>
      <c r="S558">
        <f>IF(I558=0,0,(MIN(MAX((K558+O558),0),L558)*W558+SUMPRODUCT((Calc!$A$2:$A$1001=A558)*Calc!$G$2:$G$1001*((((K558+O558)-(L558+Calc!$J$2:$J$1001))&gt;0)*(((K558+O558)-(L558+Calc!$J$2:$J$1001))&lt;Calc!$F$2:$F$1001)*((K558+O558)-(L558+Calc!$J$2:$J$1001))+(((K558+O558)-(L558+Calc!$J$2:$J$1001))&gt;=Calc!$F$2:$F$1001)*Calc!$F$2:$F$1001))))</f>
        <v/>
      </c>
      <c r="T558">
        <f>IF(AND(E558=1,B558="RETURN"),Transactions!E558*Transactions!G558,0)</f>
        <v/>
      </c>
      <c r="U558">
        <f>IF(AND(E558=1,B558="EXPENSE"),Transactions!J558,0)</f>
        <v/>
      </c>
      <c r="V558">
        <f>IF(AND(Transactions!A558&lt;&gt;"",E558=0),ROW(),"")</f>
        <v/>
      </c>
      <c r="W558">
        <f>IFERROR(VLOOKUP(A558,Opening!$A:$D,4,0),0)</f>
        <v/>
      </c>
    </row>
    <row r="559">
      <c r="A559">
        <f>IF(Transactions!D559="","",UPPER(TRIM(Transactions!D559)))</f>
        <v/>
      </c>
      <c r="B559">
        <f>IF(Transactions!C559="","",UPPER(TRIM(Transactions!C559)))</f>
        <v/>
      </c>
      <c r="C559">
        <f>IF(Transactions!B559="",0,YEAR(Transactions!B559)*100+MONTH(Transactions!B559))</f>
        <v/>
      </c>
      <c r="D559">
        <f>IF(Transactions!A559="",1,IF(COUNTIF(Transactions!$A$1:A558,Transactions!A559)&gt;0,1,0))</f>
        <v/>
      </c>
      <c r="E559">
        <f>IF(D559=1,0,IF(B559="RETURN",IF(COUNTIFS($A$1:A558,A559,$B$1:B558,"SALE",$E$1:E558,1)&gt;0,1,0),1))</f>
        <v/>
      </c>
      <c r="F559">
        <f>IF(E559=1,IF(B559="RECEIPT",Transactions!E559,IF(AND(B559="RETURN",LOWER(TRIM(Transactions!H559))="resellable"),Transactions!E559,0)),0)</f>
        <v/>
      </c>
      <c r="G559">
        <f>IF(F559&gt;0,IF(B559="RECEIPT",Transactions!F559,IF(_xlfn.MAXIFS($H$2:H559,$A$2:A559,A559)&gt;0,INDEX(Transactions!$F:$F,_xlfn.MAXIFS($H$2:H559,$A$2:A559,A559)),W559)),0)</f>
        <v/>
      </c>
      <c r="H559">
        <f>IF(AND(E559=1,B559="RECEIPT"),ROW(),0)</f>
        <v/>
      </c>
      <c r="I559">
        <f>IF(E559=1,IF(OR(B559="SALE",B559="WRITEOFF"),Transactions!E559,0),0)</f>
        <v/>
      </c>
      <c r="J559">
        <f>SUMIFS($F$1:F558,$A$1:A558,A559)</f>
        <v/>
      </c>
      <c r="K559">
        <f>SUMIFS($I$1:I558,$A$1:A558,A559)</f>
        <v/>
      </c>
      <c r="L559">
        <f>IFERROR(VLOOKUP(A559,Opening!$A:$C,3,0),0)</f>
        <v/>
      </c>
      <c r="M559">
        <f>IF(I559=0,0,MAX(0,MIN(INDEX(Month!H$2:H$13,MATCH($A559,Month!$A$2:$A$13,0))-K559,I559)))</f>
        <v/>
      </c>
      <c r="N559">
        <f>IF(I559=0,0,MAX(0,MIN(INDEX(Month!I$2:I$13,MATCH($A559,Month!$A$2:$A$13,0))-K559,I559)))</f>
        <v/>
      </c>
      <c r="O559">
        <f>IF(I559=0,0,MAX(0,MIN(INDEX(Month!J$2:J$13,MATCH($A559,Month!$A$2:$A$13,0))-K559,I559)))</f>
        <v/>
      </c>
      <c r="P559">
        <f>IF(I559=0,0,(MIN(MAX(K559,0),L559)*W559+SUMPRODUCT((Calc!$A$2:$A$1001=A559)*Calc!$G$2:$G$1001*(((K559-(L559+Calc!$J$2:$J$1001))&gt;0)*((K559-(L559+Calc!$J$2:$J$1001))&lt;Calc!$F$2:$F$1001)*(K559-(L559+Calc!$J$2:$J$1001))+((K559-(L559+Calc!$J$2:$J$1001))&gt;=Calc!$F$2:$F$1001)*Calc!$F$2:$F$1001))))</f>
        <v/>
      </c>
      <c r="Q559">
        <f>IF(I559=0,0,(MIN(MAX((K559+M559),0),L559)*W559+SUMPRODUCT((Calc!$A$2:$A$1001=A559)*Calc!$G$2:$G$1001*((((K559+M559)-(L559+Calc!$J$2:$J$1001))&gt;0)*(((K559+M559)-(L559+Calc!$J$2:$J$1001))&lt;Calc!$F$2:$F$1001)*((K559+M559)-(L559+Calc!$J$2:$J$1001))+(((K559+M559)-(L559+Calc!$J$2:$J$1001))&gt;=Calc!$F$2:$F$1001)*Calc!$F$2:$F$1001))))</f>
        <v/>
      </c>
      <c r="R559">
        <f>IF(I559=0,0,(MIN(MAX((K559+N559),0),L559)*W559+SUMPRODUCT((Calc!$A$2:$A$1001=A559)*Calc!$G$2:$G$1001*((((K559+N559)-(L559+Calc!$J$2:$J$1001))&gt;0)*(((K559+N559)-(L559+Calc!$J$2:$J$1001))&lt;Calc!$F$2:$F$1001)*((K559+N559)-(L559+Calc!$J$2:$J$1001))+(((K559+N559)-(L559+Calc!$J$2:$J$1001))&gt;=Calc!$F$2:$F$1001)*Calc!$F$2:$F$1001))))</f>
        <v/>
      </c>
      <c r="S559">
        <f>IF(I559=0,0,(MIN(MAX((K559+O559),0),L559)*W559+SUMPRODUCT((Calc!$A$2:$A$1001=A559)*Calc!$G$2:$G$1001*((((K559+O559)-(L559+Calc!$J$2:$J$1001))&gt;0)*(((K559+O559)-(L559+Calc!$J$2:$J$1001))&lt;Calc!$F$2:$F$1001)*((K559+O559)-(L559+Calc!$J$2:$J$1001))+(((K559+O559)-(L559+Calc!$J$2:$J$1001))&gt;=Calc!$F$2:$F$1001)*Calc!$F$2:$F$1001))))</f>
        <v/>
      </c>
      <c r="T559">
        <f>IF(AND(E559=1,B559="RETURN"),Transactions!E559*Transactions!G559,0)</f>
        <v/>
      </c>
      <c r="U559">
        <f>IF(AND(E559=1,B559="EXPENSE"),Transactions!J559,0)</f>
        <v/>
      </c>
      <c r="V559">
        <f>IF(AND(Transactions!A559&lt;&gt;"",E559=0),ROW(),"")</f>
        <v/>
      </c>
      <c r="W559">
        <f>IFERROR(VLOOKUP(A559,Opening!$A:$D,4,0),0)</f>
        <v/>
      </c>
    </row>
    <row r="560">
      <c r="A560">
        <f>IF(Transactions!D560="","",UPPER(TRIM(Transactions!D560)))</f>
        <v/>
      </c>
      <c r="B560">
        <f>IF(Transactions!C560="","",UPPER(TRIM(Transactions!C560)))</f>
        <v/>
      </c>
      <c r="C560">
        <f>IF(Transactions!B560="",0,YEAR(Transactions!B560)*100+MONTH(Transactions!B560))</f>
        <v/>
      </c>
      <c r="D560">
        <f>IF(Transactions!A560="",1,IF(COUNTIF(Transactions!$A$1:A559,Transactions!A560)&gt;0,1,0))</f>
        <v/>
      </c>
      <c r="E560">
        <f>IF(D560=1,0,IF(B560="RETURN",IF(COUNTIFS($A$1:A559,A560,$B$1:B559,"SALE",$E$1:E559,1)&gt;0,1,0),1))</f>
        <v/>
      </c>
      <c r="F560">
        <f>IF(E560=1,IF(B560="RECEIPT",Transactions!E560,IF(AND(B560="RETURN",LOWER(TRIM(Transactions!H560))="resellable"),Transactions!E560,0)),0)</f>
        <v/>
      </c>
      <c r="G560">
        <f>IF(F560&gt;0,IF(B560="RECEIPT",Transactions!F560,IF(_xlfn.MAXIFS($H$2:H560,$A$2:A560,A560)&gt;0,INDEX(Transactions!$F:$F,_xlfn.MAXIFS($H$2:H560,$A$2:A560,A560)),W560)),0)</f>
        <v/>
      </c>
      <c r="H560">
        <f>IF(AND(E560=1,B560="RECEIPT"),ROW(),0)</f>
        <v/>
      </c>
      <c r="I560">
        <f>IF(E560=1,IF(OR(B560="SALE",B560="WRITEOFF"),Transactions!E560,0),0)</f>
        <v/>
      </c>
      <c r="J560">
        <f>SUMIFS($F$1:F559,$A$1:A559,A560)</f>
        <v/>
      </c>
      <c r="K560">
        <f>SUMIFS($I$1:I559,$A$1:A559,A560)</f>
        <v/>
      </c>
      <c r="L560">
        <f>IFERROR(VLOOKUP(A560,Opening!$A:$C,3,0),0)</f>
        <v/>
      </c>
      <c r="M560">
        <f>IF(I560=0,0,MAX(0,MIN(INDEX(Month!H$2:H$13,MATCH($A560,Month!$A$2:$A$13,0))-K560,I560)))</f>
        <v/>
      </c>
      <c r="N560">
        <f>IF(I560=0,0,MAX(0,MIN(INDEX(Month!I$2:I$13,MATCH($A560,Month!$A$2:$A$13,0))-K560,I560)))</f>
        <v/>
      </c>
      <c r="O560">
        <f>IF(I560=0,0,MAX(0,MIN(INDEX(Month!J$2:J$13,MATCH($A560,Month!$A$2:$A$13,0))-K560,I560)))</f>
        <v/>
      </c>
      <c r="P560">
        <f>IF(I560=0,0,(MIN(MAX(K560,0),L560)*W560+SUMPRODUCT((Calc!$A$2:$A$1001=A560)*Calc!$G$2:$G$1001*(((K560-(L560+Calc!$J$2:$J$1001))&gt;0)*((K560-(L560+Calc!$J$2:$J$1001))&lt;Calc!$F$2:$F$1001)*(K560-(L560+Calc!$J$2:$J$1001))+((K560-(L560+Calc!$J$2:$J$1001))&gt;=Calc!$F$2:$F$1001)*Calc!$F$2:$F$1001))))</f>
        <v/>
      </c>
      <c r="Q560">
        <f>IF(I560=0,0,(MIN(MAX((K560+M560),0),L560)*W560+SUMPRODUCT((Calc!$A$2:$A$1001=A560)*Calc!$G$2:$G$1001*((((K560+M560)-(L560+Calc!$J$2:$J$1001))&gt;0)*(((K560+M560)-(L560+Calc!$J$2:$J$1001))&lt;Calc!$F$2:$F$1001)*((K560+M560)-(L560+Calc!$J$2:$J$1001))+(((K560+M560)-(L560+Calc!$J$2:$J$1001))&gt;=Calc!$F$2:$F$1001)*Calc!$F$2:$F$1001))))</f>
        <v/>
      </c>
      <c r="R560">
        <f>IF(I560=0,0,(MIN(MAX((K560+N560),0),L560)*W560+SUMPRODUCT((Calc!$A$2:$A$1001=A560)*Calc!$G$2:$G$1001*((((K560+N560)-(L560+Calc!$J$2:$J$1001))&gt;0)*(((K560+N560)-(L560+Calc!$J$2:$J$1001))&lt;Calc!$F$2:$F$1001)*((K560+N560)-(L560+Calc!$J$2:$J$1001))+(((K560+N560)-(L560+Calc!$J$2:$J$1001))&gt;=Calc!$F$2:$F$1001)*Calc!$F$2:$F$1001))))</f>
        <v/>
      </c>
      <c r="S560">
        <f>IF(I560=0,0,(MIN(MAX((K560+O560),0),L560)*W560+SUMPRODUCT((Calc!$A$2:$A$1001=A560)*Calc!$G$2:$G$1001*((((K560+O560)-(L560+Calc!$J$2:$J$1001))&gt;0)*(((K560+O560)-(L560+Calc!$J$2:$J$1001))&lt;Calc!$F$2:$F$1001)*((K560+O560)-(L560+Calc!$J$2:$J$1001))+(((K560+O560)-(L560+Calc!$J$2:$J$1001))&gt;=Calc!$F$2:$F$1001)*Calc!$F$2:$F$1001))))</f>
        <v/>
      </c>
      <c r="T560">
        <f>IF(AND(E560=1,B560="RETURN"),Transactions!E560*Transactions!G560,0)</f>
        <v/>
      </c>
      <c r="U560">
        <f>IF(AND(E560=1,B560="EXPENSE"),Transactions!J560,0)</f>
        <v/>
      </c>
      <c r="V560">
        <f>IF(AND(Transactions!A560&lt;&gt;"",E560=0),ROW(),"")</f>
        <v/>
      </c>
      <c r="W560">
        <f>IFERROR(VLOOKUP(A560,Opening!$A:$D,4,0),0)</f>
        <v/>
      </c>
    </row>
    <row r="561">
      <c r="A561">
        <f>IF(Transactions!D561="","",UPPER(TRIM(Transactions!D561)))</f>
        <v/>
      </c>
      <c r="B561">
        <f>IF(Transactions!C561="","",UPPER(TRIM(Transactions!C561)))</f>
        <v/>
      </c>
      <c r="C561">
        <f>IF(Transactions!B561="",0,YEAR(Transactions!B561)*100+MONTH(Transactions!B561))</f>
        <v/>
      </c>
      <c r="D561">
        <f>IF(Transactions!A561="",1,IF(COUNTIF(Transactions!$A$1:A560,Transactions!A561)&gt;0,1,0))</f>
        <v/>
      </c>
      <c r="E561">
        <f>IF(D561=1,0,IF(B561="RETURN",IF(COUNTIFS($A$1:A560,A561,$B$1:B560,"SALE",$E$1:E560,1)&gt;0,1,0),1))</f>
        <v/>
      </c>
      <c r="F561">
        <f>IF(E561=1,IF(B561="RECEIPT",Transactions!E561,IF(AND(B561="RETURN",LOWER(TRIM(Transactions!H561))="resellable"),Transactions!E561,0)),0)</f>
        <v/>
      </c>
      <c r="G561">
        <f>IF(F561&gt;0,IF(B561="RECEIPT",Transactions!F561,IF(_xlfn.MAXIFS($H$2:H561,$A$2:A561,A561)&gt;0,INDEX(Transactions!$F:$F,_xlfn.MAXIFS($H$2:H561,$A$2:A561,A561)),W561)),0)</f>
        <v/>
      </c>
      <c r="H561">
        <f>IF(AND(E561=1,B561="RECEIPT"),ROW(),0)</f>
        <v/>
      </c>
      <c r="I561">
        <f>IF(E561=1,IF(OR(B561="SALE",B561="WRITEOFF"),Transactions!E561,0),0)</f>
        <v/>
      </c>
      <c r="J561">
        <f>SUMIFS($F$1:F560,$A$1:A560,A561)</f>
        <v/>
      </c>
      <c r="K561">
        <f>SUMIFS($I$1:I560,$A$1:A560,A561)</f>
        <v/>
      </c>
      <c r="L561">
        <f>IFERROR(VLOOKUP(A561,Opening!$A:$C,3,0),0)</f>
        <v/>
      </c>
      <c r="M561">
        <f>IF(I561=0,0,MAX(0,MIN(INDEX(Month!H$2:H$13,MATCH($A561,Month!$A$2:$A$13,0))-K561,I561)))</f>
        <v/>
      </c>
      <c r="N561">
        <f>IF(I561=0,0,MAX(0,MIN(INDEX(Month!I$2:I$13,MATCH($A561,Month!$A$2:$A$13,0))-K561,I561)))</f>
        <v/>
      </c>
      <c r="O561">
        <f>IF(I561=0,0,MAX(0,MIN(INDEX(Month!J$2:J$13,MATCH($A561,Month!$A$2:$A$13,0))-K561,I561)))</f>
        <v/>
      </c>
      <c r="P561">
        <f>IF(I561=0,0,(MIN(MAX(K561,0),L561)*W561+SUMPRODUCT((Calc!$A$2:$A$1001=A561)*Calc!$G$2:$G$1001*(((K561-(L561+Calc!$J$2:$J$1001))&gt;0)*((K561-(L561+Calc!$J$2:$J$1001))&lt;Calc!$F$2:$F$1001)*(K561-(L561+Calc!$J$2:$J$1001))+((K561-(L561+Calc!$J$2:$J$1001))&gt;=Calc!$F$2:$F$1001)*Calc!$F$2:$F$1001))))</f>
        <v/>
      </c>
      <c r="Q561">
        <f>IF(I561=0,0,(MIN(MAX((K561+M561),0),L561)*W561+SUMPRODUCT((Calc!$A$2:$A$1001=A561)*Calc!$G$2:$G$1001*((((K561+M561)-(L561+Calc!$J$2:$J$1001))&gt;0)*(((K561+M561)-(L561+Calc!$J$2:$J$1001))&lt;Calc!$F$2:$F$1001)*((K561+M561)-(L561+Calc!$J$2:$J$1001))+(((K561+M561)-(L561+Calc!$J$2:$J$1001))&gt;=Calc!$F$2:$F$1001)*Calc!$F$2:$F$1001))))</f>
        <v/>
      </c>
      <c r="R561">
        <f>IF(I561=0,0,(MIN(MAX((K561+N561),0),L561)*W561+SUMPRODUCT((Calc!$A$2:$A$1001=A561)*Calc!$G$2:$G$1001*((((K561+N561)-(L561+Calc!$J$2:$J$1001))&gt;0)*(((K561+N561)-(L561+Calc!$J$2:$J$1001))&lt;Calc!$F$2:$F$1001)*((K561+N561)-(L561+Calc!$J$2:$J$1001))+(((K561+N561)-(L561+Calc!$J$2:$J$1001))&gt;=Calc!$F$2:$F$1001)*Calc!$F$2:$F$1001))))</f>
        <v/>
      </c>
      <c r="S561">
        <f>IF(I561=0,0,(MIN(MAX((K561+O561),0),L561)*W561+SUMPRODUCT((Calc!$A$2:$A$1001=A561)*Calc!$G$2:$G$1001*((((K561+O561)-(L561+Calc!$J$2:$J$1001))&gt;0)*(((K561+O561)-(L561+Calc!$J$2:$J$1001))&lt;Calc!$F$2:$F$1001)*((K561+O561)-(L561+Calc!$J$2:$J$1001))+(((K561+O561)-(L561+Calc!$J$2:$J$1001))&gt;=Calc!$F$2:$F$1001)*Calc!$F$2:$F$1001))))</f>
        <v/>
      </c>
      <c r="T561">
        <f>IF(AND(E561=1,B561="RETURN"),Transactions!E561*Transactions!G561,0)</f>
        <v/>
      </c>
      <c r="U561">
        <f>IF(AND(E561=1,B561="EXPENSE"),Transactions!J561,0)</f>
        <v/>
      </c>
      <c r="V561">
        <f>IF(AND(Transactions!A561&lt;&gt;"",E561=0),ROW(),"")</f>
        <v/>
      </c>
      <c r="W561">
        <f>IFERROR(VLOOKUP(A561,Opening!$A:$D,4,0),0)</f>
        <v/>
      </c>
    </row>
    <row r="562">
      <c r="A562">
        <f>IF(Transactions!D562="","",UPPER(TRIM(Transactions!D562)))</f>
        <v/>
      </c>
      <c r="B562">
        <f>IF(Transactions!C562="","",UPPER(TRIM(Transactions!C562)))</f>
        <v/>
      </c>
      <c r="C562">
        <f>IF(Transactions!B562="",0,YEAR(Transactions!B562)*100+MONTH(Transactions!B562))</f>
        <v/>
      </c>
      <c r="D562">
        <f>IF(Transactions!A562="",1,IF(COUNTIF(Transactions!$A$1:A561,Transactions!A562)&gt;0,1,0))</f>
        <v/>
      </c>
      <c r="E562">
        <f>IF(D562=1,0,IF(B562="RETURN",IF(COUNTIFS($A$1:A561,A562,$B$1:B561,"SALE",$E$1:E561,1)&gt;0,1,0),1))</f>
        <v/>
      </c>
      <c r="F562">
        <f>IF(E562=1,IF(B562="RECEIPT",Transactions!E562,IF(AND(B562="RETURN",LOWER(TRIM(Transactions!H562))="resellable"),Transactions!E562,0)),0)</f>
        <v/>
      </c>
      <c r="G562">
        <f>IF(F562&gt;0,IF(B562="RECEIPT",Transactions!F562,IF(_xlfn.MAXIFS($H$2:H562,$A$2:A562,A562)&gt;0,INDEX(Transactions!$F:$F,_xlfn.MAXIFS($H$2:H562,$A$2:A562,A562)),W562)),0)</f>
        <v/>
      </c>
      <c r="H562">
        <f>IF(AND(E562=1,B562="RECEIPT"),ROW(),0)</f>
        <v/>
      </c>
      <c r="I562">
        <f>IF(E562=1,IF(OR(B562="SALE",B562="WRITEOFF"),Transactions!E562,0),0)</f>
        <v/>
      </c>
      <c r="J562">
        <f>SUMIFS($F$1:F561,$A$1:A561,A562)</f>
        <v/>
      </c>
      <c r="K562">
        <f>SUMIFS($I$1:I561,$A$1:A561,A562)</f>
        <v/>
      </c>
      <c r="L562">
        <f>IFERROR(VLOOKUP(A562,Opening!$A:$C,3,0),0)</f>
        <v/>
      </c>
      <c r="M562">
        <f>IF(I562=0,0,MAX(0,MIN(INDEX(Month!H$2:H$13,MATCH($A562,Month!$A$2:$A$13,0))-K562,I562)))</f>
        <v/>
      </c>
      <c r="N562">
        <f>IF(I562=0,0,MAX(0,MIN(INDEX(Month!I$2:I$13,MATCH($A562,Month!$A$2:$A$13,0))-K562,I562)))</f>
        <v/>
      </c>
      <c r="O562">
        <f>IF(I562=0,0,MAX(0,MIN(INDEX(Month!J$2:J$13,MATCH($A562,Month!$A$2:$A$13,0))-K562,I562)))</f>
        <v/>
      </c>
      <c r="P562">
        <f>IF(I562=0,0,(MIN(MAX(K562,0),L562)*W562+SUMPRODUCT((Calc!$A$2:$A$1001=A562)*Calc!$G$2:$G$1001*(((K562-(L562+Calc!$J$2:$J$1001))&gt;0)*((K562-(L562+Calc!$J$2:$J$1001))&lt;Calc!$F$2:$F$1001)*(K562-(L562+Calc!$J$2:$J$1001))+((K562-(L562+Calc!$J$2:$J$1001))&gt;=Calc!$F$2:$F$1001)*Calc!$F$2:$F$1001))))</f>
        <v/>
      </c>
      <c r="Q562">
        <f>IF(I562=0,0,(MIN(MAX((K562+M562),0),L562)*W562+SUMPRODUCT((Calc!$A$2:$A$1001=A562)*Calc!$G$2:$G$1001*((((K562+M562)-(L562+Calc!$J$2:$J$1001))&gt;0)*(((K562+M562)-(L562+Calc!$J$2:$J$1001))&lt;Calc!$F$2:$F$1001)*((K562+M562)-(L562+Calc!$J$2:$J$1001))+(((K562+M562)-(L562+Calc!$J$2:$J$1001))&gt;=Calc!$F$2:$F$1001)*Calc!$F$2:$F$1001))))</f>
        <v/>
      </c>
      <c r="R562">
        <f>IF(I562=0,0,(MIN(MAX((K562+N562),0),L562)*W562+SUMPRODUCT((Calc!$A$2:$A$1001=A562)*Calc!$G$2:$G$1001*((((K562+N562)-(L562+Calc!$J$2:$J$1001))&gt;0)*(((K562+N562)-(L562+Calc!$J$2:$J$1001))&lt;Calc!$F$2:$F$1001)*((K562+N562)-(L562+Calc!$J$2:$J$1001))+(((K562+N562)-(L562+Calc!$J$2:$J$1001))&gt;=Calc!$F$2:$F$1001)*Calc!$F$2:$F$1001))))</f>
        <v/>
      </c>
      <c r="S562">
        <f>IF(I562=0,0,(MIN(MAX((K562+O562),0),L562)*W562+SUMPRODUCT((Calc!$A$2:$A$1001=A562)*Calc!$G$2:$G$1001*((((K562+O562)-(L562+Calc!$J$2:$J$1001))&gt;0)*(((K562+O562)-(L562+Calc!$J$2:$J$1001))&lt;Calc!$F$2:$F$1001)*((K562+O562)-(L562+Calc!$J$2:$J$1001))+(((K562+O562)-(L562+Calc!$J$2:$J$1001))&gt;=Calc!$F$2:$F$1001)*Calc!$F$2:$F$1001))))</f>
        <v/>
      </c>
      <c r="T562">
        <f>IF(AND(E562=1,B562="RETURN"),Transactions!E562*Transactions!G562,0)</f>
        <v/>
      </c>
      <c r="U562">
        <f>IF(AND(E562=1,B562="EXPENSE"),Transactions!J562,0)</f>
        <v/>
      </c>
      <c r="V562">
        <f>IF(AND(Transactions!A562&lt;&gt;"",E562=0),ROW(),"")</f>
        <v/>
      </c>
      <c r="W562">
        <f>IFERROR(VLOOKUP(A562,Opening!$A:$D,4,0),0)</f>
        <v/>
      </c>
    </row>
    <row r="563">
      <c r="A563">
        <f>IF(Transactions!D563="","",UPPER(TRIM(Transactions!D563)))</f>
        <v/>
      </c>
      <c r="B563">
        <f>IF(Transactions!C563="","",UPPER(TRIM(Transactions!C563)))</f>
        <v/>
      </c>
      <c r="C563">
        <f>IF(Transactions!B563="",0,YEAR(Transactions!B563)*100+MONTH(Transactions!B563))</f>
        <v/>
      </c>
      <c r="D563">
        <f>IF(Transactions!A563="",1,IF(COUNTIF(Transactions!$A$1:A562,Transactions!A563)&gt;0,1,0))</f>
        <v/>
      </c>
      <c r="E563">
        <f>IF(D563=1,0,IF(B563="RETURN",IF(COUNTIFS($A$1:A562,A563,$B$1:B562,"SALE",$E$1:E562,1)&gt;0,1,0),1))</f>
        <v/>
      </c>
      <c r="F563">
        <f>IF(E563=1,IF(B563="RECEIPT",Transactions!E563,IF(AND(B563="RETURN",LOWER(TRIM(Transactions!H563))="resellable"),Transactions!E563,0)),0)</f>
        <v/>
      </c>
      <c r="G563">
        <f>IF(F563&gt;0,IF(B563="RECEIPT",Transactions!F563,IF(_xlfn.MAXIFS($H$2:H563,$A$2:A563,A563)&gt;0,INDEX(Transactions!$F:$F,_xlfn.MAXIFS($H$2:H563,$A$2:A563,A563)),W563)),0)</f>
        <v/>
      </c>
      <c r="H563">
        <f>IF(AND(E563=1,B563="RECEIPT"),ROW(),0)</f>
        <v/>
      </c>
      <c r="I563">
        <f>IF(E563=1,IF(OR(B563="SALE",B563="WRITEOFF"),Transactions!E563,0),0)</f>
        <v/>
      </c>
      <c r="J563">
        <f>SUMIFS($F$1:F562,$A$1:A562,A563)</f>
        <v/>
      </c>
      <c r="K563">
        <f>SUMIFS($I$1:I562,$A$1:A562,A563)</f>
        <v/>
      </c>
      <c r="L563">
        <f>IFERROR(VLOOKUP(A563,Opening!$A:$C,3,0),0)</f>
        <v/>
      </c>
      <c r="M563">
        <f>IF(I563=0,0,MAX(0,MIN(INDEX(Month!H$2:H$13,MATCH($A563,Month!$A$2:$A$13,0))-K563,I563)))</f>
        <v/>
      </c>
      <c r="N563">
        <f>IF(I563=0,0,MAX(0,MIN(INDEX(Month!I$2:I$13,MATCH($A563,Month!$A$2:$A$13,0))-K563,I563)))</f>
        <v/>
      </c>
      <c r="O563">
        <f>IF(I563=0,0,MAX(0,MIN(INDEX(Month!J$2:J$13,MATCH($A563,Month!$A$2:$A$13,0))-K563,I563)))</f>
        <v/>
      </c>
      <c r="P563">
        <f>IF(I563=0,0,(MIN(MAX(K563,0),L563)*W563+SUMPRODUCT((Calc!$A$2:$A$1001=A563)*Calc!$G$2:$G$1001*(((K563-(L563+Calc!$J$2:$J$1001))&gt;0)*((K563-(L563+Calc!$J$2:$J$1001))&lt;Calc!$F$2:$F$1001)*(K563-(L563+Calc!$J$2:$J$1001))+((K563-(L563+Calc!$J$2:$J$1001))&gt;=Calc!$F$2:$F$1001)*Calc!$F$2:$F$1001))))</f>
        <v/>
      </c>
      <c r="Q563">
        <f>IF(I563=0,0,(MIN(MAX((K563+M563),0),L563)*W563+SUMPRODUCT((Calc!$A$2:$A$1001=A563)*Calc!$G$2:$G$1001*((((K563+M563)-(L563+Calc!$J$2:$J$1001))&gt;0)*(((K563+M563)-(L563+Calc!$J$2:$J$1001))&lt;Calc!$F$2:$F$1001)*((K563+M563)-(L563+Calc!$J$2:$J$1001))+(((K563+M563)-(L563+Calc!$J$2:$J$1001))&gt;=Calc!$F$2:$F$1001)*Calc!$F$2:$F$1001))))</f>
        <v/>
      </c>
      <c r="R563">
        <f>IF(I563=0,0,(MIN(MAX((K563+N563),0),L563)*W563+SUMPRODUCT((Calc!$A$2:$A$1001=A563)*Calc!$G$2:$G$1001*((((K563+N563)-(L563+Calc!$J$2:$J$1001))&gt;0)*(((K563+N563)-(L563+Calc!$J$2:$J$1001))&lt;Calc!$F$2:$F$1001)*((K563+N563)-(L563+Calc!$J$2:$J$1001))+(((K563+N563)-(L563+Calc!$J$2:$J$1001))&gt;=Calc!$F$2:$F$1001)*Calc!$F$2:$F$1001))))</f>
        <v/>
      </c>
      <c r="S563">
        <f>IF(I563=0,0,(MIN(MAX((K563+O563),0),L563)*W563+SUMPRODUCT((Calc!$A$2:$A$1001=A563)*Calc!$G$2:$G$1001*((((K563+O563)-(L563+Calc!$J$2:$J$1001))&gt;0)*(((K563+O563)-(L563+Calc!$J$2:$J$1001))&lt;Calc!$F$2:$F$1001)*((K563+O563)-(L563+Calc!$J$2:$J$1001))+(((K563+O563)-(L563+Calc!$J$2:$J$1001))&gt;=Calc!$F$2:$F$1001)*Calc!$F$2:$F$1001))))</f>
        <v/>
      </c>
      <c r="T563">
        <f>IF(AND(E563=1,B563="RETURN"),Transactions!E563*Transactions!G563,0)</f>
        <v/>
      </c>
      <c r="U563">
        <f>IF(AND(E563=1,B563="EXPENSE"),Transactions!J563,0)</f>
        <v/>
      </c>
      <c r="V563">
        <f>IF(AND(Transactions!A563&lt;&gt;"",E563=0),ROW(),"")</f>
        <v/>
      </c>
      <c r="W563">
        <f>IFERROR(VLOOKUP(A563,Opening!$A:$D,4,0),0)</f>
        <v/>
      </c>
    </row>
    <row r="564">
      <c r="A564">
        <f>IF(Transactions!D564="","",UPPER(TRIM(Transactions!D564)))</f>
        <v/>
      </c>
      <c r="B564">
        <f>IF(Transactions!C564="","",UPPER(TRIM(Transactions!C564)))</f>
        <v/>
      </c>
      <c r="C564">
        <f>IF(Transactions!B564="",0,YEAR(Transactions!B564)*100+MONTH(Transactions!B564))</f>
        <v/>
      </c>
      <c r="D564">
        <f>IF(Transactions!A564="",1,IF(COUNTIF(Transactions!$A$1:A563,Transactions!A564)&gt;0,1,0))</f>
        <v/>
      </c>
      <c r="E564">
        <f>IF(D564=1,0,IF(B564="RETURN",IF(COUNTIFS($A$1:A563,A564,$B$1:B563,"SALE",$E$1:E563,1)&gt;0,1,0),1))</f>
        <v/>
      </c>
      <c r="F564">
        <f>IF(E564=1,IF(B564="RECEIPT",Transactions!E564,IF(AND(B564="RETURN",LOWER(TRIM(Transactions!H564))="resellable"),Transactions!E564,0)),0)</f>
        <v/>
      </c>
      <c r="G564">
        <f>IF(F564&gt;0,IF(B564="RECEIPT",Transactions!F564,IF(_xlfn.MAXIFS($H$2:H564,$A$2:A564,A564)&gt;0,INDEX(Transactions!$F:$F,_xlfn.MAXIFS($H$2:H564,$A$2:A564,A564)),W564)),0)</f>
        <v/>
      </c>
      <c r="H564">
        <f>IF(AND(E564=1,B564="RECEIPT"),ROW(),0)</f>
        <v/>
      </c>
      <c r="I564">
        <f>IF(E564=1,IF(OR(B564="SALE",B564="WRITEOFF"),Transactions!E564,0),0)</f>
        <v/>
      </c>
      <c r="J564">
        <f>SUMIFS($F$1:F563,$A$1:A563,A564)</f>
        <v/>
      </c>
      <c r="K564">
        <f>SUMIFS($I$1:I563,$A$1:A563,A564)</f>
        <v/>
      </c>
      <c r="L564">
        <f>IFERROR(VLOOKUP(A564,Opening!$A:$C,3,0),0)</f>
        <v/>
      </c>
      <c r="M564">
        <f>IF(I564=0,0,MAX(0,MIN(INDEX(Month!H$2:H$13,MATCH($A564,Month!$A$2:$A$13,0))-K564,I564)))</f>
        <v/>
      </c>
      <c r="N564">
        <f>IF(I564=0,0,MAX(0,MIN(INDEX(Month!I$2:I$13,MATCH($A564,Month!$A$2:$A$13,0))-K564,I564)))</f>
        <v/>
      </c>
      <c r="O564">
        <f>IF(I564=0,0,MAX(0,MIN(INDEX(Month!J$2:J$13,MATCH($A564,Month!$A$2:$A$13,0))-K564,I564)))</f>
        <v/>
      </c>
      <c r="P564">
        <f>IF(I564=0,0,(MIN(MAX(K564,0),L564)*W564+SUMPRODUCT((Calc!$A$2:$A$1001=A564)*Calc!$G$2:$G$1001*(((K564-(L564+Calc!$J$2:$J$1001))&gt;0)*((K564-(L564+Calc!$J$2:$J$1001))&lt;Calc!$F$2:$F$1001)*(K564-(L564+Calc!$J$2:$J$1001))+((K564-(L564+Calc!$J$2:$J$1001))&gt;=Calc!$F$2:$F$1001)*Calc!$F$2:$F$1001))))</f>
        <v/>
      </c>
      <c r="Q564">
        <f>IF(I564=0,0,(MIN(MAX((K564+M564),0),L564)*W564+SUMPRODUCT((Calc!$A$2:$A$1001=A564)*Calc!$G$2:$G$1001*((((K564+M564)-(L564+Calc!$J$2:$J$1001))&gt;0)*(((K564+M564)-(L564+Calc!$J$2:$J$1001))&lt;Calc!$F$2:$F$1001)*((K564+M564)-(L564+Calc!$J$2:$J$1001))+(((K564+M564)-(L564+Calc!$J$2:$J$1001))&gt;=Calc!$F$2:$F$1001)*Calc!$F$2:$F$1001))))</f>
        <v/>
      </c>
      <c r="R564">
        <f>IF(I564=0,0,(MIN(MAX((K564+N564),0),L564)*W564+SUMPRODUCT((Calc!$A$2:$A$1001=A564)*Calc!$G$2:$G$1001*((((K564+N564)-(L564+Calc!$J$2:$J$1001))&gt;0)*(((K564+N564)-(L564+Calc!$J$2:$J$1001))&lt;Calc!$F$2:$F$1001)*((K564+N564)-(L564+Calc!$J$2:$J$1001))+(((K564+N564)-(L564+Calc!$J$2:$J$1001))&gt;=Calc!$F$2:$F$1001)*Calc!$F$2:$F$1001))))</f>
        <v/>
      </c>
      <c r="S564">
        <f>IF(I564=0,0,(MIN(MAX((K564+O564),0),L564)*W564+SUMPRODUCT((Calc!$A$2:$A$1001=A564)*Calc!$G$2:$G$1001*((((K564+O564)-(L564+Calc!$J$2:$J$1001))&gt;0)*(((K564+O564)-(L564+Calc!$J$2:$J$1001))&lt;Calc!$F$2:$F$1001)*((K564+O564)-(L564+Calc!$J$2:$J$1001))+(((K564+O564)-(L564+Calc!$J$2:$J$1001))&gt;=Calc!$F$2:$F$1001)*Calc!$F$2:$F$1001))))</f>
        <v/>
      </c>
      <c r="T564">
        <f>IF(AND(E564=1,B564="RETURN"),Transactions!E564*Transactions!G564,0)</f>
        <v/>
      </c>
      <c r="U564">
        <f>IF(AND(E564=1,B564="EXPENSE"),Transactions!J564,0)</f>
        <v/>
      </c>
      <c r="V564">
        <f>IF(AND(Transactions!A564&lt;&gt;"",E564=0),ROW(),"")</f>
        <v/>
      </c>
      <c r="W564">
        <f>IFERROR(VLOOKUP(A564,Opening!$A:$D,4,0),0)</f>
        <v/>
      </c>
    </row>
    <row r="565">
      <c r="A565">
        <f>IF(Transactions!D565="","",UPPER(TRIM(Transactions!D565)))</f>
        <v/>
      </c>
      <c r="B565">
        <f>IF(Transactions!C565="","",UPPER(TRIM(Transactions!C565)))</f>
        <v/>
      </c>
      <c r="C565">
        <f>IF(Transactions!B565="",0,YEAR(Transactions!B565)*100+MONTH(Transactions!B565))</f>
        <v/>
      </c>
      <c r="D565">
        <f>IF(Transactions!A565="",1,IF(COUNTIF(Transactions!$A$1:A564,Transactions!A565)&gt;0,1,0))</f>
        <v/>
      </c>
      <c r="E565">
        <f>IF(D565=1,0,IF(B565="RETURN",IF(COUNTIFS($A$1:A564,A565,$B$1:B564,"SALE",$E$1:E564,1)&gt;0,1,0),1))</f>
        <v/>
      </c>
      <c r="F565">
        <f>IF(E565=1,IF(B565="RECEIPT",Transactions!E565,IF(AND(B565="RETURN",LOWER(TRIM(Transactions!H565))="resellable"),Transactions!E565,0)),0)</f>
        <v/>
      </c>
      <c r="G565">
        <f>IF(F565&gt;0,IF(B565="RECEIPT",Transactions!F565,IF(_xlfn.MAXIFS($H$2:H565,$A$2:A565,A565)&gt;0,INDEX(Transactions!$F:$F,_xlfn.MAXIFS($H$2:H565,$A$2:A565,A565)),W565)),0)</f>
        <v/>
      </c>
      <c r="H565">
        <f>IF(AND(E565=1,B565="RECEIPT"),ROW(),0)</f>
        <v/>
      </c>
      <c r="I565">
        <f>IF(E565=1,IF(OR(B565="SALE",B565="WRITEOFF"),Transactions!E565,0),0)</f>
        <v/>
      </c>
      <c r="J565">
        <f>SUMIFS($F$1:F564,$A$1:A564,A565)</f>
        <v/>
      </c>
      <c r="K565">
        <f>SUMIFS($I$1:I564,$A$1:A564,A565)</f>
        <v/>
      </c>
      <c r="L565">
        <f>IFERROR(VLOOKUP(A565,Opening!$A:$C,3,0),0)</f>
        <v/>
      </c>
      <c r="M565">
        <f>IF(I565=0,0,MAX(0,MIN(INDEX(Month!H$2:H$13,MATCH($A565,Month!$A$2:$A$13,0))-K565,I565)))</f>
        <v/>
      </c>
      <c r="N565">
        <f>IF(I565=0,0,MAX(0,MIN(INDEX(Month!I$2:I$13,MATCH($A565,Month!$A$2:$A$13,0))-K565,I565)))</f>
        <v/>
      </c>
      <c r="O565">
        <f>IF(I565=0,0,MAX(0,MIN(INDEX(Month!J$2:J$13,MATCH($A565,Month!$A$2:$A$13,0))-K565,I565)))</f>
        <v/>
      </c>
      <c r="P565">
        <f>IF(I565=0,0,(MIN(MAX(K565,0),L565)*W565+SUMPRODUCT((Calc!$A$2:$A$1001=A565)*Calc!$G$2:$G$1001*(((K565-(L565+Calc!$J$2:$J$1001))&gt;0)*((K565-(L565+Calc!$J$2:$J$1001))&lt;Calc!$F$2:$F$1001)*(K565-(L565+Calc!$J$2:$J$1001))+((K565-(L565+Calc!$J$2:$J$1001))&gt;=Calc!$F$2:$F$1001)*Calc!$F$2:$F$1001))))</f>
        <v/>
      </c>
      <c r="Q565">
        <f>IF(I565=0,0,(MIN(MAX((K565+M565),0),L565)*W565+SUMPRODUCT((Calc!$A$2:$A$1001=A565)*Calc!$G$2:$G$1001*((((K565+M565)-(L565+Calc!$J$2:$J$1001))&gt;0)*(((K565+M565)-(L565+Calc!$J$2:$J$1001))&lt;Calc!$F$2:$F$1001)*((K565+M565)-(L565+Calc!$J$2:$J$1001))+(((K565+M565)-(L565+Calc!$J$2:$J$1001))&gt;=Calc!$F$2:$F$1001)*Calc!$F$2:$F$1001))))</f>
        <v/>
      </c>
      <c r="R565">
        <f>IF(I565=0,0,(MIN(MAX((K565+N565),0),L565)*W565+SUMPRODUCT((Calc!$A$2:$A$1001=A565)*Calc!$G$2:$G$1001*((((K565+N565)-(L565+Calc!$J$2:$J$1001))&gt;0)*(((K565+N565)-(L565+Calc!$J$2:$J$1001))&lt;Calc!$F$2:$F$1001)*((K565+N565)-(L565+Calc!$J$2:$J$1001))+(((K565+N565)-(L565+Calc!$J$2:$J$1001))&gt;=Calc!$F$2:$F$1001)*Calc!$F$2:$F$1001))))</f>
        <v/>
      </c>
      <c r="S565">
        <f>IF(I565=0,0,(MIN(MAX((K565+O565),0),L565)*W565+SUMPRODUCT((Calc!$A$2:$A$1001=A565)*Calc!$G$2:$G$1001*((((K565+O565)-(L565+Calc!$J$2:$J$1001))&gt;0)*(((K565+O565)-(L565+Calc!$J$2:$J$1001))&lt;Calc!$F$2:$F$1001)*((K565+O565)-(L565+Calc!$J$2:$J$1001))+(((K565+O565)-(L565+Calc!$J$2:$J$1001))&gt;=Calc!$F$2:$F$1001)*Calc!$F$2:$F$1001))))</f>
        <v/>
      </c>
      <c r="T565">
        <f>IF(AND(E565=1,B565="RETURN"),Transactions!E565*Transactions!G565,0)</f>
        <v/>
      </c>
      <c r="U565">
        <f>IF(AND(E565=1,B565="EXPENSE"),Transactions!J565,0)</f>
        <v/>
      </c>
      <c r="V565">
        <f>IF(AND(Transactions!A565&lt;&gt;"",E565=0),ROW(),"")</f>
        <v/>
      </c>
      <c r="W565">
        <f>IFERROR(VLOOKUP(A565,Opening!$A:$D,4,0),0)</f>
        <v/>
      </c>
    </row>
    <row r="566">
      <c r="A566">
        <f>IF(Transactions!D566="","",UPPER(TRIM(Transactions!D566)))</f>
        <v/>
      </c>
      <c r="B566">
        <f>IF(Transactions!C566="","",UPPER(TRIM(Transactions!C566)))</f>
        <v/>
      </c>
      <c r="C566">
        <f>IF(Transactions!B566="",0,YEAR(Transactions!B566)*100+MONTH(Transactions!B566))</f>
        <v/>
      </c>
      <c r="D566">
        <f>IF(Transactions!A566="",1,IF(COUNTIF(Transactions!$A$1:A565,Transactions!A566)&gt;0,1,0))</f>
        <v/>
      </c>
      <c r="E566">
        <f>IF(D566=1,0,IF(B566="RETURN",IF(COUNTIFS($A$1:A565,A566,$B$1:B565,"SALE",$E$1:E565,1)&gt;0,1,0),1))</f>
        <v/>
      </c>
      <c r="F566">
        <f>IF(E566=1,IF(B566="RECEIPT",Transactions!E566,IF(AND(B566="RETURN",LOWER(TRIM(Transactions!H566))="resellable"),Transactions!E566,0)),0)</f>
        <v/>
      </c>
      <c r="G566">
        <f>IF(F566&gt;0,IF(B566="RECEIPT",Transactions!F566,IF(_xlfn.MAXIFS($H$2:H566,$A$2:A566,A566)&gt;0,INDEX(Transactions!$F:$F,_xlfn.MAXIFS($H$2:H566,$A$2:A566,A566)),W566)),0)</f>
        <v/>
      </c>
      <c r="H566">
        <f>IF(AND(E566=1,B566="RECEIPT"),ROW(),0)</f>
        <v/>
      </c>
      <c r="I566">
        <f>IF(E566=1,IF(OR(B566="SALE",B566="WRITEOFF"),Transactions!E566,0),0)</f>
        <v/>
      </c>
      <c r="J566">
        <f>SUMIFS($F$1:F565,$A$1:A565,A566)</f>
        <v/>
      </c>
      <c r="K566">
        <f>SUMIFS($I$1:I565,$A$1:A565,A566)</f>
        <v/>
      </c>
      <c r="L566">
        <f>IFERROR(VLOOKUP(A566,Opening!$A:$C,3,0),0)</f>
        <v/>
      </c>
      <c r="M566">
        <f>IF(I566=0,0,MAX(0,MIN(INDEX(Month!H$2:H$13,MATCH($A566,Month!$A$2:$A$13,0))-K566,I566)))</f>
        <v/>
      </c>
      <c r="N566">
        <f>IF(I566=0,0,MAX(0,MIN(INDEX(Month!I$2:I$13,MATCH($A566,Month!$A$2:$A$13,0))-K566,I566)))</f>
        <v/>
      </c>
      <c r="O566">
        <f>IF(I566=0,0,MAX(0,MIN(INDEX(Month!J$2:J$13,MATCH($A566,Month!$A$2:$A$13,0))-K566,I566)))</f>
        <v/>
      </c>
      <c r="P566">
        <f>IF(I566=0,0,(MIN(MAX(K566,0),L566)*W566+SUMPRODUCT((Calc!$A$2:$A$1001=A566)*Calc!$G$2:$G$1001*(((K566-(L566+Calc!$J$2:$J$1001))&gt;0)*((K566-(L566+Calc!$J$2:$J$1001))&lt;Calc!$F$2:$F$1001)*(K566-(L566+Calc!$J$2:$J$1001))+((K566-(L566+Calc!$J$2:$J$1001))&gt;=Calc!$F$2:$F$1001)*Calc!$F$2:$F$1001))))</f>
        <v/>
      </c>
      <c r="Q566">
        <f>IF(I566=0,0,(MIN(MAX((K566+M566),0),L566)*W566+SUMPRODUCT((Calc!$A$2:$A$1001=A566)*Calc!$G$2:$G$1001*((((K566+M566)-(L566+Calc!$J$2:$J$1001))&gt;0)*(((K566+M566)-(L566+Calc!$J$2:$J$1001))&lt;Calc!$F$2:$F$1001)*((K566+M566)-(L566+Calc!$J$2:$J$1001))+(((K566+M566)-(L566+Calc!$J$2:$J$1001))&gt;=Calc!$F$2:$F$1001)*Calc!$F$2:$F$1001))))</f>
        <v/>
      </c>
      <c r="R566">
        <f>IF(I566=0,0,(MIN(MAX((K566+N566),0),L566)*W566+SUMPRODUCT((Calc!$A$2:$A$1001=A566)*Calc!$G$2:$G$1001*((((K566+N566)-(L566+Calc!$J$2:$J$1001))&gt;0)*(((K566+N566)-(L566+Calc!$J$2:$J$1001))&lt;Calc!$F$2:$F$1001)*((K566+N566)-(L566+Calc!$J$2:$J$1001))+(((K566+N566)-(L566+Calc!$J$2:$J$1001))&gt;=Calc!$F$2:$F$1001)*Calc!$F$2:$F$1001))))</f>
        <v/>
      </c>
      <c r="S566">
        <f>IF(I566=0,0,(MIN(MAX((K566+O566),0),L566)*W566+SUMPRODUCT((Calc!$A$2:$A$1001=A566)*Calc!$G$2:$G$1001*((((K566+O566)-(L566+Calc!$J$2:$J$1001))&gt;0)*(((K566+O566)-(L566+Calc!$J$2:$J$1001))&lt;Calc!$F$2:$F$1001)*((K566+O566)-(L566+Calc!$J$2:$J$1001))+(((K566+O566)-(L566+Calc!$J$2:$J$1001))&gt;=Calc!$F$2:$F$1001)*Calc!$F$2:$F$1001))))</f>
        <v/>
      </c>
      <c r="T566">
        <f>IF(AND(E566=1,B566="RETURN"),Transactions!E566*Transactions!G566,0)</f>
        <v/>
      </c>
      <c r="U566">
        <f>IF(AND(E566=1,B566="EXPENSE"),Transactions!J566,0)</f>
        <v/>
      </c>
      <c r="V566">
        <f>IF(AND(Transactions!A566&lt;&gt;"",E566=0),ROW(),"")</f>
        <v/>
      </c>
      <c r="W566">
        <f>IFERROR(VLOOKUP(A566,Opening!$A:$D,4,0),0)</f>
        <v/>
      </c>
    </row>
    <row r="567">
      <c r="A567">
        <f>IF(Transactions!D567="","",UPPER(TRIM(Transactions!D567)))</f>
        <v/>
      </c>
      <c r="B567">
        <f>IF(Transactions!C567="","",UPPER(TRIM(Transactions!C567)))</f>
        <v/>
      </c>
      <c r="C567">
        <f>IF(Transactions!B567="",0,YEAR(Transactions!B567)*100+MONTH(Transactions!B567))</f>
        <v/>
      </c>
      <c r="D567">
        <f>IF(Transactions!A567="",1,IF(COUNTIF(Transactions!$A$1:A566,Transactions!A567)&gt;0,1,0))</f>
        <v/>
      </c>
      <c r="E567">
        <f>IF(D567=1,0,IF(B567="RETURN",IF(COUNTIFS($A$1:A566,A567,$B$1:B566,"SALE",$E$1:E566,1)&gt;0,1,0),1))</f>
        <v/>
      </c>
      <c r="F567">
        <f>IF(E567=1,IF(B567="RECEIPT",Transactions!E567,IF(AND(B567="RETURN",LOWER(TRIM(Transactions!H567))="resellable"),Transactions!E567,0)),0)</f>
        <v/>
      </c>
      <c r="G567">
        <f>IF(F567&gt;0,IF(B567="RECEIPT",Transactions!F567,IF(_xlfn.MAXIFS($H$2:H567,$A$2:A567,A567)&gt;0,INDEX(Transactions!$F:$F,_xlfn.MAXIFS($H$2:H567,$A$2:A567,A567)),W567)),0)</f>
        <v/>
      </c>
      <c r="H567">
        <f>IF(AND(E567=1,B567="RECEIPT"),ROW(),0)</f>
        <v/>
      </c>
      <c r="I567">
        <f>IF(E567=1,IF(OR(B567="SALE",B567="WRITEOFF"),Transactions!E567,0),0)</f>
        <v/>
      </c>
      <c r="J567">
        <f>SUMIFS($F$1:F566,$A$1:A566,A567)</f>
        <v/>
      </c>
      <c r="K567">
        <f>SUMIFS($I$1:I566,$A$1:A566,A567)</f>
        <v/>
      </c>
      <c r="L567">
        <f>IFERROR(VLOOKUP(A567,Opening!$A:$C,3,0),0)</f>
        <v/>
      </c>
      <c r="M567">
        <f>IF(I567=0,0,MAX(0,MIN(INDEX(Month!H$2:H$13,MATCH($A567,Month!$A$2:$A$13,0))-K567,I567)))</f>
        <v/>
      </c>
      <c r="N567">
        <f>IF(I567=0,0,MAX(0,MIN(INDEX(Month!I$2:I$13,MATCH($A567,Month!$A$2:$A$13,0))-K567,I567)))</f>
        <v/>
      </c>
      <c r="O567">
        <f>IF(I567=0,0,MAX(0,MIN(INDEX(Month!J$2:J$13,MATCH($A567,Month!$A$2:$A$13,0))-K567,I567)))</f>
        <v/>
      </c>
      <c r="P567">
        <f>IF(I567=0,0,(MIN(MAX(K567,0),L567)*W567+SUMPRODUCT((Calc!$A$2:$A$1001=A567)*Calc!$G$2:$G$1001*(((K567-(L567+Calc!$J$2:$J$1001))&gt;0)*((K567-(L567+Calc!$J$2:$J$1001))&lt;Calc!$F$2:$F$1001)*(K567-(L567+Calc!$J$2:$J$1001))+((K567-(L567+Calc!$J$2:$J$1001))&gt;=Calc!$F$2:$F$1001)*Calc!$F$2:$F$1001))))</f>
        <v/>
      </c>
      <c r="Q567">
        <f>IF(I567=0,0,(MIN(MAX((K567+M567),0),L567)*W567+SUMPRODUCT((Calc!$A$2:$A$1001=A567)*Calc!$G$2:$G$1001*((((K567+M567)-(L567+Calc!$J$2:$J$1001))&gt;0)*(((K567+M567)-(L567+Calc!$J$2:$J$1001))&lt;Calc!$F$2:$F$1001)*((K567+M567)-(L567+Calc!$J$2:$J$1001))+(((K567+M567)-(L567+Calc!$J$2:$J$1001))&gt;=Calc!$F$2:$F$1001)*Calc!$F$2:$F$1001))))</f>
        <v/>
      </c>
      <c r="R567">
        <f>IF(I567=0,0,(MIN(MAX((K567+N567),0),L567)*W567+SUMPRODUCT((Calc!$A$2:$A$1001=A567)*Calc!$G$2:$G$1001*((((K567+N567)-(L567+Calc!$J$2:$J$1001))&gt;0)*(((K567+N567)-(L567+Calc!$J$2:$J$1001))&lt;Calc!$F$2:$F$1001)*((K567+N567)-(L567+Calc!$J$2:$J$1001))+(((K567+N567)-(L567+Calc!$J$2:$J$1001))&gt;=Calc!$F$2:$F$1001)*Calc!$F$2:$F$1001))))</f>
        <v/>
      </c>
      <c r="S567">
        <f>IF(I567=0,0,(MIN(MAX((K567+O567),0),L567)*W567+SUMPRODUCT((Calc!$A$2:$A$1001=A567)*Calc!$G$2:$G$1001*((((K567+O567)-(L567+Calc!$J$2:$J$1001))&gt;0)*(((K567+O567)-(L567+Calc!$J$2:$J$1001))&lt;Calc!$F$2:$F$1001)*((K567+O567)-(L567+Calc!$J$2:$J$1001))+(((K567+O567)-(L567+Calc!$J$2:$J$1001))&gt;=Calc!$F$2:$F$1001)*Calc!$F$2:$F$1001))))</f>
        <v/>
      </c>
      <c r="T567">
        <f>IF(AND(E567=1,B567="RETURN"),Transactions!E567*Transactions!G567,0)</f>
        <v/>
      </c>
      <c r="U567">
        <f>IF(AND(E567=1,B567="EXPENSE"),Transactions!J567,0)</f>
        <v/>
      </c>
      <c r="V567">
        <f>IF(AND(Transactions!A567&lt;&gt;"",E567=0),ROW(),"")</f>
        <v/>
      </c>
      <c r="W567">
        <f>IFERROR(VLOOKUP(A567,Opening!$A:$D,4,0),0)</f>
        <v/>
      </c>
    </row>
    <row r="568">
      <c r="A568">
        <f>IF(Transactions!D568="","",UPPER(TRIM(Transactions!D568)))</f>
        <v/>
      </c>
      <c r="B568">
        <f>IF(Transactions!C568="","",UPPER(TRIM(Transactions!C568)))</f>
        <v/>
      </c>
      <c r="C568">
        <f>IF(Transactions!B568="",0,YEAR(Transactions!B568)*100+MONTH(Transactions!B568))</f>
        <v/>
      </c>
      <c r="D568">
        <f>IF(Transactions!A568="",1,IF(COUNTIF(Transactions!$A$1:A567,Transactions!A568)&gt;0,1,0))</f>
        <v/>
      </c>
      <c r="E568">
        <f>IF(D568=1,0,IF(B568="RETURN",IF(COUNTIFS($A$1:A567,A568,$B$1:B567,"SALE",$E$1:E567,1)&gt;0,1,0),1))</f>
        <v/>
      </c>
      <c r="F568">
        <f>IF(E568=1,IF(B568="RECEIPT",Transactions!E568,IF(AND(B568="RETURN",LOWER(TRIM(Transactions!H568))="resellable"),Transactions!E568,0)),0)</f>
        <v/>
      </c>
      <c r="G568">
        <f>IF(F568&gt;0,IF(B568="RECEIPT",Transactions!F568,IF(_xlfn.MAXIFS($H$2:H568,$A$2:A568,A568)&gt;0,INDEX(Transactions!$F:$F,_xlfn.MAXIFS($H$2:H568,$A$2:A568,A568)),W568)),0)</f>
        <v/>
      </c>
      <c r="H568">
        <f>IF(AND(E568=1,B568="RECEIPT"),ROW(),0)</f>
        <v/>
      </c>
      <c r="I568">
        <f>IF(E568=1,IF(OR(B568="SALE",B568="WRITEOFF"),Transactions!E568,0),0)</f>
        <v/>
      </c>
      <c r="J568">
        <f>SUMIFS($F$1:F567,$A$1:A567,A568)</f>
        <v/>
      </c>
      <c r="K568">
        <f>SUMIFS($I$1:I567,$A$1:A567,A568)</f>
        <v/>
      </c>
      <c r="L568">
        <f>IFERROR(VLOOKUP(A568,Opening!$A:$C,3,0),0)</f>
        <v/>
      </c>
      <c r="M568">
        <f>IF(I568=0,0,MAX(0,MIN(INDEX(Month!H$2:H$13,MATCH($A568,Month!$A$2:$A$13,0))-K568,I568)))</f>
        <v/>
      </c>
      <c r="N568">
        <f>IF(I568=0,0,MAX(0,MIN(INDEX(Month!I$2:I$13,MATCH($A568,Month!$A$2:$A$13,0))-K568,I568)))</f>
        <v/>
      </c>
      <c r="O568">
        <f>IF(I568=0,0,MAX(0,MIN(INDEX(Month!J$2:J$13,MATCH($A568,Month!$A$2:$A$13,0))-K568,I568)))</f>
        <v/>
      </c>
      <c r="P568">
        <f>IF(I568=0,0,(MIN(MAX(K568,0),L568)*W568+SUMPRODUCT((Calc!$A$2:$A$1001=A568)*Calc!$G$2:$G$1001*(((K568-(L568+Calc!$J$2:$J$1001))&gt;0)*((K568-(L568+Calc!$J$2:$J$1001))&lt;Calc!$F$2:$F$1001)*(K568-(L568+Calc!$J$2:$J$1001))+((K568-(L568+Calc!$J$2:$J$1001))&gt;=Calc!$F$2:$F$1001)*Calc!$F$2:$F$1001))))</f>
        <v/>
      </c>
      <c r="Q568">
        <f>IF(I568=0,0,(MIN(MAX((K568+M568),0),L568)*W568+SUMPRODUCT((Calc!$A$2:$A$1001=A568)*Calc!$G$2:$G$1001*((((K568+M568)-(L568+Calc!$J$2:$J$1001))&gt;0)*(((K568+M568)-(L568+Calc!$J$2:$J$1001))&lt;Calc!$F$2:$F$1001)*((K568+M568)-(L568+Calc!$J$2:$J$1001))+(((K568+M568)-(L568+Calc!$J$2:$J$1001))&gt;=Calc!$F$2:$F$1001)*Calc!$F$2:$F$1001))))</f>
        <v/>
      </c>
      <c r="R568">
        <f>IF(I568=0,0,(MIN(MAX((K568+N568),0),L568)*W568+SUMPRODUCT((Calc!$A$2:$A$1001=A568)*Calc!$G$2:$G$1001*((((K568+N568)-(L568+Calc!$J$2:$J$1001))&gt;0)*(((K568+N568)-(L568+Calc!$J$2:$J$1001))&lt;Calc!$F$2:$F$1001)*((K568+N568)-(L568+Calc!$J$2:$J$1001))+(((K568+N568)-(L568+Calc!$J$2:$J$1001))&gt;=Calc!$F$2:$F$1001)*Calc!$F$2:$F$1001))))</f>
        <v/>
      </c>
      <c r="S568">
        <f>IF(I568=0,0,(MIN(MAX((K568+O568),0),L568)*W568+SUMPRODUCT((Calc!$A$2:$A$1001=A568)*Calc!$G$2:$G$1001*((((K568+O568)-(L568+Calc!$J$2:$J$1001))&gt;0)*(((K568+O568)-(L568+Calc!$J$2:$J$1001))&lt;Calc!$F$2:$F$1001)*((K568+O568)-(L568+Calc!$J$2:$J$1001))+(((K568+O568)-(L568+Calc!$J$2:$J$1001))&gt;=Calc!$F$2:$F$1001)*Calc!$F$2:$F$1001))))</f>
        <v/>
      </c>
      <c r="T568">
        <f>IF(AND(E568=1,B568="RETURN"),Transactions!E568*Transactions!G568,0)</f>
        <v/>
      </c>
      <c r="U568">
        <f>IF(AND(E568=1,B568="EXPENSE"),Transactions!J568,0)</f>
        <v/>
      </c>
      <c r="V568">
        <f>IF(AND(Transactions!A568&lt;&gt;"",E568=0),ROW(),"")</f>
        <v/>
      </c>
      <c r="W568">
        <f>IFERROR(VLOOKUP(A568,Opening!$A:$D,4,0),0)</f>
        <v/>
      </c>
    </row>
    <row r="569">
      <c r="A569">
        <f>IF(Transactions!D569="","",UPPER(TRIM(Transactions!D569)))</f>
        <v/>
      </c>
      <c r="B569">
        <f>IF(Transactions!C569="","",UPPER(TRIM(Transactions!C569)))</f>
        <v/>
      </c>
      <c r="C569">
        <f>IF(Transactions!B569="",0,YEAR(Transactions!B569)*100+MONTH(Transactions!B569))</f>
        <v/>
      </c>
      <c r="D569">
        <f>IF(Transactions!A569="",1,IF(COUNTIF(Transactions!$A$1:A568,Transactions!A569)&gt;0,1,0))</f>
        <v/>
      </c>
      <c r="E569">
        <f>IF(D569=1,0,IF(B569="RETURN",IF(COUNTIFS($A$1:A568,A569,$B$1:B568,"SALE",$E$1:E568,1)&gt;0,1,0),1))</f>
        <v/>
      </c>
      <c r="F569">
        <f>IF(E569=1,IF(B569="RECEIPT",Transactions!E569,IF(AND(B569="RETURN",LOWER(TRIM(Transactions!H569))="resellable"),Transactions!E569,0)),0)</f>
        <v/>
      </c>
      <c r="G569">
        <f>IF(F569&gt;0,IF(B569="RECEIPT",Transactions!F569,IF(_xlfn.MAXIFS($H$2:H569,$A$2:A569,A569)&gt;0,INDEX(Transactions!$F:$F,_xlfn.MAXIFS($H$2:H569,$A$2:A569,A569)),W569)),0)</f>
        <v/>
      </c>
      <c r="H569">
        <f>IF(AND(E569=1,B569="RECEIPT"),ROW(),0)</f>
        <v/>
      </c>
      <c r="I569">
        <f>IF(E569=1,IF(OR(B569="SALE",B569="WRITEOFF"),Transactions!E569,0),0)</f>
        <v/>
      </c>
      <c r="J569">
        <f>SUMIFS($F$1:F568,$A$1:A568,A569)</f>
        <v/>
      </c>
      <c r="K569">
        <f>SUMIFS($I$1:I568,$A$1:A568,A569)</f>
        <v/>
      </c>
      <c r="L569">
        <f>IFERROR(VLOOKUP(A569,Opening!$A:$C,3,0),0)</f>
        <v/>
      </c>
      <c r="M569">
        <f>IF(I569=0,0,MAX(0,MIN(INDEX(Month!H$2:H$13,MATCH($A569,Month!$A$2:$A$13,0))-K569,I569)))</f>
        <v/>
      </c>
      <c r="N569">
        <f>IF(I569=0,0,MAX(0,MIN(INDEX(Month!I$2:I$13,MATCH($A569,Month!$A$2:$A$13,0))-K569,I569)))</f>
        <v/>
      </c>
      <c r="O569">
        <f>IF(I569=0,0,MAX(0,MIN(INDEX(Month!J$2:J$13,MATCH($A569,Month!$A$2:$A$13,0))-K569,I569)))</f>
        <v/>
      </c>
      <c r="P569">
        <f>IF(I569=0,0,(MIN(MAX(K569,0),L569)*W569+SUMPRODUCT((Calc!$A$2:$A$1001=A569)*Calc!$G$2:$G$1001*(((K569-(L569+Calc!$J$2:$J$1001))&gt;0)*((K569-(L569+Calc!$J$2:$J$1001))&lt;Calc!$F$2:$F$1001)*(K569-(L569+Calc!$J$2:$J$1001))+((K569-(L569+Calc!$J$2:$J$1001))&gt;=Calc!$F$2:$F$1001)*Calc!$F$2:$F$1001))))</f>
        <v/>
      </c>
      <c r="Q569">
        <f>IF(I569=0,0,(MIN(MAX((K569+M569),0),L569)*W569+SUMPRODUCT((Calc!$A$2:$A$1001=A569)*Calc!$G$2:$G$1001*((((K569+M569)-(L569+Calc!$J$2:$J$1001))&gt;0)*(((K569+M569)-(L569+Calc!$J$2:$J$1001))&lt;Calc!$F$2:$F$1001)*((K569+M569)-(L569+Calc!$J$2:$J$1001))+(((K569+M569)-(L569+Calc!$J$2:$J$1001))&gt;=Calc!$F$2:$F$1001)*Calc!$F$2:$F$1001))))</f>
        <v/>
      </c>
      <c r="R569">
        <f>IF(I569=0,0,(MIN(MAX((K569+N569),0),L569)*W569+SUMPRODUCT((Calc!$A$2:$A$1001=A569)*Calc!$G$2:$G$1001*((((K569+N569)-(L569+Calc!$J$2:$J$1001))&gt;0)*(((K569+N569)-(L569+Calc!$J$2:$J$1001))&lt;Calc!$F$2:$F$1001)*((K569+N569)-(L569+Calc!$J$2:$J$1001))+(((K569+N569)-(L569+Calc!$J$2:$J$1001))&gt;=Calc!$F$2:$F$1001)*Calc!$F$2:$F$1001))))</f>
        <v/>
      </c>
      <c r="S569">
        <f>IF(I569=0,0,(MIN(MAX((K569+O569),0),L569)*W569+SUMPRODUCT((Calc!$A$2:$A$1001=A569)*Calc!$G$2:$G$1001*((((K569+O569)-(L569+Calc!$J$2:$J$1001))&gt;0)*(((K569+O569)-(L569+Calc!$J$2:$J$1001))&lt;Calc!$F$2:$F$1001)*((K569+O569)-(L569+Calc!$J$2:$J$1001))+(((K569+O569)-(L569+Calc!$J$2:$J$1001))&gt;=Calc!$F$2:$F$1001)*Calc!$F$2:$F$1001))))</f>
        <v/>
      </c>
      <c r="T569">
        <f>IF(AND(E569=1,B569="RETURN"),Transactions!E569*Transactions!G569,0)</f>
        <v/>
      </c>
      <c r="U569">
        <f>IF(AND(E569=1,B569="EXPENSE"),Transactions!J569,0)</f>
        <v/>
      </c>
      <c r="V569">
        <f>IF(AND(Transactions!A569&lt;&gt;"",E569=0),ROW(),"")</f>
        <v/>
      </c>
      <c r="W569">
        <f>IFERROR(VLOOKUP(A569,Opening!$A:$D,4,0),0)</f>
        <v/>
      </c>
    </row>
    <row r="570">
      <c r="A570">
        <f>IF(Transactions!D570="","",UPPER(TRIM(Transactions!D570)))</f>
        <v/>
      </c>
      <c r="B570">
        <f>IF(Transactions!C570="","",UPPER(TRIM(Transactions!C570)))</f>
        <v/>
      </c>
      <c r="C570">
        <f>IF(Transactions!B570="",0,YEAR(Transactions!B570)*100+MONTH(Transactions!B570))</f>
        <v/>
      </c>
      <c r="D570">
        <f>IF(Transactions!A570="",1,IF(COUNTIF(Transactions!$A$1:A569,Transactions!A570)&gt;0,1,0))</f>
        <v/>
      </c>
      <c r="E570">
        <f>IF(D570=1,0,IF(B570="RETURN",IF(COUNTIFS($A$1:A569,A570,$B$1:B569,"SALE",$E$1:E569,1)&gt;0,1,0),1))</f>
        <v/>
      </c>
      <c r="F570">
        <f>IF(E570=1,IF(B570="RECEIPT",Transactions!E570,IF(AND(B570="RETURN",LOWER(TRIM(Transactions!H570))="resellable"),Transactions!E570,0)),0)</f>
        <v/>
      </c>
      <c r="G570">
        <f>IF(F570&gt;0,IF(B570="RECEIPT",Transactions!F570,IF(_xlfn.MAXIFS($H$2:H570,$A$2:A570,A570)&gt;0,INDEX(Transactions!$F:$F,_xlfn.MAXIFS($H$2:H570,$A$2:A570,A570)),W570)),0)</f>
        <v/>
      </c>
      <c r="H570">
        <f>IF(AND(E570=1,B570="RECEIPT"),ROW(),0)</f>
        <v/>
      </c>
      <c r="I570">
        <f>IF(E570=1,IF(OR(B570="SALE",B570="WRITEOFF"),Transactions!E570,0),0)</f>
        <v/>
      </c>
      <c r="J570">
        <f>SUMIFS($F$1:F569,$A$1:A569,A570)</f>
        <v/>
      </c>
      <c r="K570">
        <f>SUMIFS($I$1:I569,$A$1:A569,A570)</f>
        <v/>
      </c>
      <c r="L570">
        <f>IFERROR(VLOOKUP(A570,Opening!$A:$C,3,0),0)</f>
        <v/>
      </c>
      <c r="M570">
        <f>IF(I570=0,0,MAX(0,MIN(INDEX(Month!H$2:H$13,MATCH($A570,Month!$A$2:$A$13,0))-K570,I570)))</f>
        <v/>
      </c>
      <c r="N570">
        <f>IF(I570=0,0,MAX(0,MIN(INDEX(Month!I$2:I$13,MATCH($A570,Month!$A$2:$A$13,0))-K570,I570)))</f>
        <v/>
      </c>
      <c r="O570">
        <f>IF(I570=0,0,MAX(0,MIN(INDEX(Month!J$2:J$13,MATCH($A570,Month!$A$2:$A$13,0))-K570,I570)))</f>
        <v/>
      </c>
      <c r="P570">
        <f>IF(I570=0,0,(MIN(MAX(K570,0),L570)*W570+SUMPRODUCT((Calc!$A$2:$A$1001=A570)*Calc!$G$2:$G$1001*(((K570-(L570+Calc!$J$2:$J$1001))&gt;0)*((K570-(L570+Calc!$J$2:$J$1001))&lt;Calc!$F$2:$F$1001)*(K570-(L570+Calc!$J$2:$J$1001))+((K570-(L570+Calc!$J$2:$J$1001))&gt;=Calc!$F$2:$F$1001)*Calc!$F$2:$F$1001))))</f>
        <v/>
      </c>
      <c r="Q570">
        <f>IF(I570=0,0,(MIN(MAX((K570+M570),0),L570)*W570+SUMPRODUCT((Calc!$A$2:$A$1001=A570)*Calc!$G$2:$G$1001*((((K570+M570)-(L570+Calc!$J$2:$J$1001))&gt;0)*(((K570+M570)-(L570+Calc!$J$2:$J$1001))&lt;Calc!$F$2:$F$1001)*((K570+M570)-(L570+Calc!$J$2:$J$1001))+(((K570+M570)-(L570+Calc!$J$2:$J$1001))&gt;=Calc!$F$2:$F$1001)*Calc!$F$2:$F$1001))))</f>
        <v/>
      </c>
      <c r="R570">
        <f>IF(I570=0,0,(MIN(MAX((K570+N570),0),L570)*W570+SUMPRODUCT((Calc!$A$2:$A$1001=A570)*Calc!$G$2:$G$1001*((((K570+N570)-(L570+Calc!$J$2:$J$1001))&gt;0)*(((K570+N570)-(L570+Calc!$J$2:$J$1001))&lt;Calc!$F$2:$F$1001)*((K570+N570)-(L570+Calc!$J$2:$J$1001))+(((K570+N570)-(L570+Calc!$J$2:$J$1001))&gt;=Calc!$F$2:$F$1001)*Calc!$F$2:$F$1001))))</f>
        <v/>
      </c>
      <c r="S570">
        <f>IF(I570=0,0,(MIN(MAX((K570+O570),0),L570)*W570+SUMPRODUCT((Calc!$A$2:$A$1001=A570)*Calc!$G$2:$G$1001*((((K570+O570)-(L570+Calc!$J$2:$J$1001))&gt;0)*(((K570+O570)-(L570+Calc!$J$2:$J$1001))&lt;Calc!$F$2:$F$1001)*((K570+O570)-(L570+Calc!$J$2:$J$1001))+(((K570+O570)-(L570+Calc!$J$2:$J$1001))&gt;=Calc!$F$2:$F$1001)*Calc!$F$2:$F$1001))))</f>
        <v/>
      </c>
      <c r="T570">
        <f>IF(AND(E570=1,B570="RETURN"),Transactions!E570*Transactions!G570,0)</f>
        <v/>
      </c>
      <c r="U570">
        <f>IF(AND(E570=1,B570="EXPENSE"),Transactions!J570,0)</f>
        <v/>
      </c>
      <c r="V570">
        <f>IF(AND(Transactions!A570&lt;&gt;"",E570=0),ROW(),"")</f>
        <v/>
      </c>
      <c r="W570">
        <f>IFERROR(VLOOKUP(A570,Opening!$A:$D,4,0),0)</f>
        <v/>
      </c>
    </row>
    <row r="571">
      <c r="A571">
        <f>IF(Transactions!D571="","",UPPER(TRIM(Transactions!D571)))</f>
        <v/>
      </c>
      <c r="B571">
        <f>IF(Transactions!C571="","",UPPER(TRIM(Transactions!C571)))</f>
        <v/>
      </c>
      <c r="C571">
        <f>IF(Transactions!B571="",0,YEAR(Transactions!B571)*100+MONTH(Transactions!B571))</f>
        <v/>
      </c>
      <c r="D571">
        <f>IF(Transactions!A571="",1,IF(COUNTIF(Transactions!$A$1:A570,Transactions!A571)&gt;0,1,0))</f>
        <v/>
      </c>
      <c r="E571">
        <f>IF(D571=1,0,IF(B571="RETURN",IF(COUNTIFS($A$1:A570,A571,$B$1:B570,"SALE",$E$1:E570,1)&gt;0,1,0),1))</f>
        <v/>
      </c>
      <c r="F571">
        <f>IF(E571=1,IF(B571="RECEIPT",Transactions!E571,IF(AND(B571="RETURN",LOWER(TRIM(Transactions!H571))="resellable"),Transactions!E571,0)),0)</f>
        <v/>
      </c>
      <c r="G571">
        <f>IF(F571&gt;0,IF(B571="RECEIPT",Transactions!F571,IF(_xlfn.MAXIFS($H$2:H571,$A$2:A571,A571)&gt;0,INDEX(Transactions!$F:$F,_xlfn.MAXIFS($H$2:H571,$A$2:A571,A571)),W571)),0)</f>
        <v/>
      </c>
      <c r="H571">
        <f>IF(AND(E571=1,B571="RECEIPT"),ROW(),0)</f>
        <v/>
      </c>
      <c r="I571">
        <f>IF(E571=1,IF(OR(B571="SALE",B571="WRITEOFF"),Transactions!E571,0),0)</f>
        <v/>
      </c>
      <c r="J571">
        <f>SUMIFS($F$1:F570,$A$1:A570,A571)</f>
        <v/>
      </c>
      <c r="K571">
        <f>SUMIFS($I$1:I570,$A$1:A570,A571)</f>
        <v/>
      </c>
      <c r="L571">
        <f>IFERROR(VLOOKUP(A571,Opening!$A:$C,3,0),0)</f>
        <v/>
      </c>
      <c r="M571">
        <f>IF(I571=0,0,MAX(0,MIN(INDEX(Month!H$2:H$13,MATCH($A571,Month!$A$2:$A$13,0))-K571,I571)))</f>
        <v/>
      </c>
      <c r="N571">
        <f>IF(I571=0,0,MAX(0,MIN(INDEX(Month!I$2:I$13,MATCH($A571,Month!$A$2:$A$13,0))-K571,I571)))</f>
        <v/>
      </c>
      <c r="O571">
        <f>IF(I571=0,0,MAX(0,MIN(INDEX(Month!J$2:J$13,MATCH($A571,Month!$A$2:$A$13,0))-K571,I571)))</f>
        <v/>
      </c>
      <c r="P571">
        <f>IF(I571=0,0,(MIN(MAX(K571,0),L571)*W571+SUMPRODUCT((Calc!$A$2:$A$1001=A571)*Calc!$G$2:$G$1001*(((K571-(L571+Calc!$J$2:$J$1001))&gt;0)*((K571-(L571+Calc!$J$2:$J$1001))&lt;Calc!$F$2:$F$1001)*(K571-(L571+Calc!$J$2:$J$1001))+((K571-(L571+Calc!$J$2:$J$1001))&gt;=Calc!$F$2:$F$1001)*Calc!$F$2:$F$1001))))</f>
        <v/>
      </c>
      <c r="Q571">
        <f>IF(I571=0,0,(MIN(MAX((K571+M571),0),L571)*W571+SUMPRODUCT((Calc!$A$2:$A$1001=A571)*Calc!$G$2:$G$1001*((((K571+M571)-(L571+Calc!$J$2:$J$1001))&gt;0)*(((K571+M571)-(L571+Calc!$J$2:$J$1001))&lt;Calc!$F$2:$F$1001)*((K571+M571)-(L571+Calc!$J$2:$J$1001))+(((K571+M571)-(L571+Calc!$J$2:$J$1001))&gt;=Calc!$F$2:$F$1001)*Calc!$F$2:$F$1001))))</f>
        <v/>
      </c>
      <c r="R571">
        <f>IF(I571=0,0,(MIN(MAX((K571+N571),0),L571)*W571+SUMPRODUCT((Calc!$A$2:$A$1001=A571)*Calc!$G$2:$G$1001*((((K571+N571)-(L571+Calc!$J$2:$J$1001))&gt;0)*(((K571+N571)-(L571+Calc!$J$2:$J$1001))&lt;Calc!$F$2:$F$1001)*((K571+N571)-(L571+Calc!$J$2:$J$1001))+(((K571+N571)-(L571+Calc!$J$2:$J$1001))&gt;=Calc!$F$2:$F$1001)*Calc!$F$2:$F$1001))))</f>
        <v/>
      </c>
      <c r="S571">
        <f>IF(I571=0,0,(MIN(MAX((K571+O571),0),L571)*W571+SUMPRODUCT((Calc!$A$2:$A$1001=A571)*Calc!$G$2:$G$1001*((((K571+O571)-(L571+Calc!$J$2:$J$1001))&gt;0)*(((K571+O571)-(L571+Calc!$J$2:$J$1001))&lt;Calc!$F$2:$F$1001)*((K571+O571)-(L571+Calc!$J$2:$J$1001))+(((K571+O571)-(L571+Calc!$J$2:$J$1001))&gt;=Calc!$F$2:$F$1001)*Calc!$F$2:$F$1001))))</f>
        <v/>
      </c>
      <c r="T571">
        <f>IF(AND(E571=1,B571="RETURN"),Transactions!E571*Transactions!G571,0)</f>
        <v/>
      </c>
      <c r="U571">
        <f>IF(AND(E571=1,B571="EXPENSE"),Transactions!J571,0)</f>
        <v/>
      </c>
      <c r="V571">
        <f>IF(AND(Transactions!A571&lt;&gt;"",E571=0),ROW(),"")</f>
        <v/>
      </c>
      <c r="W571">
        <f>IFERROR(VLOOKUP(A571,Opening!$A:$D,4,0),0)</f>
        <v/>
      </c>
    </row>
    <row r="572">
      <c r="A572">
        <f>IF(Transactions!D572="","",UPPER(TRIM(Transactions!D572)))</f>
        <v/>
      </c>
      <c r="B572">
        <f>IF(Transactions!C572="","",UPPER(TRIM(Transactions!C572)))</f>
        <v/>
      </c>
      <c r="C572">
        <f>IF(Transactions!B572="",0,YEAR(Transactions!B572)*100+MONTH(Transactions!B572))</f>
        <v/>
      </c>
      <c r="D572">
        <f>IF(Transactions!A572="",1,IF(COUNTIF(Transactions!$A$1:A571,Transactions!A572)&gt;0,1,0))</f>
        <v/>
      </c>
      <c r="E572">
        <f>IF(D572=1,0,IF(B572="RETURN",IF(COUNTIFS($A$1:A571,A572,$B$1:B571,"SALE",$E$1:E571,1)&gt;0,1,0),1))</f>
        <v/>
      </c>
      <c r="F572">
        <f>IF(E572=1,IF(B572="RECEIPT",Transactions!E572,IF(AND(B572="RETURN",LOWER(TRIM(Transactions!H572))="resellable"),Transactions!E572,0)),0)</f>
        <v/>
      </c>
      <c r="G572">
        <f>IF(F572&gt;0,IF(B572="RECEIPT",Transactions!F572,IF(_xlfn.MAXIFS($H$2:H572,$A$2:A572,A572)&gt;0,INDEX(Transactions!$F:$F,_xlfn.MAXIFS($H$2:H572,$A$2:A572,A572)),W572)),0)</f>
        <v/>
      </c>
      <c r="H572">
        <f>IF(AND(E572=1,B572="RECEIPT"),ROW(),0)</f>
        <v/>
      </c>
      <c r="I572">
        <f>IF(E572=1,IF(OR(B572="SALE",B572="WRITEOFF"),Transactions!E572,0),0)</f>
        <v/>
      </c>
      <c r="J572">
        <f>SUMIFS($F$1:F571,$A$1:A571,A572)</f>
        <v/>
      </c>
      <c r="K572">
        <f>SUMIFS($I$1:I571,$A$1:A571,A572)</f>
        <v/>
      </c>
      <c r="L572">
        <f>IFERROR(VLOOKUP(A572,Opening!$A:$C,3,0),0)</f>
        <v/>
      </c>
      <c r="M572">
        <f>IF(I572=0,0,MAX(0,MIN(INDEX(Month!H$2:H$13,MATCH($A572,Month!$A$2:$A$13,0))-K572,I572)))</f>
        <v/>
      </c>
      <c r="N572">
        <f>IF(I572=0,0,MAX(0,MIN(INDEX(Month!I$2:I$13,MATCH($A572,Month!$A$2:$A$13,0))-K572,I572)))</f>
        <v/>
      </c>
      <c r="O572">
        <f>IF(I572=0,0,MAX(0,MIN(INDEX(Month!J$2:J$13,MATCH($A572,Month!$A$2:$A$13,0))-K572,I572)))</f>
        <v/>
      </c>
      <c r="P572">
        <f>IF(I572=0,0,(MIN(MAX(K572,0),L572)*W572+SUMPRODUCT((Calc!$A$2:$A$1001=A572)*Calc!$G$2:$G$1001*(((K572-(L572+Calc!$J$2:$J$1001))&gt;0)*((K572-(L572+Calc!$J$2:$J$1001))&lt;Calc!$F$2:$F$1001)*(K572-(L572+Calc!$J$2:$J$1001))+((K572-(L572+Calc!$J$2:$J$1001))&gt;=Calc!$F$2:$F$1001)*Calc!$F$2:$F$1001))))</f>
        <v/>
      </c>
      <c r="Q572">
        <f>IF(I572=0,0,(MIN(MAX((K572+M572),0),L572)*W572+SUMPRODUCT((Calc!$A$2:$A$1001=A572)*Calc!$G$2:$G$1001*((((K572+M572)-(L572+Calc!$J$2:$J$1001))&gt;0)*(((K572+M572)-(L572+Calc!$J$2:$J$1001))&lt;Calc!$F$2:$F$1001)*((K572+M572)-(L572+Calc!$J$2:$J$1001))+(((K572+M572)-(L572+Calc!$J$2:$J$1001))&gt;=Calc!$F$2:$F$1001)*Calc!$F$2:$F$1001))))</f>
        <v/>
      </c>
      <c r="R572">
        <f>IF(I572=0,0,(MIN(MAX((K572+N572),0),L572)*W572+SUMPRODUCT((Calc!$A$2:$A$1001=A572)*Calc!$G$2:$G$1001*((((K572+N572)-(L572+Calc!$J$2:$J$1001))&gt;0)*(((K572+N572)-(L572+Calc!$J$2:$J$1001))&lt;Calc!$F$2:$F$1001)*((K572+N572)-(L572+Calc!$J$2:$J$1001))+(((K572+N572)-(L572+Calc!$J$2:$J$1001))&gt;=Calc!$F$2:$F$1001)*Calc!$F$2:$F$1001))))</f>
        <v/>
      </c>
      <c r="S572">
        <f>IF(I572=0,0,(MIN(MAX((K572+O572),0),L572)*W572+SUMPRODUCT((Calc!$A$2:$A$1001=A572)*Calc!$G$2:$G$1001*((((K572+O572)-(L572+Calc!$J$2:$J$1001))&gt;0)*(((K572+O572)-(L572+Calc!$J$2:$J$1001))&lt;Calc!$F$2:$F$1001)*((K572+O572)-(L572+Calc!$J$2:$J$1001))+(((K572+O572)-(L572+Calc!$J$2:$J$1001))&gt;=Calc!$F$2:$F$1001)*Calc!$F$2:$F$1001))))</f>
        <v/>
      </c>
      <c r="T572">
        <f>IF(AND(E572=1,B572="RETURN"),Transactions!E572*Transactions!G572,0)</f>
        <v/>
      </c>
      <c r="U572">
        <f>IF(AND(E572=1,B572="EXPENSE"),Transactions!J572,0)</f>
        <v/>
      </c>
      <c r="V572">
        <f>IF(AND(Transactions!A572&lt;&gt;"",E572=0),ROW(),"")</f>
        <v/>
      </c>
      <c r="W572">
        <f>IFERROR(VLOOKUP(A572,Opening!$A:$D,4,0),0)</f>
        <v/>
      </c>
    </row>
    <row r="573">
      <c r="A573">
        <f>IF(Transactions!D573="","",UPPER(TRIM(Transactions!D573)))</f>
        <v/>
      </c>
      <c r="B573">
        <f>IF(Transactions!C573="","",UPPER(TRIM(Transactions!C573)))</f>
        <v/>
      </c>
      <c r="C573">
        <f>IF(Transactions!B573="",0,YEAR(Transactions!B573)*100+MONTH(Transactions!B573))</f>
        <v/>
      </c>
      <c r="D573">
        <f>IF(Transactions!A573="",1,IF(COUNTIF(Transactions!$A$1:A572,Transactions!A573)&gt;0,1,0))</f>
        <v/>
      </c>
      <c r="E573">
        <f>IF(D573=1,0,IF(B573="RETURN",IF(COUNTIFS($A$1:A572,A573,$B$1:B572,"SALE",$E$1:E572,1)&gt;0,1,0),1))</f>
        <v/>
      </c>
      <c r="F573">
        <f>IF(E573=1,IF(B573="RECEIPT",Transactions!E573,IF(AND(B573="RETURN",LOWER(TRIM(Transactions!H573))="resellable"),Transactions!E573,0)),0)</f>
        <v/>
      </c>
      <c r="G573">
        <f>IF(F573&gt;0,IF(B573="RECEIPT",Transactions!F573,IF(_xlfn.MAXIFS($H$2:H573,$A$2:A573,A573)&gt;0,INDEX(Transactions!$F:$F,_xlfn.MAXIFS($H$2:H573,$A$2:A573,A573)),W573)),0)</f>
        <v/>
      </c>
      <c r="H573">
        <f>IF(AND(E573=1,B573="RECEIPT"),ROW(),0)</f>
        <v/>
      </c>
      <c r="I573">
        <f>IF(E573=1,IF(OR(B573="SALE",B573="WRITEOFF"),Transactions!E573,0),0)</f>
        <v/>
      </c>
      <c r="J573">
        <f>SUMIFS($F$1:F572,$A$1:A572,A573)</f>
        <v/>
      </c>
      <c r="K573">
        <f>SUMIFS($I$1:I572,$A$1:A572,A573)</f>
        <v/>
      </c>
      <c r="L573">
        <f>IFERROR(VLOOKUP(A573,Opening!$A:$C,3,0),0)</f>
        <v/>
      </c>
      <c r="M573">
        <f>IF(I573=0,0,MAX(0,MIN(INDEX(Month!H$2:H$13,MATCH($A573,Month!$A$2:$A$13,0))-K573,I573)))</f>
        <v/>
      </c>
      <c r="N573">
        <f>IF(I573=0,0,MAX(0,MIN(INDEX(Month!I$2:I$13,MATCH($A573,Month!$A$2:$A$13,0))-K573,I573)))</f>
        <v/>
      </c>
      <c r="O573">
        <f>IF(I573=0,0,MAX(0,MIN(INDEX(Month!J$2:J$13,MATCH($A573,Month!$A$2:$A$13,0))-K573,I573)))</f>
        <v/>
      </c>
      <c r="P573">
        <f>IF(I573=0,0,(MIN(MAX(K573,0),L573)*W573+SUMPRODUCT((Calc!$A$2:$A$1001=A573)*Calc!$G$2:$G$1001*(((K573-(L573+Calc!$J$2:$J$1001))&gt;0)*((K573-(L573+Calc!$J$2:$J$1001))&lt;Calc!$F$2:$F$1001)*(K573-(L573+Calc!$J$2:$J$1001))+((K573-(L573+Calc!$J$2:$J$1001))&gt;=Calc!$F$2:$F$1001)*Calc!$F$2:$F$1001))))</f>
        <v/>
      </c>
      <c r="Q573">
        <f>IF(I573=0,0,(MIN(MAX((K573+M573),0),L573)*W573+SUMPRODUCT((Calc!$A$2:$A$1001=A573)*Calc!$G$2:$G$1001*((((K573+M573)-(L573+Calc!$J$2:$J$1001))&gt;0)*(((K573+M573)-(L573+Calc!$J$2:$J$1001))&lt;Calc!$F$2:$F$1001)*((K573+M573)-(L573+Calc!$J$2:$J$1001))+(((K573+M573)-(L573+Calc!$J$2:$J$1001))&gt;=Calc!$F$2:$F$1001)*Calc!$F$2:$F$1001))))</f>
        <v/>
      </c>
      <c r="R573">
        <f>IF(I573=0,0,(MIN(MAX((K573+N573),0),L573)*W573+SUMPRODUCT((Calc!$A$2:$A$1001=A573)*Calc!$G$2:$G$1001*((((K573+N573)-(L573+Calc!$J$2:$J$1001))&gt;0)*(((K573+N573)-(L573+Calc!$J$2:$J$1001))&lt;Calc!$F$2:$F$1001)*((K573+N573)-(L573+Calc!$J$2:$J$1001))+(((K573+N573)-(L573+Calc!$J$2:$J$1001))&gt;=Calc!$F$2:$F$1001)*Calc!$F$2:$F$1001))))</f>
        <v/>
      </c>
      <c r="S573">
        <f>IF(I573=0,0,(MIN(MAX((K573+O573),0),L573)*W573+SUMPRODUCT((Calc!$A$2:$A$1001=A573)*Calc!$G$2:$G$1001*((((K573+O573)-(L573+Calc!$J$2:$J$1001))&gt;0)*(((K573+O573)-(L573+Calc!$J$2:$J$1001))&lt;Calc!$F$2:$F$1001)*((K573+O573)-(L573+Calc!$J$2:$J$1001))+(((K573+O573)-(L573+Calc!$J$2:$J$1001))&gt;=Calc!$F$2:$F$1001)*Calc!$F$2:$F$1001))))</f>
        <v/>
      </c>
      <c r="T573">
        <f>IF(AND(E573=1,B573="RETURN"),Transactions!E573*Transactions!G573,0)</f>
        <v/>
      </c>
      <c r="U573">
        <f>IF(AND(E573=1,B573="EXPENSE"),Transactions!J573,0)</f>
        <v/>
      </c>
      <c r="V573">
        <f>IF(AND(Transactions!A573&lt;&gt;"",E573=0),ROW(),"")</f>
        <v/>
      </c>
      <c r="W573">
        <f>IFERROR(VLOOKUP(A573,Opening!$A:$D,4,0),0)</f>
        <v/>
      </c>
    </row>
    <row r="574">
      <c r="A574">
        <f>IF(Transactions!D574="","",UPPER(TRIM(Transactions!D574)))</f>
        <v/>
      </c>
      <c r="B574">
        <f>IF(Transactions!C574="","",UPPER(TRIM(Transactions!C574)))</f>
        <v/>
      </c>
      <c r="C574">
        <f>IF(Transactions!B574="",0,YEAR(Transactions!B574)*100+MONTH(Transactions!B574))</f>
        <v/>
      </c>
      <c r="D574">
        <f>IF(Transactions!A574="",1,IF(COUNTIF(Transactions!$A$1:A573,Transactions!A574)&gt;0,1,0))</f>
        <v/>
      </c>
      <c r="E574">
        <f>IF(D574=1,0,IF(B574="RETURN",IF(COUNTIFS($A$1:A573,A574,$B$1:B573,"SALE",$E$1:E573,1)&gt;0,1,0),1))</f>
        <v/>
      </c>
      <c r="F574">
        <f>IF(E574=1,IF(B574="RECEIPT",Transactions!E574,IF(AND(B574="RETURN",LOWER(TRIM(Transactions!H574))="resellable"),Transactions!E574,0)),0)</f>
        <v/>
      </c>
      <c r="G574">
        <f>IF(F574&gt;0,IF(B574="RECEIPT",Transactions!F574,IF(_xlfn.MAXIFS($H$2:H574,$A$2:A574,A574)&gt;0,INDEX(Transactions!$F:$F,_xlfn.MAXIFS($H$2:H574,$A$2:A574,A574)),W574)),0)</f>
        <v/>
      </c>
      <c r="H574">
        <f>IF(AND(E574=1,B574="RECEIPT"),ROW(),0)</f>
        <v/>
      </c>
      <c r="I574">
        <f>IF(E574=1,IF(OR(B574="SALE",B574="WRITEOFF"),Transactions!E574,0),0)</f>
        <v/>
      </c>
      <c r="J574">
        <f>SUMIFS($F$1:F573,$A$1:A573,A574)</f>
        <v/>
      </c>
      <c r="K574">
        <f>SUMIFS($I$1:I573,$A$1:A573,A574)</f>
        <v/>
      </c>
      <c r="L574">
        <f>IFERROR(VLOOKUP(A574,Opening!$A:$C,3,0),0)</f>
        <v/>
      </c>
      <c r="M574">
        <f>IF(I574=0,0,MAX(0,MIN(INDEX(Month!H$2:H$13,MATCH($A574,Month!$A$2:$A$13,0))-K574,I574)))</f>
        <v/>
      </c>
      <c r="N574">
        <f>IF(I574=0,0,MAX(0,MIN(INDEX(Month!I$2:I$13,MATCH($A574,Month!$A$2:$A$13,0))-K574,I574)))</f>
        <v/>
      </c>
      <c r="O574">
        <f>IF(I574=0,0,MAX(0,MIN(INDEX(Month!J$2:J$13,MATCH($A574,Month!$A$2:$A$13,0))-K574,I574)))</f>
        <v/>
      </c>
      <c r="P574">
        <f>IF(I574=0,0,(MIN(MAX(K574,0),L574)*W574+SUMPRODUCT((Calc!$A$2:$A$1001=A574)*Calc!$G$2:$G$1001*(((K574-(L574+Calc!$J$2:$J$1001))&gt;0)*((K574-(L574+Calc!$J$2:$J$1001))&lt;Calc!$F$2:$F$1001)*(K574-(L574+Calc!$J$2:$J$1001))+((K574-(L574+Calc!$J$2:$J$1001))&gt;=Calc!$F$2:$F$1001)*Calc!$F$2:$F$1001))))</f>
        <v/>
      </c>
      <c r="Q574">
        <f>IF(I574=0,0,(MIN(MAX((K574+M574),0),L574)*W574+SUMPRODUCT((Calc!$A$2:$A$1001=A574)*Calc!$G$2:$G$1001*((((K574+M574)-(L574+Calc!$J$2:$J$1001))&gt;0)*(((K574+M574)-(L574+Calc!$J$2:$J$1001))&lt;Calc!$F$2:$F$1001)*((K574+M574)-(L574+Calc!$J$2:$J$1001))+(((K574+M574)-(L574+Calc!$J$2:$J$1001))&gt;=Calc!$F$2:$F$1001)*Calc!$F$2:$F$1001))))</f>
        <v/>
      </c>
      <c r="R574">
        <f>IF(I574=0,0,(MIN(MAX((K574+N574),0),L574)*W574+SUMPRODUCT((Calc!$A$2:$A$1001=A574)*Calc!$G$2:$G$1001*((((K574+N574)-(L574+Calc!$J$2:$J$1001))&gt;0)*(((K574+N574)-(L574+Calc!$J$2:$J$1001))&lt;Calc!$F$2:$F$1001)*((K574+N574)-(L574+Calc!$J$2:$J$1001))+(((K574+N574)-(L574+Calc!$J$2:$J$1001))&gt;=Calc!$F$2:$F$1001)*Calc!$F$2:$F$1001))))</f>
        <v/>
      </c>
      <c r="S574">
        <f>IF(I574=0,0,(MIN(MAX((K574+O574),0),L574)*W574+SUMPRODUCT((Calc!$A$2:$A$1001=A574)*Calc!$G$2:$G$1001*((((K574+O574)-(L574+Calc!$J$2:$J$1001))&gt;0)*(((K574+O574)-(L574+Calc!$J$2:$J$1001))&lt;Calc!$F$2:$F$1001)*((K574+O574)-(L574+Calc!$J$2:$J$1001))+(((K574+O574)-(L574+Calc!$J$2:$J$1001))&gt;=Calc!$F$2:$F$1001)*Calc!$F$2:$F$1001))))</f>
        <v/>
      </c>
      <c r="T574">
        <f>IF(AND(E574=1,B574="RETURN"),Transactions!E574*Transactions!G574,0)</f>
        <v/>
      </c>
      <c r="U574">
        <f>IF(AND(E574=1,B574="EXPENSE"),Transactions!J574,0)</f>
        <v/>
      </c>
      <c r="V574">
        <f>IF(AND(Transactions!A574&lt;&gt;"",E574=0),ROW(),"")</f>
        <v/>
      </c>
      <c r="W574">
        <f>IFERROR(VLOOKUP(A574,Opening!$A:$D,4,0),0)</f>
        <v/>
      </c>
    </row>
    <row r="575">
      <c r="A575">
        <f>IF(Transactions!D575="","",UPPER(TRIM(Transactions!D575)))</f>
        <v/>
      </c>
      <c r="B575">
        <f>IF(Transactions!C575="","",UPPER(TRIM(Transactions!C575)))</f>
        <v/>
      </c>
      <c r="C575">
        <f>IF(Transactions!B575="",0,YEAR(Transactions!B575)*100+MONTH(Transactions!B575))</f>
        <v/>
      </c>
      <c r="D575">
        <f>IF(Transactions!A575="",1,IF(COUNTIF(Transactions!$A$1:A574,Transactions!A575)&gt;0,1,0))</f>
        <v/>
      </c>
      <c r="E575">
        <f>IF(D575=1,0,IF(B575="RETURN",IF(COUNTIFS($A$1:A574,A575,$B$1:B574,"SALE",$E$1:E574,1)&gt;0,1,0),1))</f>
        <v/>
      </c>
      <c r="F575">
        <f>IF(E575=1,IF(B575="RECEIPT",Transactions!E575,IF(AND(B575="RETURN",LOWER(TRIM(Transactions!H575))="resellable"),Transactions!E575,0)),0)</f>
        <v/>
      </c>
      <c r="G575">
        <f>IF(F575&gt;0,IF(B575="RECEIPT",Transactions!F575,IF(_xlfn.MAXIFS($H$2:H575,$A$2:A575,A575)&gt;0,INDEX(Transactions!$F:$F,_xlfn.MAXIFS($H$2:H575,$A$2:A575,A575)),W575)),0)</f>
        <v/>
      </c>
      <c r="H575">
        <f>IF(AND(E575=1,B575="RECEIPT"),ROW(),0)</f>
        <v/>
      </c>
      <c r="I575">
        <f>IF(E575=1,IF(OR(B575="SALE",B575="WRITEOFF"),Transactions!E575,0),0)</f>
        <v/>
      </c>
      <c r="J575">
        <f>SUMIFS($F$1:F574,$A$1:A574,A575)</f>
        <v/>
      </c>
      <c r="K575">
        <f>SUMIFS($I$1:I574,$A$1:A574,A575)</f>
        <v/>
      </c>
      <c r="L575">
        <f>IFERROR(VLOOKUP(A575,Opening!$A:$C,3,0),0)</f>
        <v/>
      </c>
      <c r="M575">
        <f>IF(I575=0,0,MAX(0,MIN(INDEX(Month!H$2:H$13,MATCH($A575,Month!$A$2:$A$13,0))-K575,I575)))</f>
        <v/>
      </c>
      <c r="N575">
        <f>IF(I575=0,0,MAX(0,MIN(INDEX(Month!I$2:I$13,MATCH($A575,Month!$A$2:$A$13,0))-K575,I575)))</f>
        <v/>
      </c>
      <c r="O575">
        <f>IF(I575=0,0,MAX(0,MIN(INDEX(Month!J$2:J$13,MATCH($A575,Month!$A$2:$A$13,0))-K575,I575)))</f>
        <v/>
      </c>
      <c r="P575">
        <f>IF(I575=0,0,(MIN(MAX(K575,0),L575)*W575+SUMPRODUCT((Calc!$A$2:$A$1001=A575)*Calc!$G$2:$G$1001*(((K575-(L575+Calc!$J$2:$J$1001))&gt;0)*((K575-(L575+Calc!$J$2:$J$1001))&lt;Calc!$F$2:$F$1001)*(K575-(L575+Calc!$J$2:$J$1001))+((K575-(L575+Calc!$J$2:$J$1001))&gt;=Calc!$F$2:$F$1001)*Calc!$F$2:$F$1001))))</f>
        <v/>
      </c>
      <c r="Q575">
        <f>IF(I575=0,0,(MIN(MAX((K575+M575),0),L575)*W575+SUMPRODUCT((Calc!$A$2:$A$1001=A575)*Calc!$G$2:$G$1001*((((K575+M575)-(L575+Calc!$J$2:$J$1001))&gt;0)*(((K575+M575)-(L575+Calc!$J$2:$J$1001))&lt;Calc!$F$2:$F$1001)*((K575+M575)-(L575+Calc!$J$2:$J$1001))+(((K575+M575)-(L575+Calc!$J$2:$J$1001))&gt;=Calc!$F$2:$F$1001)*Calc!$F$2:$F$1001))))</f>
        <v/>
      </c>
      <c r="R575">
        <f>IF(I575=0,0,(MIN(MAX((K575+N575),0),L575)*W575+SUMPRODUCT((Calc!$A$2:$A$1001=A575)*Calc!$G$2:$G$1001*((((K575+N575)-(L575+Calc!$J$2:$J$1001))&gt;0)*(((K575+N575)-(L575+Calc!$J$2:$J$1001))&lt;Calc!$F$2:$F$1001)*((K575+N575)-(L575+Calc!$J$2:$J$1001))+(((K575+N575)-(L575+Calc!$J$2:$J$1001))&gt;=Calc!$F$2:$F$1001)*Calc!$F$2:$F$1001))))</f>
        <v/>
      </c>
      <c r="S575">
        <f>IF(I575=0,0,(MIN(MAX((K575+O575),0),L575)*W575+SUMPRODUCT((Calc!$A$2:$A$1001=A575)*Calc!$G$2:$G$1001*((((K575+O575)-(L575+Calc!$J$2:$J$1001))&gt;0)*(((K575+O575)-(L575+Calc!$J$2:$J$1001))&lt;Calc!$F$2:$F$1001)*((K575+O575)-(L575+Calc!$J$2:$J$1001))+(((K575+O575)-(L575+Calc!$J$2:$J$1001))&gt;=Calc!$F$2:$F$1001)*Calc!$F$2:$F$1001))))</f>
        <v/>
      </c>
      <c r="T575">
        <f>IF(AND(E575=1,B575="RETURN"),Transactions!E575*Transactions!G575,0)</f>
        <v/>
      </c>
      <c r="U575">
        <f>IF(AND(E575=1,B575="EXPENSE"),Transactions!J575,0)</f>
        <v/>
      </c>
      <c r="V575">
        <f>IF(AND(Transactions!A575&lt;&gt;"",E575=0),ROW(),"")</f>
        <v/>
      </c>
      <c r="W575">
        <f>IFERROR(VLOOKUP(A575,Opening!$A:$D,4,0),0)</f>
        <v/>
      </c>
    </row>
    <row r="576">
      <c r="A576">
        <f>IF(Transactions!D576="","",UPPER(TRIM(Transactions!D576)))</f>
        <v/>
      </c>
      <c r="B576">
        <f>IF(Transactions!C576="","",UPPER(TRIM(Transactions!C576)))</f>
        <v/>
      </c>
      <c r="C576">
        <f>IF(Transactions!B576="",0,YEAR(Transactions!B576)*100+MONTH(Transactions!B576))</f>
        <v/>
      </c>
      <c r="D576">
        <f>IF(Transactions!A576="",1,IF(COUNTIF(Transactions!$A$1:A575,Transactions!A576)&gt;0,1,0))</f>
        <v/>
      </c>
      <c r="E576">
        <f>IF(D576=1,0,IF(B576="RETURN",IF(COUNTIFS($A$1:A575,A576,$B$1:B575,"SALE",$E$1:E575,1)&gt;0,1,0),1))</f>
        <v/>
      </c>
      <c r="F576">
        <f>IF(E576=1,IF(B576="RECEIPT",Transactions!E576,IF(AND(B576="RETURN",LOWER(TRIM(Transactions!H576))="resellable"),Transactions!E576,0)),0)</f>
        <v/>
      </c>
      <c r="G576">
        <f>IF(F576&gt;0,IF(B576="RECEIPT",Transactions!F576,IF(_xlfn.MAXIFS($H$2:H576,$A$2:A576,A576)&gt;0,INDEX(Transactions!$F:$F,_xlfn.MAXIFS($H$2:H576,$A$2:A576,A576)),W576)),0)</f>
        <v/>
      </c>
      <c r="H576">
        <f>IF(AND(E576=1,B576="RECEIPT"),ROW(),0)</f>
        <v/>
      </c>
      <c r="I576">
        <f>IF(E576=1,IF(OR(B576="SALE",B576="WRITEOFF"),Transactions!E576,0),0)</f>
        <v/>
      </c>
      <c r="J576">
        <f>SUMIFS($F$1:F575,$A$1:A575,A576)</f>
        <v/>
      </c>
      <c r="K576">
        <f>SUMIFS($I$1:I575,$A$1:A575,A576)</f>
        <v/>
      </c>
      <c r="L576">
        <f>IFERROR(VLOOKUP(A576,Opening!$A:$C,3,0),0)</f>
        <v/>
      </c>
      <c r="M576">
        <f>IF(I576=0,0,MAX(0,MIN(INDEX(Month!H$2:H$13,MATCH($A576,Month!$A$2:$A$13,0))-K576,I576)))</f>
        <v/>
      </c>
      <c r="N576">
        <f>IF(I576=0,0,MAX(0,MIN(INDEX(Month!I$2:I$13,MATCH($A576,Month!$A$2:$A$13,0))-K576,I576)))</f>
        <v/>
      </c>
      <c r="O576">
        <f>IF(I576=0,0,MAX(0,MIN(INDEX(Month!J$2:J$13,MATCH($A576,Month!$A$2:$A$13,0))-K576,I576)))</f>
        <v/>
      </c>
      <c r="P576">
        <f>IF(I576=0,0,(MIN(MAX(K576,0),L576)*W576+SUMPRODUCT((Calc!$A$2:$A$1001=A576)*Calc!$G$2:$G$1001*(((K576-(L576+Calc!$J$2:$J$1001))&gt;0)*((K576-(L576+Calc!$J$2:$J$1001))&lt;Calc!$F$2:$F$1001)*(K576-(L576+Calc!$J$2:$J$1001))+((K576-(L576+Calc!$J$2:$J$1001))&gt;=Calc!$F$2:$F$1001)*Calc!$F$2:$F$1001))))</f>
        <v/>
      </c>
      <c r="Q576">
        <f>IF(I576=0,0,(MIN(MAX((K576+M576),0),L576)*W576+SUMPRODUCT((Calc!$A$2:$A$1001=A576)*Calc!$G$2:$G$1001*((((K576+M576)-(L576+Calc!$J$2:$J$1001))&gt;0)*(((K576+M576)-(L576+Calc!$J$2:$J$1001))&lt;Calc!$F$2:$F$1001)*((K576+M576)-(L576+Calc!$J$2:$J$1001))+(((K576+M576)-(L576+Calc!$J$2:$J$1001))&gt;=Calc!$F$2:$F$1001)*Calc!$F$2:$F$1001))))</f>
        <v/>
      </c>
      <c r="R576">
        <f>IF(I576=0,0,(MIN(MAX((K576+N576),0),L576)*W576+SUMPRODUCT((Calc!$A$2:$A$1001=A576)*Calc!$G$2:$G$1001*((((K576+N576)-(L576+Calc!$J$2:$J$1001))&gt;0)*(((K576+N576)-(L576+Calc!$J$2:$J$1001))&lt;Calc!$F$2:$F$1001)*((K576+N576)-(L576+Calc!$J$2:$J$1001))+(((K576+N576)-(L576+Calc!$J$2:$J$1001))&gt;=Calc!$F$2:$F$1001)*Calc!$F$2:$F$1001))))</f>
        <v/>
      </c>
      <c r="S576">
        <f>IF(I576=0,0,(MIN(MAX((K576+O576),0),L576)*W576+SUMPRODUCT((Calc!$A$2:$A$1001=A576)*Calc!$G$2:$G$1001*((((K576+O576)-(L576+Calc!$J$2:$J$1001))&gt;0)*(((K576+O576)-(L576+Calc!$J$2:$J$1001))&lt;Calc!$F$2:$F$1001)*((K576+O576)-(L576+Calc!$J$2:$J$1001))+(((K576+O576)-(L576+Calc!$J$2:$J$1001))&gt;=Calc!$F$2:$F$1001)*Calc!$F$2:$F$1001))))</f>
        <v/>
      </c>
      <c r="T576">
        <f>IF(AND(E576=1,B576="RETURN"),Transactions!E576*Transactions!G576,0)</f>
        <v/>
      </c>
      <c r="U576">
        <f>IF(AND(E576=1,B576="EXPENSE"),Transactions!J576,0)</f>
        <v/>
      </c>
      <c r="V576">
        <f>IF(AND(Transactions!A576&lt;&gt;"",E576=0),ROW(),"")</f>
        <v/>
      </c>
      <c r="W576">
        <f>IFERROR(VLOOKUP(A576,Opening!$A:$D,4,0),0)</f>
        <v/>
      </c>
    </row>
    <row r="577">
      <c r="A577">
        <f>IF(Transactions!D577="","",UPPER(TRIM(Transactions!D577)))</f>
        <v/>
      </c>
      <c r="B577">
        <f>IF(Transactions!C577="","",UPPER(TRIM(Transactions!C577)))</f>
        <v/>
      </c>
      <c r="C577">
        <f>IF(Transactions!B577="",0,YEAR(Transactions!B577)*100+MONTH(Transactions!B577))</f>
        <v/>
      </c>
      <c r="D577">
        <f>IF(Transactions!A577="",1,IF(COUNTIF(Transactions!$A$1:A576,Transactions!A577)&gt;0,1,0))</f>
        <v/>
      </c>
      <c r="E577">
        <f>IF(D577=1,0,IF(B577="RETURN",IF(COUNTIFS($A$1:A576,A577,$B$1:B576,"SALE",$E$1:E576,1)&gt;0,1,0),1))</f>
        <v/>
      </c>
      <c r="F577">
        <f>IF(E577=1,IF(B577="RECEIPT",Transactions!E577,IF(AND(B577="RETURN",LOWER(TRIM(Transactions!H577))="resellable"),Transactions!E577,0)),0)</f>
        <v/>
      </c>
      <c r="G577">
        <f>IF(F577&gt;0,IF(B577="RECEIPT",Transactions!F577,IF(_xlfn.MAXIFS($H$2:H577,$A$2:A577,A577)&gt;0,INDEX(Transactions!$F:$F,_xlfn.MAXIFS($H$2:H577,$A$2:A577,A577)),W577)),0)</f>
        <v/>
      </c>
      <c r="H577">
        <f>IF(AND(E577=1,B577="RECEIPT"),ROW(),0)</f>
        <v/>
      </c>
      <c r="I577">
        <f>IF(E577=1,IF(OR(B577="SALE",B577="WRITEOFF"),Transactions!E577,0),0)</f>
        <v/>
      </c>
      <c r="J577">
        <f>SUMIFS($F$1:F576,$A$1:A576,A577)</f>
        <v/>
      </c>
      <c r="K577">
        <f>SUMIFS($I$1:I576,$A$1:A576,A577)</f>
        <v/>
      </c>
      <c r="L577">
        <f>IFERROR(VLOOKUP(A577,Opening!$A:$C,3,0),0)</f>
        <v/>
      </c>
      <c r="M577">
        <f>IF(I577=0,0,MAX(0,MIN(INDEX(Month!H$2:H$13,MATCH($A577,Month!$A$2:$A$13,0))-K577,I577)))</f>
        <v/>
      </c>
      <c r="N577">
        <f>IF(I577=0,0,MAX(0,MIN(INDEX(Month!I$2:I$13,MATCH($A577,Month!$A$2:$A$13,0))-K577,I577)))</f>
        <v/>
      </c>
      <c r="O577">
        <f>IF(I577=0,0,MAX(0,MIN(INDEX(Month!J$2:J$13,MATCH($A577,Month!$A$2:$A$13,0))-K577,I577)))</f>
        <v/>
      </c>
      <c r="P577">
        <f>IF(I577=0,0,(MIN(MAX(K577,0),L577)*W577+SUMPRODUCT((Calc!$A$2:$A$1001=A577)*Calc!$G$2:$G$1001*(((K577-(L577+Calc!$J$2:$J$1001))&gt;0)*((K577-(L577+Calc!$J$2:$J$1001))&lt;Calc!$F$2:$F$1001)*(K577-(L577+Calc!$J$2:$J$1001))+((K577-(L577+Calc!$J$2:$J$1001))&gt;=Calc!$F$2:$F$1001)*Calc!$F$2:$F$1001))))</f>
        <v/>
      </c>
      <c r="Q577">
        <f>IF(I577=0,0,(MIN(MAX((K577+M577),0),L577)*W577+SUMPRODUCT((Calc!$A$2:$A$1001=A577)*Calc!$G$2:$G$1001*((((K577+M577)-(L577+Calc!$J$2:$J$1001))&gt;0)*(((K577+M577)-(L577+Calc!$J$2:$J$1001))&lt;Calc!$F$2:$F$1001)*((K577+M577)-(L577+Calc!$J$2:$J$1001))+(((K577+M577)-(L577+Calc!$J$2:$J$1001))&gt;=Calc!$F$2:$F$1001)*Calc!$F$2:$F$1001))))</f>
        <v/>
      </c>
      <c r="R577">
        <f>IF(I577=0,0,(MIN(MAX((K577+N577),0),L577)*W577+SUMPRODUCT((Calc!$A$2:$A$1001=A577)*Calc!$G$2:$G$1001*((((K577+N577)-(L577+Calc!$J$2:$J$1001))&gt;0)*(((K577+N577)-(L577+Calc!$J$2:$J$1001))&lt;Calc!$F$2:$F$1001)*((K577+N577)-(L577+Calc!$J$2:$J$1001))+(((K577+N577)-(L577+Calc!$J$2:$J$1001))&gt;=Calc!$F$2:$F$1001)*Calc!$F$2:$F$1001))))</f>
        <v/>
      </c>
      <c r="S577">
        <f>IF(I577=0,0,(MIN(MAX((K577+O577),0),L577)*W577+SUMPRODUCT((Calc!$A$2:$A$1001=A577)*Calc!$G$2:$G$1001*((((K577+O577)-(L577+Calc!$J$2:$J$1001))&gt;0)*(((K577+O577)-(L577+Calc!$J$2:$J$1001))&lt;Calc!$F$2:$F$1001)*((K577+O577)-(L577+Calc!$J$2:$J$1001))+(((K577+O577)-(L577+Calc!$J$2:$J$1001))&gt;=Calc!$F$2:$F$1001)*Calc!$F$2:$F$1001))))</f>
        <v/>
      </c>
      <c r="T577">
        <f>IF(AND(E577=1,B577="RETURN"),Transactions!E577*Transactions!G577,0)</f>
        <v/>
      </c>
      <c r="U577">
        <f>IF(AND(E577=1,B577="EXPENSE"),Transactions!J577,0)</f>
        <v/>
      </c>
      <c r="V577">
        <f>IF(AND(Transactions!A577&lt;&gt;"",E577=0),ROW(),"")</f>
        <v/>
      </c>
      <c r="W577">
        <f>IFERROR(VLOOKUP(A577,Opening!$A:$D,4,0),0)</f>
        <v/>
      </c>
    </row>
    <row r="578">
      <c r="A578">
        <f>IF(Transactions!D578="","",UPPER(TRIM(Transactions!D578)))</f>
        <v/>
      </c>
      <c r="B578">
        <f>IF(Transactions!C578="","",UPPER(TRIM(Transactions!C578)))</f>
        <v/>
      </c>
      <c r="C578">
        <f>IF(Transactions!B578="",0,YEAR(Transactions!B578)*100+MONTH(Transactions!B578))</f>
        <v/>
      </c>
      <c r="D578">
        <f>IF(Transactions!A578="",1,IF(COUNTIF(Transactions!$A$1:A577,Transactions!A578)&gt;0,1,0))</f>
        <v/>
      </c>
      <c r="E578">
        <f>IF(D578=1,0,IF(B578="RETURN",IF(COUNTIFS($A$1:A577,A578,$B$1:B577,"SALE",$E$1:E577,1)&gt;0,1,0),1))</f>
        <v/>
      </c>
      <c r="F578">
        <f>IF(E578=1,IF(B578="RECEIPT",Transactions!E578,IF(AND(B578="RETURN",LOWER(TRIM(Transactions!H578))="resellable"),Transactions!E578,0)),0)</f>
        <v/>
      </c>
      <c r="G578">
        <f>IF(F578&gt;0,IF(B578="RECEIPT",Transactions!F578,IF(_xlfn.MAXIFS($H$2:H578,$A$2:A578,A578)&gt;0,INDEX(Transactions!$F:$F,_xlfn.MAXIFS($H$2:H578,$A$2:A578,A578)),W578)),0)</f>
        <v/>
      </c>
      <c r="H578">
        <f>IF(AND(E578=1,B578="RECEIPT"),ROW(),0)</f>
        <v/>
      </c>
      <c r="I578">
        <f>IF(E578=1,IF(OR(B578="SALE",B578="WRITEOFF"),Transactions!E578,0),0)</f>
        <v/>
      </c>
      <c r="J578">
        <f>SUMIFS($F$1:F577,$A$1:A577,A578)</f>
        <v/>
      </c>
      <c r="K578">
        <f>SUMIFS($I$1:I577,$A$1:A577,A578)</f>
        <v/>
      </c>
      <c r="L578">
        <f>IFERROR(VLOOKUP(A578,Opening!$A:$C,3,0),0)</f>
        <v/>
      </c>
      <c r="M578">
        <f>IF(I578=0,0,MAX(0,MIN(INDEX(Month!H$2:H$13,MATCH($A578,Month!$A$2:$A$13,0))-K578,I578)))</f>
        <v/>
      </c>
      <c r="N578">
        <f>IF(I578=0,0,MAX(0,MIN(INDEX(Month!I$2:I$13,MATCH($A578,Month!$A$2:$A$13,0))-K578,I578)))</f>
        <v/>
      </c>
      <c r="O578">
        <f>IF(I578=0,0,MAX(0,MIN(INDEX(Month!J$2:J$13,MATCH($A578,Month!$A$2:$A$13,0))-K578,I578)))</f>
        <v/>
      </c>
      <c r="P578">
        <f>IF(I578=0,0,(MIN(MAX(K578,0),L578)*W578+SUMPRODUCT((Calc!$A$2:$A$1001=A578)*Calc!$G$2:$G$1001*(((K578-(L578+Calc!$J$2:$J$1001))&gt;0)*((K578-(L578+Calc!$J$2:$J$1001))&lt;Calc!$F$2:$F$1001)*(K578-(L578+Calc!$J$2:$J$1001))+((K578-(L578+Calc!$J$2:$J$1001))&gt;=Calc!$F$2:$F$1001)*Calc!$F$2:$F$1001))))</f>
        <v/>
      </c>
      <c r="Q578">
        <f>IF(I578=0,0,(MIN(MAX((K578+M578),0),L578)*W578+SUMPRODUCT((Calc!$A$2:$A$1001=A578)*Calc!$G$2:$G$1001*((((K578+M578)-(L578+Calc!$J$2:$J$1001))&gt;0)*(((K578+M578)-(L578+Calc!$J$2:$J$1001))&lt;Calc!$F$2:$F$1001)*((K578+M578)-(L578+Calc!$J$2:$J$1001))+(((K578+M578)-(L578+Calc!$J$2:$J$1001))&gt;=Calc!$F$2:$F$1001)*Calc!$F$2:$F$1001))))</f>
        <v/>
      </c>
      <c r="R578">
        <f>IF(I578=0,0,(MIN(MAX((K578+N578),0),L578)*W578+SUMPRODUCT((Calc!$A$2:$A$1001=A578)*Calc!$G$2:$G$1001*((((K578+N578)-(L578+Calc!$J$2:$J$1001))&gt;0)*(((K578+N578)-(L578+Calc!$J$2:$J$1001))&lt;Calc!$F$2:$F$1001)*((K578+N578)-(L578+Calc!$J$2:$J$1001))+(((K578+N578)-(L578+Calc!$J$2:$J$1001))&gt;=Calc!$F$2:$F$1001)*Calc!$F$2:$F$1001))))</f>
        <v/>
      </c>
      <c r="S578">
        <f>IF(I578=0,0,(MIN(MAX((K578+O578),0),L578)*W578+SUMPRODUCT((Calc!$A$2:$A$1001=A578)*Calc!$G$2:$G$1001*((((K578+O578)-(L578+Calc!$J$2:$J$1001))&gt;0)*(((K578+O578)-(L578+Calc!$J$2:$J$1001))&lt;Calc!$F$2:$F$1001)*((K578+O578)-(L578+Calc!$J$2:$J$1001))+(((K578+O578)-(L578+Calc!$J$2:$J$1001))&gt;=Calc!$F$2:$F$1001)*Calc!$F$2:$F$1001))))</f>
        <v/>
      </c>
      <c r="T578">
        <f>IF(AND(E578=1,B578="RETURN"),Transactions!E578*Transactions!G578,0)</f>
        <v/>
      </c>
      <c r="U578">
        <f>IF(AND(E578=1,B578="EXPENSE"),Transactions!J578,0)</f>
        <v/>
      </c>
      <c r="V578">
        <f>IF(AND(Transactions!A578&lt;&gt;"",E578=0),ROW(),"")</f>
        <v/>
      </c>
      <c r="W578">
        <f>IFERROR(VLOOKUP(A578,Opening!$A:$D,4,0),0)</f>
        <v/>
      </c>
    </row>
    <row r="579">
      <c r="A579">
        <f>IF(Transactions!D579="","",UPPER(TRIM(Transactions!D579)))</f>
        <v/>
      </c>
      <c r="B579">
        <f>IF(Transactions!C579="","",UPPER(TRIM(Transactions!C579)))</f>
        <v/>
      </c>
      <c r="C579">
        <f>IF(Transactions!B579="",0,YEAR(Transactions!B579)*100+MONTH(Transactions!B579))</f>
        <v/>
      </c>
      <c r="D579">
        <f>IF(Transactions!A579="",1,IF(COUNTIF(Transactions!$A$1:A578,Transactions!A579)&gt;0,1,0))</f>
        <v/>
      </c>
      <c r="E579">
        <f>IF(D579=1,0,IF(B579="RETURN",IF(COUNTIFS($A$1:A578,A579,$B$1:B578,"SALE",$E$1:E578,1)&gt;0,1,0),1))</f>
        <v/>
      </c>
      <c r="F579">
        <f>IF(E579=1,IF(B579="RECEIPT",Transactions!E579,IF(AND(B579="RETURN",LOWER(TRIM(Transactions!H579))="resellable"),Transactions!E579,0)),0)</f>
        <v/>
      </c>
      <c r="G579">
        <f>IF(F579&gt;0,IF(B579="RECEIPT",Transactions!F579,IF(_xlfn.MAXIFS($H$2:H579,$A$2:A579,A579)&gt;0,INDEX(Transactions!$F:$F,_xlfn.MAXIFS($H$2:H579,$A$2:A579,A579)),W579)),0)</f>
        <v/>
      </c>
      <c r="H579">
        <f>IF(AND(E579=1,B579="RECEIPT"),ROW(),0)</f>
        <v/>
      </c>
      <c r="I579">
        <f>IF(E579=1,IF(OR(B579="SALE",B579="WRITEOFF"),Transactions!E579,0),0)</f>
        <v/>
      </c>
      <c r="J579">
        <f>SUMIFS($F$1:F578,$A$1:A578,A579)</f>
        <v/>
      </c>
      <c r="K579">
        <f>SUMIFS($I$1:I578,$A$1:A578,A579)</f>
        <v/>
      </c>
      <c r="L579">
        <f>IFERROR(VLOOKUP(A579,Opening!$A:$C,3,0),0)</f>
        <v/>
      </c>
      <c r="M579">
        <f>IF(I579=0,0,MAX(0,MIN(INDEX(Month!H$2:H$13,MATCH($A579,Month!$A$2:$A$13,0))-K579,I579)))</f>
        <v/>
      </c>
      <c r="N579">
        <f>IF(I579=0,0,MAX(0,MIN(INDEX(Month!I$2:I$13,MATCH($A579,Month!$A$2:$A$13,0))-K579,I579)))</f>
        <v/>
      </c>
      <c r="O579">
        <f>IF(I579=0,0,MAX(0,MIN(INDEX(Month!J$2:J$13,MATCH($A579,Month!$A$2:$A$13,0))-K579,I579)))</f>
        <v/>
      </c>
      <c r="P579">
        <f>IF(I579=0,0,(MIN(MAX(K579,0),L579)*W579+SUMPRODUCT((Calc!$A$2:$A$1001=A579)*Calc!$G$2:$G$1001*(((K579-(L579+Calc!$J$2:$J$1001))&gt;0)*((K579-(L579+Calc!$J$2:$J$1001))&lt;Calc!$F$2:$F$1001)*(K579-(L579+Calc!$J$2:$J$1001))+((K579-(L579+Calc!$J$2:$J$1001))&gt;=Calc!$F$2:$F$1001)*Calc!$F$2:$F$1001))))</f>
        <v/>
      </c>
      <c r="Q579">
        <f>IF(I579=0,0,(MIN(MAX((K579+M579),0),L579)*W579+SUMPRODUCT((Calc!$A$2:$A$1001=A579)*Calc!$G$2:$G$1001*((((K579+M579)-(L579+Calc!$J$2:$J$1001))&gt;0)*(((K579+M579)-(L579+Calc!$J$2:$J$1001))&lt;Calc!$F$2:$F$1001)*((K579+M579)-(L579+Calc!$J$2:$J$1001))+(((K579+M579)-(L579+Calc!$J$2:$J$1001))&gt;=Calc!$F$2:$F$1001)*Calc!$F$2:$F$1001))))</f>
        <v/>
      </c>
      <c r="R579">
        <f>IF(I579=0,0,(MIN(MAX((K579+N579),0),L579)*W579+SUMPRODUCT((Calc!$A$2:$A$1001=A579)*Calc!$G$2:$G$1001*((((K579+N579)-(L579+Calc!$J$2:$J$1001))&gt;0)*(((K579+N579)-(L579+Calc!$J$2:$J$1001))&lt;Calc!$F$2:$F$1001)*((K579+N579)-(L579+Calc!$J$2:$J$1001))+(((K579+N579)-(L579+Calc!$J$2:$J$1001))&gt;=Calc!$F$2:$F$1001)*Calc!$F$2:$F$1001))))</f>
        <v/>
      </c>
      <c r="S579">
        <f>IF(I579=0,0,(MIN(MAX((K579+O579),0),L579)*W579+SUMPRODUCT((Calc!$A$2:$A$1001=A579)*Calc!$G$2:$G$1001*((((K579+O579)-(L579+Calc!$J$2:$J$1001))&gt;0)*(((K579+O579)-(L579+Calc!$J$2:$J$1001))&lt;Calc!$F$2:$F$1001)*((K579+O579)-(L579+Calc!$J$2:$J$1001))+(((K579+O579)-(L579+Calc!$J$2:$J$1001))&gt;=Calc!$F$2:$F$1001)*Calc!$F$2:$F$1001))))</f>
        <v/>
      </c>
      <c r="T579">
        <f>IF(AND(E579=1,B579="RETURN"),Transactions!E579*Transactions!G579,0)</f>
        <v/>
      </c>
      <c r="U579">
        <f>IF(AND(E579=1,B579="EXPENSE"),Transactions!J579,0)</f>
        <v/>
      </c>
      <c r="V579">
        <f>IF(AND(Transactions!A579&lt;&gt;"",E579=0),ROW(),"")</f>
        <v/>
      </c>
      <c r="W579">
        <f>IFERROR(VLOOKUP(A579,Opening!$A:$D,4,0),0)</f>
        <v/>
      </c>
    </row>
    <row r="580">
      <c r="A580">
        <f>IF(Transactions!D580="","",UPPER(TRIM(Transactions!D580)))</f>
        <v/>
      </c>
      <c r="B580">
        <f>IF(Transactions!C580="","",UPPER(TRIM(Transactions!C580)))</f>
        <v/>
      </c>
      <c r="C580">
        <f>IF(Transactions!B580="",0,YEAR(Transactions!B580)*100+MONTH(Transactions!B580))</f>
        <v/>
      </c>
      <c r="D580">
        <f>IF(Transactions!A580="",1,IF(COUNTIF(Transactions!$A$1:A579,Transactions!A580)&gt;0,1,0))</f>
        <v/>
      </c>
      <c r="E580">
        <f>IF(D580=1,0,IF(B580="RETURN",IF(COUNTIFS($A$1:A579,A580,$B$1:B579,"SALE",$E$1:E579,1)&gt;0,1,0),1))</f>
        <v/>
      </c>
      <c r="F580">
        <f>IF(E580=1,IF(B580="RECEIPT",Transactions!E580,IF(AND(B580="RETURN",LOWER(TRIM(Transactions!H580))="resellable"),Transactions!E580,0)),0)</f>
        <v/>
      </c>
      <c r="G580">
        <f>IF(F580&gt;0,IF(B580="RECEIPT",Transactions!F580,IF(_xlfn.MAXIFS($H$2:H580,$A$2:A580,A580)&gt;0,INDEX(Transactions!$F:$F,_xlfn.MAXIFS($H$2:H580,$A$2:A580,A580)),W580)),0)</f>
        <v/>
      </c>
      <c r="H580">
        <f>IF(AND(E580=1,B580="RECEIPT"),ROW(),0)</f>
        <v/>
      </c>
      <c r="I580">
        <f>IF(E580=1,IF(OR(B580="SALE",B580="WRITEOFF"),Transactions!E580,0),0)</f>
        <v/>
      </c>
      <c r="J580">
        <f>SUMIFS($F$1:F579,$A$1:A579,A580)</f>
        <v/>
      </c>
      <c r="K580">
        <f>SUMIFS($I$1:I579,$A$1:A579,A580)</f>
        <v/>
      </c>
      <c r="L580">
        <f>IFERROR(VLOOKUP(A580,Opening!$A:$C,3,0),0)</f>
        <v/>
      </c>
      <c r="M580">
        <f>IF(I580=0,0,MAX(0,MIN(INDEX(Month!H$2:H$13,MATCH($A580,Month!$A$2:$A$13,0))-K580,I580)))</f>
        <v/>
      </c>
      <c r="N580">
        <f>IF(I580=0,0,MAX(0,MIN(INDEX(Month!I$2:I$13,MATCH($A580,Month!$A$2:$A$13,0))-K580,I580)))</f>
        <v/>
      </c>
      <c r="O580">
        <f>IF(I580=0,0,MAX(0,MIN(INDEX(Month!J$2:J$13,MATCH($A580,Month!$A$2:$A$13,0))-K580,I580)))</f>
        <v/>
      </c>
      <c r="P580">
        <f>IF(I580=0,0,(MIN(MAX(K580,0),L580)*W580+SUMPRODUCT((Calc!$A$2:$A$1001=A580)*Calc!$G$2:$G$1001*(((K580-(L580+Calc!$J$2:$J$1001))&gt;0)*((K580-(L580+Calc!$J$2:$J$1001))&lt;Calc!$F$2:$F$1001)*(K580-(L580+Calc!$J$2:$J$1001))+((K580-(L580+Calc!$J$2:$J$1001))&gt;=Calc!$F$2:$F$1001)*Calc!$F$2:$F$1001))))</f>
        <v/>
      </c>
      <c r="Q580">
        <f>IF(I580=0,0,(MIN(MAX((K580+M580),0),L580)*W580+SUMPRODUCT((Calc!$A$2:$A$1001=A580)*Calc!$G$2:$G$1001*((((K580+M580)-(L580+Calc!$J$2:$J$1001))&gt;0)*(((K580+M580)-(L580+Calc!$J$2:$J$1001))&lt;Calc!$F$2:$F$1001)*((K580+M580)-(L580+Calc!$J$2:$J$1001))+(((K580+M580)-(L580+Calc!$J$2:$J$1001))&gt;=Calc!$F$2:$F$1001)*Calc!$F$2:$F$1001))))</f>
        <v/>
      </c>
      <c r="R580">
        <f>IF(I580=0,0,(MIN(MAX((K580+N580),0),L580)*W580+SUMPRODUCT((Calc!$A$2:$A$1001=A580)*Calc!$G$2:$G$1001*((((K580+N580)-(L580+Calc!$J$2:$J$1001))&gt;0)*(((K580+N580)-(L580+Calc!$J$2:$J$1001))&lt;Calc!$F$2:$F$1001)*((K580+N580)-(L580+Calc!$J$2:$J$1001))+(((K580+N580)-(L580+Calc!$J$2:$J$1001))&gt;=Calc!$F$2:$F$1001)*Calc!$F$2:$F$1001))))</f>
        <v/>
      </c>
      <c r="S580">
        <f>IF(I580=0,0,(MIN(MAX((K580+O580),0),L580)*W580+SUMPRODUCT((Calc!$A$2:$A$1001=A580)*Calc!$G$2:$G$1001*((((K580+O580)-(L580+Calc!$J$2:$J$1001))&gt;0)*(((K580+O580)-(L580+Calc!$J$2:$J$1001))&lt;Calc!$F$2:$F$1001)*((K580+O580)-(L580+Calc!$J$2:$J$1001))+(((K580+O580)-(L580+Calc!$J$2:$J$1001))&gt;=Calc!$F$2:$F$1001)*Calc!$F$2:$F$1001))))</f>
        <v/>
      </c>
      <c r="T580">
        <f>IF(AND(E580=1,B580="RETURN"),Transactions!E580*Transactions!G580,0)</f>
        <v/>
      </c>
      <c r="U580">
        <f>IF(AND(E580=1,B580="EXPENSE"),Transactions!J580,0)</f>
        <v/>
      </c>
      <c r="V580">
        <f>IF(AND(Transactions!A580&lt;&gt;"",E580=0),ROW(),"")</f>
        <v/>
      </c>
      <c r="W580">
        <f>IFERROR(VLOOKUP(A580,Opening!$A:$D,4,0),0)</f>
        <v/>
      </c>
    </row>
    <row r="581">
      <c r="A581">
        <f>IF(Transactions!D581="","",UPPER(TRIM(Transactions!D581)))</f>
        <v/>
      </c>
      <c r="B581">
        <f>IF(Transactions!C581="","",UPPER(TRIM(Transactions!C581)))</f>
        <v/>
      </c>
      <c r="C581">
        <f>IF(Transactions!B581="",0,YEAR(Transactions!B581)*100+MONTH(Transactions!B581))</f>
        <v/>
      </c>
      <c r="D581">
        <f>IF(Transactions!A581="",1,IF(COUNTIF(Transactions!$A$1:A580,Transactions!A581)&gt;0,1,0))</f>
        <v/>
      </c>
      <c r="E581">
        <f>IF(D581=1,0,IF(B581="RETURN",IF(COUNTIFS($A$1:A580,A581,$B$1:B580,"SALE",$E$1:E580,1)&gt;0,1,0),1))</f>
        <v/>
      </c>
      <c r="F581">
        <f>IF(E581=1,IF(B581="RECEIPT",Transactions!E581,IF(AND(B581="RETURN",LOWER(TRIM(Transactions!H581))="resellable"),Transactions!E581,0)),0)</f>
        <v/>
      </c>
      <c r="G581">
        <f>IF(F581&gt;0,IF(B581="RECEIPT",Transactions!F581,IF(_xlfn.MAXIFS($H$2:H581,$A$2:A581,A581)&gt;0,INDEX(Transactions!$F:$F,_xlfn.MAXIFS($H$2:H581,$A$2:A581,A581)),W581)),0)</f>
        <v/>
      </c>
      <c r="H581">
        <f>IF(AND(E581=1,B581="RECEIPT"),ROW(),0)</f>
        <v/>
      </c>
      <c r="I581">
        <f>IF(E581=1,IF(OR(B581="SALE",B581="WRITEOFF"),Transactions!E581,0),0)</f>
        <v/>
      </c>
      <c r="J581">
        <f>SUMIFS($F$1:F580,$A$1:A580,A581)</f>
        <v/>
      </c>
      <c r="K581">
        <f>SUMIFS($I$1:I580,$A$1:A580,A581)</f>
        <v/>
      </c>
      <c r="L581">
        <f>IFERROR(VLOOKUP(A581,Opening!$A:$C,3,0),0)</f>
        <v/>
      </c>
      <c r="M581">
        <f>IF(I581=0,0,MAX(0,MIN(INDEX(Month!H$2:H$13,MATCH($A581,Month!$A$2:$A$13,0))-K581,I581)))</f>
        <v/>
      </c>
      <c r="N581">
        <f>IF(I581=0,0,MAX(0,MIN(INDEX(Month!I$2:I$13,MATCH($A581,Month!$A$2:$A$13,0))-K581,I581)))</f>
        <v/>
      </c>
      <c r="O581">
        <f>IF(I581=0,0,MAX(0,MIN(INDEX(Month!J$2:J$13,MATCH($A581,Month!$A$2:$A$13,0))-K581,I581)))</f>
        <v/>
      </c>
      <c r="P581">
        <f>IF(I581=0,0,(MIN(MAX(K581,0),L581)*W581+SUMPRODUCT((Calc!$A$2:$A$1001=A581)*Calc!$G$2:$G$1001*(((K581-(L581+Calc!$J$2:$J$1001))&gt;0)*((K581-(L581+Calc!$J$2:$J$1001))&lt;Calc!$F$2:$F$1001)*(K581-(L581+Calc!$J$2:$J$1001))+((K581-(L581+Calc!$J$2:$J$1001))&gt;=Calc!$F$2:$F$1001)*Calc!$F$2:$F$1001))))</f>
        <v/>
      </c>
      <c r="Q581">
        <f>IF(I581=0,0,(MIN(MAX((K581+M581),0),L581)*W581+SUMPRODUCT((Calc!$A$2:$A$1001=A581)*Calc!$G$2:$G$1001*((((K581+M581)-(L581+Calc!$J$2:$J$1001))&gt;0)*(((K581+M581)-(L581+Calc!$J$2:$J$1001))&lt;Calc!$F$2:$F$1001)*((K581+M581)-(L581+Calc!$J$2:$J$1001))+(((K581+M581)-(L581+Calc!$J$2:$J$1001))&gt;=Calc!$F$2:$F$1001)*Calc!$F$2:$F$1001))))</f>
        <v/>
      </c>
      <c r="R581">
        <f>IF(I581=0,0,(MIN(MAX((K581+N581),0),L581)*W581+SUMPRODUCT((Calc!$A$2:$A$1001=A581)*Calc!$G$2:$G$1001*((((K581+N581)-(L581+Calc!$J$2:$J$1001))&gt;0)*(((K581+N581)-(L581+Calc!$J$2:$J$1001))&lt;Calc!$F$2:$F$1001)*((K581+N581)-(L581+Calc!$J$2:$J$1001))+(((K581+N581)-(L581+Calc!$J$2:$J$1001))&gt;=Calc!$F$2:$F$1001)*Calc!$F$2:$F$1001))))</f>
        <v/>
      </c>
      <c r="S581">
        <f>IF(I581=0,0,(MIN(MAX((K581+O581),0),L581)*W581+SUMPRODUCT((Calc!$A$2:$A$1001=A581)*Calc!$G$2:$G$1001*((((K581+O581)-(L581+Calc!$J$2:$J$1001))&gt;0)*(((K581+O581)-(L581+Calc!$J$2:$J$1001))&lt;Calc!$F$2:$F$1001)*((K581+O581)-(L581+Calc!$J$2:$J$1001))+(((K581+O581)-(L581+Calc!$J$2:$J$1001))&gt;=Calc!$F$2:$F$1001)*Calc!$F$2:$F$1001))))</f>
        <v/>
      </c>
      <c r="T581">
        <f>IF(AND(E581=1,B581="RETURN"),Transactions!E581*Transactions!G581,0)</f>
        <v/>
      </c>
      <c r="U581">
        <f>IF(AND(E581=1,B581="EXPENSE"),Transactions!J581,0)</f>
        <v/>
      </c>
      <c r="V581">
        <f>IF(AND(Transactions!A581&lt;&gt;"",E581=0),ROW(),"")</f>
        <v/>
      </c>
      <c r="W581">
        <f>IFERROR(VLOOKUP(A581,Opening!$A:$D,4,0),0)</f>
        <v/>
      </c>
    </row>
    <row r="582">
      <c r="A582">
        <f>IF(Transactions!D582="","",UPPER(TRIM(Transactions!D582)))</f>
        <v/>
      </c>
      <c r="B582">
        <f>IF(Transactions!C582="","",UPPER(TRIM(Transactions!C582)))</f>
        <v/>
      </c>
      <c r="C582">
        <f>IF(Transactions!B582="",0,YEAR(Transactions!B582)*100+MONTH(Transactions!B582))</f>
        <v/>
      </c>
      <c r="D582">
        <f>IF(Transactions!A582="",1,IF(COUNTIF(Transactions!$A$1:A581,Transactions!A582)&gt;0,1,0))</f>
        <v/>
      </c>
      <c r="E582">
        <f>IF(D582=1,0,IF(B582="RETURN",IF(COUNTIFS($A$1:A581,A582,$B$1:B581,"SALE",$E$1:E581,1)&gt;0,1,0),1))</f>
        <v/>
      </c>
      <c r="F582">
        <f>IF(E582=1,IF(B582="RECEIPT",Transactions!E582,IF(AND(B582="RETURN",LOWER(TRIM(Transactions!H582))="resellable"),Transactions!E582,0)),0)</f>
        <v/>
      </c>
      <c r="G582">
        <f>IF(F582&gt;0,IF(B582="RECEIPT",Transactions!F582,IF(_xlfn.MAXIFS($H$2:H582,$A$2:A582,A582)&gt;0,INDEX(Transactions!$F:$F,_xlfn.MAXIFS($H$2:H582,$A$2:A582,A582)),W582)),0)</f>
        <v/>
      </c>
      <c r="H582">
        <f>IF(AND(E582=1,B582="RECEIPT"),ROW(),0)</f>
        <v/>
      </c>
      <c r="I582">
        <f>IF(E582=1,IF(OR(B582="SALE",B582="WRITEOFF"),Transactions!E582,0),0)</f>
        <v/>
      </c>
      <c r="J582">
        <f>SUMIFS($F$1:F581,$A$1:A581,A582)</f>
        <v/>
      </c>
      <c r="K582">
        <f>SUMIFS($I$1:I581,$A$1:A581,A582)</f>
        <v/>
      </c>
      <c r="L582">
        <f>IFERROR(VLOOKUP(A582,Opening!$A:$C,3,0),0)</f>
        <v/>
      </c>
      <c r="M582">
        <f>IF(I582=0,0,MAX(0,MIN(INDEX(Month!H$2:H$13,MATCH($A582,Month!$A$2:$A$13,0))-K582,I582)))</f>
        <v/>
      </c>
      <c r="N582">
        <f>IF(I582=0,0,MAX(0,MIN(INDEX(Month!I$2:I$13,MATCH($A582,Month!$A$2:$A$13,0))-K582,I582)))</f>
        <v/>
      </c>
      <c r="O582">
        <f>IF(I582=0,0,MAX(0,MIN(INDEX(Month!J$2:J$13,MATCH($A582,Month!$A$2:$A$13,0))-K582,I582)))</f>
        <v/>
      </c>
      <c r="P582">
        <f>IF(I582=0,0,(MIN(MAX(K582,0),L582)*W582+SUMPRODUCT((Calc!$A$2:$A$1001=A582)*Calc!$G$2:$G$1001*(((K582-(L582+Calc!$J$2:$J$1001))&gt;0)*((K582-(L582+Calc!$J$2:$J$1001))&lt;Calc!$F$2:$F$1001)*(K582-(L582+Calc!$J$2:$J$1001))+((K582-(L582+Calc!$J$2:$J$1001))&gt;=Calc!$F$2:$F$1001)*Calc!$F$2:$F$1001))))</f>
        <v/>
      </c>
      <c r="Q582">
        <f>IF(I582=0,0,(MIN(MAX((K582+M582),0),L582)*W582+SUMPRODUCT((Calc!$A$2:$A$1001=A582)*Calc!$G$2:$G$1001*((((K582+M582)-(L582+Calc!$J$2:$J$1001))&gt;0)*(((K582+M582)-(L582+Calc!$J$2:$J$1001))&lt;Calc!$F$2:$F$1001)*((K582+M582)-(L582+Calc!$J$2:$J$1001))+(((K582+M582)-(L582+Calc!$J$2:$J$1001))&gt;=Calc!$F$2:$F$1001)*Calc!$F$2:$F$1001))))</f>
        <v/>
      </c>
      <c r="R582">
        <f>IF(I582=0,0,(MIN(MAX((K582+N582),0),L582)*W582+SUMPRODUCT((Calc!$A$2:$A$1001=A582)*Calc!$G$2:$G$1001*((((K582+N582)-(L582+Calc!$J$2:$J$1001))&gt;0)*(((K582+N582)-(L582+Calc!$J$2:$J$1001))&lt;Calc!$F$2:$F$1001)*((K582+N582)-(L582+Calc!$J$2:$J$1001))+(((K582+N582)-(L582+Calc!$J$2:$J$1001))&gt;=Calc!$F$2:$F$1001)*Calc!$F$2:$F$1001))))</f>
        <v/>
      </c>
      <c r="S582">
        <f>IF(I582=0,0,(MIN(MAX((K582+O582),0),L582)*W582+SUMPRODUCT((Calc!$A$2:$A$1001=A582)*Calc!$G$2:$G$1001*((((K582+O582)-(L582+Calc!$J$2:$J$1001))&gt;0)*(((K582+O582)-(L582+Calc!$J$2:$J$1001))&lt;Calc!$F$2:$F$1001)*((K582+O582)-(L582+Calc!$J$2:$J$1001))+(((K582+O582)-(L582+Calc!$J$2:$J$1001))&gt;=Calc!$F$2:$F$1001)*Calc!$F$2:$F$1001))))</f>
        <v/>
      </c>
      <c r="T582">
        <f>IF(AND(E582=1,B582="RETURN"),Transactions!E582*Transactions!G582,0)</f>
        <v/>
      </c>
      <c r="U582">
        <f>IF(AND(E582=1,B582="EXPENSE"),Transactions!J582,0)</f>
        <v/>
      </c>
      <c r="V582">
        <f>IF(AND(Transactions!A582&lt;&gt;"",E582=0),ROW(),"")</f>
        <v/>
      </c>
      <c r="W582">
        <f>IFERROR(VLOOKUP(A582,Opening!$A:$D,4,0),0)</f>
        <v/>
      </c>
    </row>
    <row r="583">
      <c r="A583">
        <f>IF(Transactions!D583="","",UPPER(TRIM(Transactions!D583)))</f>
        <v/>
      </c>
      <c r="B583">
        <f>IF(Transactions!C583="","",UPPER(TRIM(Transactions!C583)))</f>
        <v/>
      </c>
      <c r="C583">
        <f>IF(Transactions!B583="",0,YEAR(Transactions!B583)*100+MONTH(Transactions!B583))</f>
        <v/>
      </c>
      <c r="D583">
        <f>IF(Transactions!A583="",1,IF(COUNTIF(Transactions!$A$1:A582,Transactions!A583)&gt;0,1,0))</f>
        <v/>
      </c>
      <c r="E583">
        <f>IF(D583=1,0,IF(B583="RETURN",IF(COUNTIFS($A$1:A582,A583,$B$1:B582,"SALE",$E$1:E582,1)&gt;0,1,0),1))</f>
        <v/>
      </c>
      <c r="F583">
        <f>IF(E583=1,IF(B583="RECEIPT",Transactions!E583,IF(AND(B583="RETURN",LOWER(TRIM(Transactions!H583))="resellable"),Transactions!E583,0)),0)</f>
        <v/>
      </c>
      <c r="G583">
        <f>IF(F583&gt;0,IF(B583="RECEIPT",Transactions!F583,IF(_xlfn.MAXIFS($H$2:H583,$A$2:A583,A583)&gt;0,INDEX(Transactions!$F:$F,_xlfn.MAXIFS($H$2:H583,$A$2:A583,A583)),W583)),0)</f>
        <v/>
      </c>
      <c r="H583">
        <f>IF(AND(E583=1,B583="RECEIPT"),ROW(),0)</f>
        <v/>
      </c>
      <c r="I583">
        <f>IF(E583=1,IF(OR(B583="SALE",B583="WRITEOFF"),Transactions!E583,0),0)</f>
        <v/>
      </c>
      <c r="J583">
        <f>SUMIFS($F$1:F582,$A$1:A582,A583)</f>
        <v/>
      </c>
      <c r="K583">
        <f>SUMIFS($I$1:I582,$A$1:A582,A583)</f>
        <v/>
      </c>
      <c r="L583">
        <f>IFERROR(VLOOKUP(A583,Opening!$A:$C,3,0),0)</f>
        <v/>
      </c>
      <c r="M583">
        <f>IF(I583=0,0,MAX(0,MIN(INDEX(Month!H$2:H$13,MATCH($A583,Month!$A$2:$A$13,0))-K583,I583)))</f>
        <v/>
      </c>
      <c r="N583">
        <f>IF(I583=0,0,MAX(0,MIN(INDEX(Month!I$2:I$13,MATCH($A583,Month!$A$2:$A$13,0))-K583,I583)))</f>
        <v/>
      </c>
      <c r="O583">
        <f>IF(I583=0,0,MAX(0,MIN(INDEX(Month!J$2:J$13,MATCH($A583,Month!$A$2:$A$13,0))-K583,I583)))</f>
        <v/>
      </c>
      <c r="P583">
        <f>IF(I583=0,0,(MIN(MAX(K583,0),L583)*W583+SUMPRODUCT((Calc!$A$2:$A$1001=A583)*Calc!$G$2:$G$1001*(((K583-(L583+Calc!$J$2:$J$1001))&gt;0)*((K583-(L583+Calc!$J$2:$J$1001))&lt;Calc!$F$2:$F$1001)*(K583-(L583+Calc!$J$2:$J$1001))+((K583-(L583+Calc!$J$2:$J$1001))&gt;=Calc!$F$2:$F$1001)*Calc!$F$2:$F$1001))))</f>
        <v/>
      </c>
      <c r="Q583">
        <f>IF(I583=0,0,(MIN(MAX((K583+M583),0),L583)*W583+SUMPRODUCT((Calc!$A$2:$A$1001=A583)*Calc!$G$2:$G$1001*((((K583+M583)-(L583+Calc!$J$2:$J$1001))&gt;0)*(((K583+M583)-(L583+Calc!$J$2:$J$1001))&lt;Calc!$F$2:$F$1001)*((K583+M583)-(L583+Calc!$J$2:$J$1001))+(((K583+M583)-(L583+Calc!$J$2:$J$1001))&gt;=Calc!$F$2:$F$1001)*Calc!$F$2:$F$1001))))</f>
        <v/>
      </c>
      <c r="R583">
        <f>IF(I583=0,0,(MIN(MAX((K583+N583),0),L583)*W583+SUMPRODUCT((Calc!$A$2:$A$1001=A583)*Calc!$G$2:$G$1001*((((K583+N583)-(L583+Calc!$J$2:$J$1001))&gt;0)*(((K583+N583)-(L583+Calc!$J$2:$J$1001))&lt;Calc!$F$2:$F$1001)*((K583+N583)-(L583+Calc!$J$2:$J$1001))+(((K583+N583)-(L583+Calc!$J$2:$J$1001))&gt;=Calc!$F$2:$F$1001)*Calc!$F$2:$F$1001))))</f>
        <v/>
      </c>
      <c r="S583">
        <f>IF(I583=0,0,(MIN(MAX((K583+O583),0),L583)*W583+SUMPRODUCT((Calc!$A$2:$A$1001=A583)*Calc!$G$2:$G$1001*((((K583+O583)-(L583+Calc!$J$2:$J$1001))&gt;0)*(((K583+O583)-(L583+Calc!$J$2:$J$1001))&lt;Calc!$F$2:$F$1001)*((K583+O583)-(L583+Calc!$J$2:$J$1001))+(((K583+O583)-(L583+Calc!$J$2:$J$1001))&gt;=Calc!$F$2:$F$1001)*Calc!$F$2:$F$1001))))</f>
        <v/>
      </c>
      <c r="T583">
        <f>IF(AND(E583=1,B583="RETURN"),Transactions!E583*Transactions!G583,0)</f>
        <v/>
      </c>
      <c r="U583">
        <f>IF(AND(E583=1,B583="EXPENSE"),Transactions!J583,0)</f>
        <v/>
      </c>
      <c r="V583">
        <f>IF(AND(Transactions!A583&lt;&gt;"",E583=0),ROW(),"")</f>
        <v/>
      </c>
      <c r="W583">
        <f>IFERROR(VLOOKUP(A583,Opening!$A:$D,4,0),0)</f>
        <v/>
      </c>
    </row>
    <row r="584">
      <c r="A584">
        <f>IF(Transactions!D584="","",UPPER(TRIM(Transactions!D584)))</f>
        <v/>
      </c>
      <c r="B584">
        <f>IF(Transactions!C584="","",UPPER(TRIM(Transactions!C584)))</f>
        <v/>
      </c>
      <c r="C584">
        <f>IF(Transactions!B584="",0,YEAR(Transactions!B584)*100+MONTH(Transactions!B584))</f>
        <v/>
      </c>
      <c r="D584">
        <f>IF(Transactions!A584="",1,IF(COUNTIF(Transactions!$A$1:A583,Transactions!A584)&gt;0,1,0))</f>
        <v/>
      </c>
      <c r="E584">
        <f>IF(D584=1,0,IF(B584="RETURN",IF(COUNTIFS($A$1:A583,A584,$B$1:B583,"SALE",$E$1:E583,1)&gt;0,1,0),1))</f>
        <v/>
      </c>
      <c r="F584">
        <f>IF(E584=1,IF(B584="RECEIPT",Transactions!E584,IF(AND(B584="RETURN",LOWER(TRIM(Transactions!H584))="resellable"),Transactions!E584,0)),0)</f>
        <v/>
      </c>
      <c r="G584">
        <f>IF(F584&gt;0,IF(B584="RECEIPT",Transactions!F584,IF(_xlfn.MAXIFS($H$2:H584,$A$2:A584,A584)&gt;0,INDEX(Transactions!$F:$F,_xlfn.MAXIFS($H$2:H584,$A$2:A584,A584)),W584)),0)</f>
        <v/>
      </c>
      <c r="H584">
        <f>IF(AND(E584=1,B584="RECEIPT"),ROW(),0)</f>
        <v/>
      </c>
      <c r="I584">
        <f>IF(E584=1,IF(OR(B584="SALE",B584="WRITEOFF"),Transactions!E584,0),0)</f>
        <v/>
      </c>
      <c r="J584">
        <f>SUMIFS($F$1:F583,$A$1:A583,A584)</f>
        <v/>
      </c>
      <c r="K584">
        <f>SUMIFS($I$1:I583,$A$1:A583,A584)</f>
        <v/>
      </c>
      <c r="L584">
        <f>IFERROR(VLOOKUP(A584,Opening!$A:$C,3,0),0)</f>
        <v/>
      </c>
      <c r="M584">
        <f>IF(I584=0,0,MAX(0,MIN(INDEX(Month!H$2:H$13,MATCH($A584,Month!$A$2:$A$13,0))-K584,I584)))</f>
        <v/>
      </c>
      <c r="N584">
        <f>IF(I584=0,0,MAX(0,MIN(INDEX(Month!I$2:I$13,MATCH($A584,Month!$A$2:$A$13,0))-K584,I584)))</f>
        <v/>
      </c>
      <c r="O584">
        <f>IF(I584=0,0,MAX(0,MIN(INDEX(Month!J$2:J$13,MATCH($A584,Month!$A$2:$A$13,0))-K584,I584)))</f>
        <v/>
      </c>
      <c r="P584">
        <f>IF(I584=0,0,(MIN(MAX(K584,0),L584)*W584+SUMPRODUCT((Calc!$A$2:$A$1001=A584)*Calc!$G$2:$G$1001*(((K584-(L584+Calc!$J$2:$J$1001))&gt;0)*((K584-(L584+Calc!$J$2:$J$1001))&lt;Calc!$F$2:$F$1001)*(K584-(L584+Calc!$J$2:$J$1001))+((K584-(L584+Calc!$J$2:$J$1001))&gt;=Calc!$F$2:$F$1001)*Calc!$F$2:$F$1001))))</f>
        <v/>
      </c>
      <c r="Q584">
        <f>IF(I584=0,0,(MIN(MAX((K584+M584),0),L584)*W584+SUMPRODUCT((Calc!$A$2:$A$1001=A584)*Calc!$G$2:$G$1001*((((K584+M584)-(L584+Calc!$J$2:$J$1001))&gt;0)*(((K584+M584)-(L584+Calc!$J$2:$J$1001))&lt;Calc!$F$2:$F$1001)*((K584+M584)-(L584+Calc!$J$2:$J$1001))+(((K584+M584)-(L584+Calc!$J$2:$J$1001))&gt;=Calc!$F$2:$F$1001)*Calc!$F$2:$F$1001))))</f>
        <v/>
      </c>
      <c r="R584">
        <f>IF(I584=0,0,(MIN(MAX((K584+N584),0),L584)*W584+SUMPRODUCT((Calc!$A$2:$A$1001=A584)*Calc!$G$2:$G$1001*((((K584+N584)-(L584+Calc!$J$2:$J$1001))&gt;0)*(((K584+N584)-(L584+Calc!$J$2:$J$1001))&lt;Calc!$F$2:$F$1001)*((K584+N584)-(L584+Calc!$J$2:$J$1001))+(((K584+N584)-(L584+Calc!$J$2:$J$1001))&gt;=Calc!$F$2:$F$1001)*Calc!$F$2:$F$1001))))</f>
        <v/>
      </c>
      <c r="S584">
        <f>IF(I584=0,0,(MIN(MAX((K584+O584),0),L584)*W584+SUMPRODUCT((Calc!$A$2:$A$1001=A584)*Calc!$G$2:$G$1001*((((K584+O584)-(L584+Calc!$J$2:$J$1001))&gt;0)*(((K584+O584)-(L584+Calc!$J$2:$J$1001))&lt;Calc!$F$2:$F$1001)*((K584+O584)-(L584+Calc!$J$2:$J$1001))+(((K584+O584)-(L584+Calc!$J$2:$J$1001))&gt;=Calc!$F$2:$F$1001)*Calc!$F$2:$F$1001))))</f>
        <v/>
      </c>
      <c r="T584">
        <f>IF(AND(E584=1,B584="RETURN"),Transactions!E584*Transactions!G584,0)</f>
        <v/>
      </c>
      <c r="U584">
        <f>IF(AND(E584=1,B584="EXPENSE"),Transactions!J584,0)</f>
        <v/>
      </c>
      <c r="V584">
        <f>IF(AND(Transactions!A584&lt;&gt;"",E584=0),ROW(),"")</f>
        <v/>
      </c>
      <c r="W584">
        <f>IFERROR(VLOOKUP(A584,Opening!$A:$D,4,0),0)</f>
        <v/>
      </c>
    </row>
    <row r="585">
      <c r="A585">
        <f>IF(Transactions!D585="","",UPPER(TRIM(Transactions!D585)))</f>
        <v/>
      </c>
      <c r="B585">
        <f>IF(Transactions!C585="","",UPPER(TRIM(Transactions!C585)))</f>
        <v/>
      </c>
      <c r="C585">
        <f>IF(Transactions!B585="",0,YEAR(Transactions!B585)*100+MONTH(Transactions!B585))</f>
        <v/>
      </c>
      <c r="D585">
        <f>IF(Transactions!A585="",1,IF(COUNTIF(Transactions!$A$1:A584,Transactions!A585)&gt;0,1,0))</f>
        <v/>
      </c>
      <c r="E585">
        <f>IF(D585=1,0,IF(B585="RETURN",IF(COUNTIFS($A$1:A584,A585,$B$1:B584,"SALE",$E$1:E584,1)&gt;0,1,0),1))</f>
        <v/>
      </c>
      <c r="F585">
        <f>IF(E585=1,IF(B585="RECEIPT",Transactions!E585,IF(AND(B585="RETURN",LOWER(TRIM(Transactions!H585))="resellable"),Transactions!E585,0)),0)</f>
        <v/>
      </c>
      <c r="G585">
        <f>IF(F585&gt;0,IF(B585="RECEIPT",Transactions!F585,IF(_xlfn.MAXIFS($H$2:H585,$A$2:A585,A585)&gt;0,INDEX(Transactions!$F:$F,_xlfn.MAXIFS($H$2:H585,$A$2:A585,A585)),W585)),0)</f>
        <v/>
      </c>
      <c r="H585">
        <f>IF(AND(E585=1,B585="RECEIPT"),ROW(),0)</f>
        <v/>
      </c>
      <c r="I585">
        <f>IF(E585=1,IF(OR(B585="SALE",B585="WRITEOFF"),Transactions!E585,0),0)</f>
        <v/>
      </c>
      <c r="J585">
        <f>SUMIFS($F$1:F584,$A$1:A584,A585)</f>
        <v/>
      </c>
      <c r="K585">
        <f>SUMIFS($I$1:I584,$A$1:A584,A585)</f>
        <v/>
      </c>
      <c r="L585">
        <f>IFERROR(VLOOKUP(A585,Opening!$A:$C,3,0),0)</f>
        <v/>
      </c>
      <c r="M585">
        <f>IF(I585=0,0,MAX(0,MIN(INDEX(Month!H$2:H$13,MATCH($A585,Month!$A$2:$A$13,0))-K585,I585)))</f>
        <v/>
      </c>
      <c r="N585">
        <f>IF(I585=0,0,MAX(0,MIN(INDEX(Month!I$2:I$13,MATCH($A585,Month!$A$2:$A$13,0))-K585,I585)))</f>
        <v/>
      </c>
      <c r="O585">
        <f>IF(I585=0,0,MAX(0,MIN(INDEX(Month!J$2:J$13,MATCH($A585,Month!$A$2:$A$13,0))-K585,I585)))</f>
        <v/>
      </c>
      <c r="P585">
        <f>IF(I585=0,0,(MIN(MAX(K585,0),L585)*W585+SUMPRODUCT((Calc!$A$2:$A$1001=A585)*Calc!$G$2:$G$1001*(((K585-(L585+Calc!$J$2:$J$1001))&gt;0)*((K585-(L585+Calc!$J$2:$J$1001))&lt;Calc!$F$2:$F$1001)*(K585-(L585+Calc!$J$2:$J$1001))+((K585-(L585+Calc!$J$2:$J$1001))&gt;=Calc!$F$2:$F$1001)*Calc!$F$2:$F$1001))))</f>
        <v/>
      </c>
      <c r="Q585">
        <f>IF(I585=0,0,(MIN(MAX((K585+M585),0),L585)*W585+SUMPRODUCT((Calc!$A$2:$A$1001=A585)*Calc!$G$2:$G$1001*((((K585+M585)-(L585+Calc!$J$2:$J$1001))&gt;0)*(((K585+M585)-(L585+Calc!$J$2:$J$1001))&lt;Calc!$F$2:$F$1001)*((K585+M585)-(L585+Calc!$J$2:$J$1001))+(((K585+M585)-(L585+Calc!$J$2:$J$1001))&gt;=Calc!$F$2:$F$1001)*Calc!$F$2:$F$1001))))</f>
        <v/>
      </c>
      <c r="R585">
        <f>IF(I585=0,0,(MIN(MAX((K585+N585),0),L585)*W585+SUMPRODUCT((Calc!$A$2:$A$1001=A585)*Calc!$G$2:$G$1001*((((K585+N585)-(L585+Calc!$J$2:$J$1001))&gt;0)*(((K585+N585)-(L585+Calc!$J$2:$J$1001))&lt;Calc!$F$2:$F$1001)*((K585+N585)-(L585+Calc!$J$2:$J$1001))+(((K585+N585)-(L585+Calc!$J$2:$J$1001))&gt;=Calc!$F$2:$F$1001)*Calc!$F$2:$F$1001))))</f>
        <v/>
      </c>
      <c r="S585">
        <f>IF(I585=0,0,(MIN(MAX((K585+O585),0),L585)*W585+SUMPRODUCT((Calc!$A$2:$A$1001=A585)*Calc!$G$2:$G$1001*((((K585+O585)-(L585+Calc!$J$2:$J$1001))&gt;0)*(((K585+O585)-(L585+Calc!$J$2:$J$1001))&lt;Calc!$F$2:$F$1001)*((K585+O585)-(L585+Calc!$J$2:$J$1001))+(((K585+O585)-(L585+Calc!$J$2:$J$1001))&gt;=Calc!$F$2:$F$1001)*Calc!$F$2:$F$1001))))</f>
        <v/>
      </c>
      <c r="T585">
        <f>IF(AND(E585=1,B585="RETURN"),Transactions!E585*Transactions!G585,0)</f>
        <v/>
      </c>
      <c r="U585">
        <f>IF(AND(E585=1,B585="EXPENSE"),Transactions!J585,0)</f>
        <v/>
      </c>
      <c r="V585">
        <f>IF(AND(Transactions!A585&lt;&gt;"",E585=0),ROW(),"")</f>
        <v/>
      </c>
      <c r="W585">
        <f>IFERROR(VLOOKUP(A585,Opening!$A:$D,4,0),0)</f>
        <v/>
      </c>
    </row>
    <row r="586">
      <c r="A586">
        <f>IF(Transactions!D586="","",UPPER(TRIM(Transactions!D586)))</f>
        <v/>
      </c>
      <c r="B586">
        <f>IF(Transactions!C586="","",UPPER(TRIM(Transactions!C586)))</f>
        <v/>
      </c>
      <c r="C586">
        <f>IF(Transactions!B586="",0,YEAR(Transactions!B586)*100+MONTH(Transactions!B586))</f>
        <v/>
      </c>
      <c r="D586">
        <f>IF(Transactions!A586="",1,IF(COUNTIF(Transactions!$A$1:A585,Transactions!A586)&gt;0,1,0))</f>
        <v/>
      </c>
      <c r="E586">
        <f>IF(D586=1,0,IF(B586="RETURN",IF(COUNTIFS($A$1:A585,A586,$B$1:B585,"SALE",$E$1:E585,1)&gt;0,1,0),1))</f>
        <v/>
      </c>
      <c r="F586">
        <f>IF(E586=1,IF(B586="RECEIPT",Transactions!E586,IF(AND(B586="RETURN",LOWER(TRIM(Transactions!H586))="resellable"),Transactions!E586,0)),0)</f>
        <v/>
      </c>
      <c r="G586">
        <f>IF(F586&gt;0,IF(B586="RECEIPT",Transactions!F586,IF(_xlfn.MAXIFS($H$2:H586,$A$2:A586,A586)&gt;0,INDEX(Transactions!$F:$F,_xlfn.MAXIFS($H$2:H586,$A$2:A586,A586)),W586)),0)</f>
        <v/>
      </c>
      <c r="H586">
        <f>IF(AND(E586=1,B586="RECEIPT"),ROW(),0)</f>
        <v/>
      </c>
      <c r="I586">
        <f>IF(E586=1,IF(OR(B586="SALE",B586="WRITEOFF"),Transactions!E586,0),0)</f>
        <v/>
      </c>
      <c r="J586">
        <f>SUMIFS($F$1:F585,$A$1:A585,A586)</f>
        <v/>
      </c>
      <c r="K586">
        <f>SUMIFS($I$1:I585,$A$1:A585,A586)</f>
        <v/>
      </c>
      <c r="L586">
        <f>IFERROR(VLOOKUP(A586,Opening!$A:$C,3,0),0)</f>
        <v/>
      </c>
      <c r="M586">
        <f>IF(I586=0,0,MAX(0,MIN(INDEX(Month!H$2:H$13,MATCH($A586,Month!$A$2:$A$13,0))-K586,I586)))</f>
        <v/>
      </c>
      <c r="N586">
        <f>IF(I586=0,0,MAX(0,MIN(INDEX(Month!I$2:I$13,MATCH($A586,Month!$A$2:$A$13,0))-K586,I586)))</f>
        <v/>
      </c>
      <c r="O586">
        <f>IF(I586=0,0,MAX(0,MIN(INDEX(Month!J$2:J$13,MATCH($A586,Month!$A$2:$A$13,0))-K586,I586)))</f>
        <v/>
      </c>
      <c r="P586">
        <f>IF(I586=0,0,(MIN(MAX(K586,0),L586)*W586+SUMPRODUCT((Calc!$A$2:$A$1001=A586)*Calc!$G$2:$G$1001*(((K586-(L586+Calc!$J$2:$J$1001))&gt;0)*((K586-(L586+Calc!$J$2:$J$1001))&lt;Calc!$F$2:$F$1001)*(K586-(L586+Calc!$J$2:$J$1001))+((K586-(L586+Calc!$J$2:$J$1001))&gt;=Calc!$F$2:$F$1001)*Calc!$F$2:$F$1001))))</f>
        <v/>
      </c>
      <c r="Q586">
        <f>IF(I586=0,0,(MIN(MAX((K586+M586),0),L586)*W586+SUMPRODUCT((Calc!$A$2:$A$1001=A586)*Calc!$G$2:$G$1001*((((K586+M586)-(L586+Calc!$J$2:$J$1001))&gt;0)*(((K586+M586)-(L586+Calc!$J$2:$J$1001))&lt;Calc!$F$2:$F$1001)*((K586+M586)-(L586+Calc!$J$2:$J$1001))+(((K586+M586)-(L586+Calc!$J$2:$J$1001))&gt;=Calc!$F$2:$F$1001)*Calc!$F$2:$F$1001))))</f>
        <v/>
      </c>
      <c r="R586">
        <f>IF(I586=0,0,(MIN(MAX((K586+N586),0),L586)*W586+SUMPRODUCT((Calc!$A$2:$A$1001=A586)*Calc!$G$2:$G$1001*((((K586+N586)-(L586+Calc!$J$2:$J$1001))&gt;0)*(((K586+N586)-(L586+Calc!$J$2:$J$1001))&lt;Calc!$F$2:$F$1001)*((K586+N586)-(L586+Calc!$J$2:$J$1001))+(((K586+N586)-(L586+Calc!$J$2:$J$1001))&gt;=Calc!$F$2:$F$1001)*Calc!$F$2:$F$1001))))</f>
        <v/>
      </c>
      <c r="S586">
        <f>IF(I586=0,0,(MIN(MAX((K586+O586),0),L586)*W586+SUMPRODUCT((Calc!$A$2:$A$1001=A586)*Calc!$G$2:$G$1001*((((K586+O586)-(L586+Calc!$J$2:$J$1001))&gt;0)*(((K586+O586)-(L586+Calc!$J$2:$J$1001))&lt;Calc!$F$2:$F$1001)*((K586+O586)-(L586+Calc!$J$2:$J$1001))+(((K586+O586)-(L586+Calc!$J$2:$J$1001))&gt;=Calc!$F$2:$F$1001)*Calc!$F$2:$F$1001))))</f>
        <v/>
      </c>
      <c r="T586">
        <f>IF(AND(E586=1,B586="RETURN"),Transactions!E586*Transactions!G586,0)</f>
        <v/>
      </c>
      <c r="U586">
        <f>IF(AND(E586=1,B586="EXPENSE"),Transactions!J586,0)</f>
        <v/>
      </c>
      <c r="V586">
        <f>IF(AND(Transactions!A586&lt;&gt;"",E586=0),ROW(),"")</f>
        <v/>
      </c>
      <c r="W586">
        <f>IFERROR(VLOOKUP(A586,Opening!$A:$D,4,0),0)</f>
        <v/>
      </c>
    </row>
    <row r="587">
      <c r="A587">
        <f>IF(Transactions!D587="","",UPPER(TRIM(Transactions!D587)))</f>
        <v/>
      </c>
      <c r="B587">
        <f>IF(Transactions!C587="","",UPPER(TRIM(Transactions!C587)))</f>
        <v/>
      </c>
      <c r="C587">
        <f>IF(Transactions!B587="",0,YEAR(Transactions!B587)*100+MONTH(Transactions!B587))</f>
        <v/>
      </c>
      <c r="D587">
        <f>IF(Transactions!A587="",1,IF(COUNTIF(Transactions!$A$1:A586,Transactions!A587)&gt;0,1,0))</f>
        <v/>
      </c>
      <c r="E587">
        <f>IF(D587=1,0,IF(B587="RETURN",IF(COUNTIFS($A$1:A586,A587,$B$1:B586,"SALE",$E$1:E586,1)&gt;0,1,0),1))</f>
        <v/>
      </c>
      <c r="F587">
        <f>IF(E587=1,IF(B587="RECEIPT",Transactions!E587,IF(AND(B587="RETURN",LOWER(TRIM(Transactions!H587))="resellable"),Transactions!E587,0)),0)</f>
        <v/>
      </c>
      <c r="G587">
        <f>IF(F587&gt;0,IF(B587="RECEIPT",Transactions!F587,IF(_xlfn.MAXIFS($H$2:H587,$A$2:A587,A587)&gt;0,INDEX(Transactions!$F:$F,_xlfn.MAXIFS($H$2:H587,$A$2:A587,A587)),W587)),0)</f>
        <v/>
      </c>
      <c r="H587">
        <f>IF(AND(E587=1,B587="RECEIPT"),ROW(),0)</f>
        <v/>
      </c>
      <c r="I587">
        <f>IF(E587=1,IF(OR(B587="SALE",B587="WRITEOFF"),Transactions!E587,0),0)</f>
        <v/>
      </c>
      <c r="J587">
        <f>SUMIFS($F$1:F586,$A$1:A586,A587)</f>
        <v/>
      </c>
      <c r="K587">
        <f>SUMIFS($I$1:I586,$A$1:A586,A587)</f>
        <v/>
      </c>
      <c r="L587">
        <f>IFERROR(VLOOKUP(A587,Opening!$A:$C,3,0),0)</f>
        <v/>
      </c>
      <c r="M587">
        <f>IF(I587=0,0,MAX(0,MIN(INDEX(Month!H$2:H$13,MATCH($A587,Month!$A$2:$A$13,0))-K587,I587)))</f>
        <v/>
      </c>
      <c r="N587">
        <f>IF(I587=0,0,MAX(0,MIN(INDEX(Month!I$2:I$13,MATCH($A587,Month!$A$2:$A$13,0))-K587,I587)))</f>
        <v/>
      </c>
      <c r="O587">
        <f>IF(I587=0,0,MAX(0,MIN(INDEX(Month!J$2:J$13,MATCH($A587,Month!$A$2:$A$13,0))-K587,I587)))</f>
        <v/>
      </c>
      <c r="P587">
        <f>IF(I587=0,0,(MIN(MAX(K587,0),L587)*W587+SUMPRODUCT((Calc!$A$2:$A$1001=A587)*Calc!$G$2:$G$1001*(((K587-(L587+Calc!$J$2:$J$1001))&gt;0)*((K587-(L587+Calc!$J$2:$J$1001))&lt;Calc!$F$2:$F$1001)*(K587-(L587+Calc!$J$2:$J$1001))+((K587-(L587+Calc!$J$2:$J$1001))&gt;=Calc!$F$2:$F$1001)*Calc!$F$2:$F$1001))))</f>
        <v/>
      </c>
      <c r="Q587">
        <f>IF(I587=0,0,(MIN(MAX((K587+M587),0),L587)*W587+SUMPRODUCT((Calc!$A$2:$A$1001=A587)*Calc!$G$2:$G$1001*((((K587+M587)-(L587+Calc!$J$2:$J$1001))&gt;0)*(((K587+M587)-(L587+Calc!$J$2:$J$1001))&lt;Calc!$F$2:$F$1001)*((K587+M587)-(L587+Calc!$J$2:$J$1001))+(((K587+M587)-(L587+Calc!$J$2:$J$1001))&gt;=Calc!$F$2:$F$1001)*Calc!$F$2:$F$1001))))</f>
        <v/>
      </c>
      <c r="R587">
        <f>IF(I587=0,0,(MIN(MAX((K587+N587),0),L587)*W587+SUMPRODUCT((Calc!$A$2:$A$1001=A587)*Calc!$G$2:$G$1001*((((K587+N587)-(L587+Calc!$J$2:$J$1001))&gt;0)*(((K587+N587)-(L587+Calc!$J$2:$J$1001))&lt;Calc!$F$2:$F$1001)*((K587+N587)-(L587+Calc!$J$2:$J$1001))+(((K587+N587)-(L587+Calc!$J$2:$J$1001))&gt;=Calc!$F$2:$F$1001)*Calc!$F$2:$F$1001))))</f>
        <v/>
      </c>
      <c r="S587">
        <f>IF(I587=0,0,(MIN(MAX((K587+O587),0),L587)*W587+SUMPRODUCT((Calc!$A$2:$A$1001=A587)*Calc!$G$2:$G$1001*((((K587+O587)-(L587+Calc!$J$2:$J$1001))&gt;0)*(((K587+O587)-(L587+Calc!$J$2:$J$1001))&lt;Calc!$F$2:$F$1001)*((K587+O587)-(L587+Calc!$J$2:$J$1001))+(((K587+O587)-(L587+Calc!$J$2:$J$1001))&gt;=Calc!$F$2:$F$1001)*Calc!$F$2:$F$1001))))</f>
        <v/>
      </c>
      <c r="T587">
        <f>IF(AND(E587=1,B587="RETURN"),Transactions!E587*Transactions!G587,0)</f>
        <v/>
      </c>
      <c r="U587">
        <f>IF(AND(E587=1,B587="EXPENSE"),Transactions!J587,0)</f>
        <v/>
      </c>
      <c r="V587">
        <f>IF(AND(Transactions!A587&lt;&gt;"",E587=0),ROW(),"")</f>
        <v/>
      </c>
      <c r="W587">
        <f>IFERROR(VLOOKUP(A587,Opening!$A:$D,4,0),0)</f>
        <v/>
      </c>
    </row>
    <row r="588">
      <c r="A588">
        <f>IF(Transactions!D588="","",UPPER(TRIM(Transactions!D588)))</f>
        <v/>
      </c>
      <c r="B588">
        <f>IF(Transactions!C588="","",UPPER(TRIM(Transactions!C588)))</f>
        <v/>
      </c>
      <c r="C588">
        <f>IF(Transactions!B588="",0,YEAR(Transactions!B588)*100+MONTH(Transactions!B588))</f>
        <v/>
      </c>
      <c r="D588">
        <f>IF(Transactions!A588="",1,IF(COUNTIF(Transactions!$A$1:A587,Transactions!A588)&gt;0,1,0))</f>
        <v/>
      </c>
      <c r="E588">
        <f>IF(D588=1,0,IF(B588="RETURN",IF(COUNTIFS($A$1:A587,A588,$B$1:B587,"SALE",$E$1:E587,1)&gt;0,1,0),1))</f>
        <v/>
      </c>
      <c r="F588">
        <f>IF(E588=1,IF(B588="RECEIPT",Transactions!E588,IF(AND(B588="RETURN",LOWER(TRIM(Transactions!H588))="resellable"),Transactions!E588,0)),0)</f>
        <v/>
      </c>
      <c r="G588">
        <f>IF(F588&gt;0,IF(B588="RECEIPT",Transactions!F588,IF(_xlfn.MAXIFS($H$2:H588,$A$2:A588,A588)&gt;0,INDEX(Transactions!$F:$F,_xlfn.MAXIFS($H$2:H588,$A$2:A588,A588)),W588)),0)</f>
        <v/>
      </c>
      <c r="H588">
        <f>IF(AND(E588=1,B588="RECEIPT"),ROW(),0)</f>
        <v/>
      </c>
      <c r="I588">
        <f>IF(E588=1,IF(OR(B588="SALE",B588="WRITEOFF"),Transactions!E588,0),0)</f>
        <v/>
      </c>
      <c r="J588">
        <f>SUMIFS($F$1:F587,$A$1:A587,A588)</f>
        <v/>
      </c>
      <c r="K588">
        <f>SUMIFS($I$1:I587,$A$1:A587,A588)</f>
        <v/>
      </c>
      <c r="L588">
        <f>IFERROR(VLOOKUP(A588,Opening!$A:$C,3,0),0)</f>
        <v/>
      </c>
      <c r="M588">
        <f>IF(I588=0,0,MAX(0,MIN(INDEX(Month!H$2:H$13,MATCH($A588,Month!$A$2:$A$13,0))-K588,I588)))</f>
        <v/>
      </c>
      <c r="N588">
        <f>IF(I588=0,0,MAX(0,MIN(INDEX(Month!I$2:I$13,MATCH($A588,Month!$A$2:$A$13,0))-K588,I588)))</f>
        <v/>
      </c>
      <c r="O588">
        <f>IF(I588=0,0,MAX(0,MIN(INDEX(Month!J$2:J$13,MATCH($A588,Month!$A$2:$A$13,0))-K588,I588)))</f>
        <v/>
      </c>
      <c r="P588">
        <f>IF(I588=0,0,(MIN(MAX(K588,0),L588)*W588+SUMPRODUCT((Calc!$A$2:$A$1001=A588)*Calc!$G$2:$G$1001*(((K588-(L588+Calc!$J$2:$J$1001))&gt;0)*((K588-(L588+Calc!$J$2:$J$1001))&lt;Calc!$F$2:$F$1001)*(K588-(L588+Calc!$J$2:$J$1001))+((K588-(L588+Calc!$J$2:$J$1001))&gt;=Calc!$F$2:$F$1001)*Calc!$F$2:$F$1001))))</f>
        <v/>
      </c>
      <c r="Q588">
        <f>IF(I588=0,0,(MIN(MAX((K588+M588),0),L588)*W588+SUMPRODUCT((Calc!$A$2:$A$1001=A588)*Calc!$G$2:$G$1001*((((K588+M588)-(L588+Calc!$J$2:$J$1001))&gt;0)*(((K588+M588)-(L588+Calc!$J$2:$J$1001))&lt;Calc!$F$2:$F$1001)*((K588+M588)-(L588+Calc!$J$2:$J$1001))+(((K588+M588)-(L588+Calc!$J$2:$J$1001))&gt;=Calc!$F$2:$F$1001)*Calc!$F$2:$F$1001))))</f>
        <v/>
      </c>
      <c r="R588">
        <f>IF(I588=0,0,(MIN(MAX((K588+N588),0),L588)*W588+SUMPRODUCT((Calc!$A$2:$A$1001=A588)*Calc!$G$2:$G$1001*((((K588+N588)-(L588+Calc!$J$2:$J$1001))&gt;0)*(((K588+N588)-(L588+Calc!$J$2:$J$1001))&lt;Calc!$F$2:$F$1001)*((K588+N588)-(L588+Calc!$J$2:$J$1001))+(((K588+N588)-(L588+Calc!$J$2:$J$1001))&gt;=Calc!$F$2:$F$1001)*Calc!$F$2:$F$1001))))</f>
        <v/>
      </c>
      <c r="S588">
        <f>IF(I588=0,0,(MIN(MAX((K588+O588),0),L588)*W588+SUMPRODUCT((Calc!$A$2:$A$1001=A588)*Calc!$G$2:$G$1001*((((K588+O588)-(L588+Calc!$J$2:$J$1001))&gt;0)*(((K588+O588)-(L588+Calc!$J$2:$J$1001))&lt;Calc!$F$2:$F$1001)*((K588+O588)-(L588+Calc!$J$2:$J$1001))+(((K588+O588)-(L588+Calc!$J$2:$J$1001))&gt;=Calc!$F$2:$F$1001)*Calc!$F$2:$F$1001))))</f>
        <v/>
      </c>
      <c r="T588">
        <f>IF(AND(E588=1,B588="RETURN"),Transactions!E588*Transactions!G588,0)</f>
        <v/>
      </c>
      <c r="U588">
        <f>IF(AND(E588=1,B588="EXPENSE"),Transactions!J588,0)</f>
        <v/>
      </c>
      <c r="V588">
        <f>IF(AND(Transactions!A588&lt;&gt;"",E588=0),ROW(),"")</f>
        <v/>
      </c>
      <c r="W588">
        <f>IFERROR(VLOOKUP(A588,Opening!$A:$D,4,0),0)</f>
        <v/>
      </c>
    </row>
    <row r="589">
      <c r="A589">
        <f>IF(Transactions!D589="","",UPPER(TRIM(Transactions!D589)))</f>
        <v/>
      </c>
      <c r="B589">
        <f>IF(Transactions!C589="","",UPPER(TRIM(Transactions!C589)))</f>
        <v/>
      </c>
      <c r="C589">
        <f>IF(Transactions!B589="",0,YEAR(Transactions!B589)*100+MONTH(Transactions!B589))</f>
        <v/>
      </c>
      <c r="D589">
        <f>IF(Transactions!A589="",1,IF(COUNTIF(Transactions!$A$1:A588,Transactions!A589)&gt;0,1,0))</f>
        <v/>
      </c>
      <c r="E589">
        <f>IF(D589=1,0,IF(B589="RETURN",IF(COUNTIFS($A$1:A588,A589,$B$1:B588,"SALE",$E$1:E588,1)&gt;0,1,0),1))</f>
        <v/>
      </c>
      <c r="F589">
        <f>IF(E589=1,IF(B589="RECEIPT",Transactions!E589,IF(AND(B589="RETURN",LOWER(TRIM(Transactions!H589))="resellable"),Transactions!E589,0)),0)</f>
        <v/>
      </c>
      <c r="G589">
        <f>IF(F589&gt;0,IF(B589="RECEIPT",Transactions!F589,IF(_xlfn.MAXIFS($H$2:H589,$A$2:A589,A589)&gt;0,INDEX(Transactions!$F:$F,_xlfn.MAXIFS($H$2:H589,$A$2:A589,A589)),W589)),0)</f>
        <v/>
      </c>
      <c r="H589">
        <f>IF(AND(E589=1,B589="RECEIPT"),ROW(),0)</f>
        <v/>
      </c>
      <c r="I589">
        <f>IF(E589=1,IF(OR(B589="SALE",B589="WRITEOFF"),Transactions!E589,0),0)</f>
        <v/>
      </c>
      <c r="J589">
        <f>SUMIFS($F$1:F588,$A$1:A588,A589)</f>
        <v/>
      </c>
      <c r="K589">
        <f>SUMIFS($I$1:I588,$A$1:A588,A589)</f>
        <v/>
      </c>
      <c r="L589">
        <f>IFERROR(VLOOKUP(A589,Opening!$A:$C,3,0),0)</f>
        <v/>
      </c>
      <c r="M589">
        <f>IF(I589=0,0,MAX(0,MIN(INDEX(Month!H$2:H$13,MATCH($A589,Month!$A$2:$A$13,0))-K589,I589)))</f>
        <v/>
      </c>
      <c r="N589">
        <f>IF(I589=0,0,MAX(0,MIN(INDEX(Month!I$2:I$13,MATCH($A589,Month!$A$2:$A$13,0))-K589,I589)))</f>
        <v/>
      </c>
      <c r="O589">
        <f>IF(I589=0,0,MAX(0,MIN(INDEX(Month!J$2:J$13,MATCH($A589,Month!$A$2:$A$13,0))-K589,I589)))</f>
        <v/>
      </c>
      <c r="P589">
        <f>IF(I589=0,0,(MIN(MAX(K589,0),L589)*W589+SUMPRODUCT((Calc!$A$2:$A$1001=A589)*Calc!$G$2:$G$1001*(((K589-(L589+Calc!$J$2:$J$1001))&gt;0)*((K589-(L589+Calc!$J$2:$J$1001))&lt;Calc!$F$2:$F$1001)*(K589-(L589+Calc!$J$2:$J$1001))+((K589-(L589+Calc!$J$2:$J$1001))&gt;=Calc!$F$2:$F$1001)*Calc!$F$2:$F$1001))))</f>
        <v/>
      </c>
      <c r="Q589">
        <f>IF(I589=0,0,(MIN(MAX((K589+M589),0),L589)*W589+SUMPRODUCT((Calc!$A$2:$A$1001=A589)*Calc!$G$2:$G$1001*((((K589+M589)-(L589+Calc!$J$2:$J$1001))&gt;0)*(((K589+M589)-(L589+Calc!$J$2:$J$1001))&lt;Calc!$F$2:$F$1001)*((K589+M589)-(L589+Calc!$J$2:$J$1001))+(((K589+M589)-(L589+Calc!$J$2:$J$1001))&gt;=Calc!$F$2:$F$1001)*Calc!$F$2:$F$1001))))</f>
        <v/>
      </c>
      <c r="R589">
        <f>IF(I589=0,0,(MIN(MAX((K589+N589),0),L589)*W589+SUMPRODUCT((Calc!$A$2:$A$1001=A589)*Calc!$G$2:$G$1001*((((K589+N589)-(L589+Calc!$J$2:$J$1001))&gt;0)*(((K589+N589)-(L589+Calc!$J$2:$J$1001))&lt;Calc!$F$2:$F$1001)*((K589+N589)-(L589+Calc!$J$2:$J$1001))+(((K589+N589)-(L589+Calc!$J$2:$J$1001))&gt;=Calc!$F$2:$F$1001)*Calc!$F$2:$F$1001))))</f>
        <v/>
      </c>
      <c r="S589">
        <f>IF(I589=0,0,(MIN(MAX((K589+O589),0),L589)*W589+SUMPRODUCT((Calc!$A$2:$A$1001=A589)*Calc!$G$2:$G$1001*((((K589+O589)-(L589+Calc!$J$2:$J$1001))&gt;0)*(((K589+O589)-(L589+Calc!$J$2:$J$1001))&lt;Calc!$F$2:$F$1001)*((K589+O589)-(L589+Calc!$J$2:$J$1001))+(((K589+O589)-(L589+Calc!$J$2:$J$1001))&gt;=Calc!$F$2:$F$1001)*Calc!$F$2:$F$1001))))</f>
        <v/>
      </c>
      <c r="T589">
        <f>IF(AND(E589=1,B589="RETURN"),Transactions!E589*Transactions!G589,0)</f>
        <v/>
      </c>
      <c r="U589">
        <f>IF(AND(E589=1,B589="EXPENSE"),Transactions!J589,0)</f>
        <v/>
      </c>
      <c r="V589">
        <f>IF(AND(Transactions!A589&lt;&gt;"",E589=0),ROW(),"")</f>
        <v/>
      </c>
      <c r="W589">
        <f>IFERROR(VLOOKUP(A589,Opening!$A:$D,4,0),0)</f>
        <v/>
      </c>
    </row>
    <row r="590">
      <c r="A590">
        <f>IF(Transactions!D590="","",UPPER(TRIM(Transactions!D590)))</f>
        <v/>
      </c>
      <c r="B590">
        <f>IF(Transactions!C590="","",UPPER(TRIM(Transactions!C590)))</f>
        <v/>
      </c>
      <c r="C590">
        <f>IF(Transactions!B590="",0,YEAR(Transactions!B590)*100+MONTH(Transactions!B590))</f>
        <v/>
      </c>
      <c r="D590">
        <f>IF(Transactions!A590="",1,IF(COUNTIF(Transactions!$A$1:A589,Transactions!A590)&gt;0,1,0))</f>
        <v/>
      </c>
      <c r="E590">
        <f>IF(D590=1,0,IF(B590="RETURN",IF(COUNTIFS($A$1:A589,A590,$B$1:B589,"SALE",$E$1:E589,1)&gt;0,1,0),1))</f>
        <v/>
      </c>
      <c r="F590">
        <f>IF(E590=1,IF(B590="RECEIPT",Transactions!E590,IF(AND(B590="RETURN",LOWER(TRIM(Transactions!H590))="resellable"),Transactions!E590,0)),0)</f>
        <v/>
      </c>
      <c r="G590">
        <f>IF(F590&gt;0,IF(B590="RECEIPT",Transactions!F590,IF(_xlfn.MAXIFS($H$2:H590,$A$2:A590,A590)&gt;0,INDEX(Transactions!$F:$F,_xlfn.MAXIFS($H$2:H590,$A$2:A590,A590)),W590)),0)</f>
        <v/>
      </c>
      <c r="H590">
        <f>IF(AND(E590=1,B590="RECEIPT"),ROW(),0)</f>
        <v/>
      </c>
      <c r="I590">
        <f>IF(E590=1,IF(OR(B590="SALE",B590="WRITEOFF"),Transactions!E590,0),0)</f>
        <v/>
      </c>
      <c r="J590">
        <f>SUMIFS($F$1:F589,$A$1:A589,A590)</f>
        <v/>
      </c>
      <c r="K590">
        <f>SUMIFS($I$1:I589,$A$1:A589,A590)</f>
        <v/>
      </c>
      <c r="L590">
        <f>IFERROR(VLOOKUP(A590,Opening!$A:$C,3,0),0)</f>
        <v/>
      </c>
      <c r="M590">
        <f>IF(I590=0,0,MAX(0,MIN(INDEX(Month!H$2:H$13,MATCH($A590,Month!$A$2:$A$13,0))-K590,I590)))</f>
        <v/>
      </c>
      <c r="N590">
        <f>IF(I590=0,0,MAX(0,MIN(INDEX(Month!I$2:I$13,MATCH($A590,Month!$A$2:$A$13,0))-K590,I590)))</f>
        <v/>
      </c>
      <c r="O590">
        <f>IF(I590=0,0,MAX(0,MIN(INDEX(Month!J$2:J$13,MATCH($A590,Month!$A$2:$A$13,0))-K590,I590)))</f>
        <v/>
      </c>
      <c r="P590">
        <f>IF(I590=0,0,(MIN(MAX(K590,0),L590)*W590+SUMPRODUCT((Calc!$A$2:$A$1001=A590)*Calc!$G$2:$G$1001*(((K590-(L590+Calc!$J$2:$J$1001))&gt;0)*((K590-(L590+Calc!$J$2:$J$1001))&lt;Calc!$F$2:$F$1001)*(K590-(L590+Calc!$J$2:$J$1001))+((K590-(L590+Calc!$J$2:$J$1001))&gt;=Calc!$F$2:$F$1001)*Calc!$F$2:$F$1001))))</f>
        <v/>
      </c>
      <c r="Q590">
        <f>IF(I590=0,0,(MIN(MAX((K590+M590),0),L590)*W590+SUMPRODUCT((Calc!$A$2:$A$1001=A590)*Calc!$G$2:$G$1001*((((K590+M590)-(L590+Calc!$J$2:$J$1001))&gt;0)*(((K590+M590)-(L590+Calc!$J$2:$J$1001))&lt;Calc!$F$2:$F$1001)*((K590+M590)-(L590+Calc!$J$2:$J$1001))+(((K590+M590)-(L590+Calc!$J$2:$J$1001))&gt;=Calc!$F$2:$F$1001)*Calc!$F$2:$F$1001))))</f>
        <v/>
      </c>
      <c r="R590">
        <f>IF(I590=0,0,(MIN(MAX((K590+N590),0),L590)*W590+SUMPRODUCT((Calc!$A$2:$A$1001=A590)*Calc!$G$2:$G$1001*((((K590+N590)-(L590+Calc!$J$2:$J$1001))&gt;0)*(((K590+N590)-(L590+Calc!$J$2:$J$1001))&lt;Calc!$F$2:$F$1001)*((K590+N590)-(L590+Calc!$J$2:$J$1001))+(((K590+N590)-(L590+Calc!$J$2:$J$1001))&gt;=Calc!$F$2:$F$1001)*Calc!$F$2:$F$1001))))</f>
        <v/>
      </c>
      <c r="S590">
        <f>IF(I590=0,0,(MIN(MAX((K590+O590),0),L590)*W590+SUMPRODUCT((Calc!$A$2:$A$1001=A590)*Calc!$G$2:$G$1001*((((K590+O590)-(L590+Calc!$J$2:$J$1001))&gt;0)*(((K590+O590)-(L590+Calc!$J$2:$J$1001))&lt;Calc!$F$2:$F$1001)*((K590+O590)-(L590+Calc!$J$2:$J$1001))+(((K590+O590)-(L590+Calc!$J$2:$J$1001))&gt;=Calc!$F$2:$F$1001)*Calc!$F$2:$F$1001))))</f>
        <v/>
      </c>
      <c r="T590">
        <f>IF(AND(E590=1,B590="RETURN"),Transactions!E590*Transactions!G590,0)</f>
        <v/>
      </c>
      <c r="U590">
        <f>IF(AND(E590=1,B590="EXPENSE"),Transactions!J590,0)</f>
        <v/>
      </c>
      <c r="V590">
        <f>IF(AND(Transactions!A590&lt;&gt;"",E590=0),ROW(),"")</f>
        <v/>
      </c>
      <c r="W590">
        <f>IFERROR(VLOOKUP(A590,Opening!$A:$D,4,0),0)</f>
        <v/>
      </c>
    </row>
    <row r="591">
      <c r="A591">
        <f>IF(Transactions!D591="","",UPPER(TRIM(Transactions!D591)))</f>
        <v/>
      </c>
      <c r="B591">
        <f>IF(Transactions!C591="","",UPPER(TRIM(Transactions!C591)))</f>
        <v/>
      </c>
      <c r="C591">
        <f>IF(Transactions!B591="",0,YEAR(Transactions!B591)*100+MONTH(Transactions!B591))</f>
        <v/>
      </c>
      <c r="D591">
        <f>IF(Transactions!A591="",1,IF(COUNTIF(Transactions!$A$1:A590,Transactions!A591)&gt;0,1,0))</f>
        <v/>
      </c>
      <c r="E591">
        <f>IF(D591=1,0,IF(B591="RETURN",IF(COUNTIFS($A$1:A590,A591,$B$1:B590,"SALE",$E$1:E590,1)&gt;0,1,0),1))</f>
        <v/>
      </c>
      <c r="F591">
        <f>IF(E591=1,IF(B591="RECEIPT",Transactions!E591,IF(AND(B591="RETURN",LOWER(TRIM(Transactions!H591))="resellable"),Transactions!E591,0)),0)</f>
        <v/>
      </c>
      <c r="G591">
        <f>IF(F591&gt;0,IF(B591="RECEIPT",Transactions!F591,IF(_xlfn.MAXIFS($H$2:H591,$A$2:A591,A591)&gt;0,INDEX(Transactions!$F:$F,_xlfn.MAXIFS($H$2:H591,$A$2:A591,A591)),W591)),0)</f>
        <v/>
      </c>
      <c r="H591">
        <f>IF(AND(E591=1,B591="RECEIPT"),ROW(),0)</f>
        <v/>
      </c>
      <c r="I591">
        <f>IF(E591=1,IF(OR(B591="SALE",B591="WRITEOFF"),Transactions!E591,0),0)</f>
        <v/>
      </c>
      <c r="J591">
        <f>SUMIFS($F$1:F590,$A$1:A590,A591)</f>
        <v/>
      </c>
      <c r="K591">
        <f>SUMIFS($I$1:I590,$A$1:A590,A591)</f>
        <v/>
      </c>
      <c r="L591">
        <f>IFERROR(VLOOKUP(A591,Opening!$A:$C,3,0),0)</f>
        <v/>
      </c>
      <c r="M591">
        <f>IF(I591=0,0,MAX(0,MIN(INDEX(Month!H$2:H$13,MATCH($A591,Month!$A$2:$A$13,0))-K591,I591)))</f>
        <v/>
      </c>
      <c r="N591">
        <f>IF(I591=0,0,MAX(0,MIN(INDEX(Month!I$2:I$13,MATCH($A591,Month!$A$2:$A$13,0))-K591,I591)))</f>
        <v/>
      </c>
      <c r="O591">
        <f>IF(I591=0,0,MAX(0,MIN(INDEX(Month!J$2:J$13,MATCH($A591,Month!$A$2:$A$13,0))-K591,I591)))</f>
        <v/>
      </c>
      <c r="P591">
        <f>IF(I591=0,0,(MIN(MAX(K591,0),L591)*W591+SUMPRODUCT((Calc!$A$2:$A$1001=A591)*Calc!$G$2:$G$1001*(((K591-(L591+Calc!$J$2:$J$1001))&gt;0)*((K591-(L591+Calc!$J$2:$J$1001))&lt;Calc!$F$2:$F$1001)*(K591-(L591+Calc!$J$2:$J$1001))+((K591-(L591+Calc!$J$2:$J$1001))&gt;=Calc!$F$2:$F$1001)*Calc!$F$2:$F$1001))))</f>
        <v/>
      </c>
      <c r="Q591">
        <f>IF(I591=0,0,(MIN(MAX((K591+M591),0),L591)*W591+SUMPRODUCT((Calc!$A$2:$A$1001=A591)*Calc!$G$2:$G$1001*((((K591+M591)-(L591+Calc!$J$2:$J$1001))&gt;0)*(((K591+M591)-(L591+Calc!$J$2:$J$1001))&lt;Calc!$F$2:$F$1001)*((K591+M591)-(L591+Calc!$J$2:$J$1001))+(((K591+M591)-(L591+Calc!$J$2:$J$1001))&gt;=Calc!$F$2:$F$1001)*Calc!$F$2:$F$1001))))</f>
        <v/>
      </c>
      <c r="R591">
        <f>IF(I591=0,0,(MIN(MAX((K591+N591),0),L591)*W591+SUMPRODUCT((Calc!$A$2:$A$1001=A591)*Calc!$G$2:$G$1001*((((K591+N591)-(L591+Calc!$J$2:$J$1001))&gt;0)*(((K591+N591)-(L591+Calc!$J$2:$J$1001))&lt;Calc!$F$2:$F$1001)*((K591+N591)-(L591+Calc!$J$2:$J$1001))+(((K591+N591)-(L591+Calc!$J$2:$J$1001))&gt;=Calc!$F$2:$F$1001)*Calc!$F$2:$F$1001))))</f>
        <v/>
      </c>
      <c r="S591">
        <f>IF(I591=0,0,(MIN(MAX((K591+O591),0),L591)*W591+SUMPRODUCT((Calc!$A$2:$A$1001=A591)*Calc!$G$2:$G$1001*((((K591+O591)-(L591+Calc!$J$2:$J$1001))&gt;0)*(((K591+O591)-(L591+Calc!$J$2:$J$1001))&lt;Calc!$F$2:$F$1001)*((K591+O591)-(L591+Calc!$J$2:$J$1001))+(((K591+O591)-(L591+Calc!$J$2:$J$1001))&gt;=Calc!$F$2:$F$1001)*Calc!$F$2:$F$1001))))</f>
        <v/>
      </c>
      <c r="T591">
        <f>IF(AND(E591=1,B591="RETURN"),Transactions!E591*Transactions!G591,0)</f>
        <v/>
      </c>
      <c r="U591">
        <f>IF(AND(E591=1,B591="EXPENSE"),Transactions!J591,0)</f>
        <v/>
      </c>
      <c r="V591">
        <f>IF(AND(Transactions!A591&lt;&gt;"",E591=0),ROW(),"")</f>
        <v/>
      </c>
      <c r="W591">
        <f>IFERROR(VLOOKUP(A591,Opening!$A:$D,4,0),0)</f>
        <v/>
      </c>
    </row>
    <row r="592">
      <c r="A592">
        <f>IF(Transactions!D592="","",UPPER(TRIM(Transactions!D592)))</f>
        <v/>
      </c>
      <c r="B592">
        <f>IF(Transactions!C592="","",UPPER(TRIM(Transactions!C592)))</f>
        <v/>
      </c>
      <c r="C592">
        <f>IF(Transactions!B592="",0,YEAR(Transactions!B592)*100+MONTH(Transactions!B592))</f>
        <v/>
      </c>
      <c r="D592">
        <f>IF(Transactions!A592="",1,IF(COUNTIF(Transactions!$A$1:A591,Transactions!A592)&gt;0,1,0))</f>
        <v/>
      </c>
      <c r="E592">
        <f>IF(D592=1,0,IF(B592="RETURN",IF(COUNTIFS($A$1:A591,A592,$B$1:B591,"SALE",$E$1:E591,1)&gt;0,1,0),1))</f>
        <v/>
      </c>
      <c r="F592">
        <f>IF(E592=1,IF(B592="RECEIPT",Transactions!E592,IF(AND(B592="RETURN",LOWER(TRIM(Transactions!H592))="resellable"),Transactions!E592,0)),0)</f>
        <v/>
      </c>
      <c r="G592">
        <f>IF(F592&gt;0,IF(B592="RECEIPT",Transactions!F592,IF(_xlfn.MAXIFS($H$2:H592,$A$2:A592,A592)&gt;0,INDEX(Transactions!$F:$F,_xlfn.MAXIFS($H$2:H592,$A$2:A592,A592)),W592)),0)</f>
        <v/>
      </c>
      <c r="H592">
        <f>IF(AND(E592=1,B592="RECEIPT"),ROW(),0)</f>
        <v/>
      </c>
      <c r="I592">
        <f>IF(E592=1,IF(OR(B592="SALE",B592="WRITEOFF"),Transactions!E592,0),0)</f>
        <v/>
      </c>
      <c r="J592">
        <f>SUMIFS($F$1:F591,$A$1:A591,A592)</f>
        <v/>
      </c>
      <c r="K592">
        <f>SUMIFS($I$1:I591,$A$1:A591,A592)</f>
        <v/>
      </c>
      <c r="L592">
        <f>IFERROR(VLOOKUP(A592,Opening!$A:$C,3,0),0)</f>
        <v/>
      </c>
      <c r="M592">
        <f>IF(I592=0,0,MAX(0,MIN(INDEX(Month!H$2:H$13,MATCH($A592,Month!$A$2:$A$13,0))-K592,I592)))</f>
        <v/>
      </c>
      <c r="N592">
        <f>IF(I592=0,0,MAX(0,MIN(INDEX(Month!I$2:I$13,MATCH($A592,Month!$A$2:$A$13,0))-K592,I592)))</f>
        <v/>
      </c>
      <c r="O592">
        <f>IF(I592=0,0,MAX(0,MIN(INDEX(Month!J$2:J$13,MATCH($A592,Month!$A$2:$A$13,0))-K592,I592)))</f>
        <v/>
      </c>
      <c r="P592">
        <f>IF(I592=0,0,(MIN(MAX(K592,0),L592)*W592+SUMPRODUCT((Calc!$A$2:$A$1001=A592)*Calc!$G$2:$G$1001*(((K592-(L592+Calc!$J$2:$J$1001))&gt;0)*((K592-(L592+Calc!$J$2:$J$1001))&lt;Calc!$F$2:$F$1001)*(K592-(L592+Calc!$J$2:$J$1001))+((K592-(L592+Calc!$J$2:$J$1001))&gt;=Calc!$F$2:$F$1001)*Calc!$F$2:$F$1001))))</f>
        <v/>
      </c>
      <c r="Q592">
        <f>IF(I592=0,0,(MIN(MAX((K592+M592),0),L592)*W592+SUMPRODUCT((Calc!$A$2:$A$1001=A592)*Calc!$G$2:$G$1001*((((K592+M592)-(L592+Calc!$J$2:$J$1001))&gt;0)*(((K592+M592)-(L592+Calc!$J$2:$J$1001))&lt;Calc!$F$2:$F$1001)*((K592+M592)-(L592+Calc!$J$2:$J$1001))+(((K592+M592)-(L592+Calc!$J$2:$J$1001))&gt;=Calc!$F$2:$F$1001)*Calc!$F$2:$F$1001))))</f>
        <v/>
      </c>
      <c r="R592">
        <f>IF(I592=0,0,(MIN(MAX((K592+N592),0),L592)*W592+SUMPRODUCT((Calc!$A$2:$A$1001=A592)*Calc!$G$2:$G$1001*((((K592+N592)-(L592+Calc!$J$2:$J$1001))&gt;0)*(((K592+N592)-(L592+Calc!$J$2:$J$1001))&lt;Calc!$F$2:$F$1001)*((K592+N592)-(L592+Calc!$J$2:$J$1001))+(((K592+N592)-(L592+Calc!$J$2:$J$1001))&gt;=Calc!$F$2:$F$1001)*Calc!$F$2:$F$1001))))</f>
        <v/>
      </c>
      <c r="S592">
        <f>IF(I592=0,0,(MIN(MAX((K592+O592),0),L592)*W592+SUMPRODUCT((Calc!$A$2:$A$1001=A592)*Calc!$G$2:$G$1001*((((K592+O592)-(L592+Calc!$J$2:$J$1001))&gt;0)*(((K592+O592)-(L592+Calc!$J$2:$J$1001))&lt;Calc!$F$2:$F$1001)*((K592+O592)-(L592+Calc!$J$2:$J$1001))+(((K592+O592)-(L592+Calc!$J$2:$J$1001))&gt;=Calc!$F$2:$F$1001)*Calc!$F$2:$F$1001))))</f>
        <v/>
      </c>
      <c r="T592">
        <f>IF(AND(E592=1,B592="RETURN"),Transactions!E592*Transactions!G592,0)</f>
        <v/>
      </c>
      <c r="U592">
        <f>IF(AND(E592=1,B592="EXPENSE"),Transactions!J592,0)</f>
        <v/>
      </c>
      <c r="V592">
        <f>IF(AND(Transactions!A592&lt;&gt;"",E592=0),ROW(),"")</f>
        <v/>
      </c>
      <c r="W592">
        <f>IFERROR(VLOOKUP(A592,Opening!$A:$D,4,0),0)</f>
        <v/>
      </c>
    </row>
    <row r="593">
      <c r="A593">
        <f>IF(Transactions!D593="","",UPPER(TRIM(Transactions!D593)))</f>
        <v/>
      </c>
      <c r="B593">
        <f>IF(Transactions!C593="","",UPPER(TRIM(Transactions!C593)))</f>
        <v/>
      </c>
      <c r="C593">
        <f>IF(Transactions!B593="",0,YEAR(Transactions!B593)*100+MONTH(Transactions!B593))</f>
        <v/>
      </c>
      <c r="D593">
        <f>IF(Transactions!A593="",1,IF(COUNTIF(Transactions!$A$1:A592,Transactions!A593)&gt;0,1,0))</f>
        <v/>
      </c>
      <c r="E593">
        <f>IF(D593=1,0,IF(B593="RETURN",IF(COUNTIFS($A$1:A592,A593,$B$1:B592,"SALE",$E$1:E592,1)&gt;0,1,0),1))</f>
        <v/>
      </c>
      <c r="F593">
        <f>IF(E593=1,IF(B593="RECEIPT",Transactions!E593,IF(AND(B593="RETURN",LOWER(TRIM(Transactions!H593))="resellable"),Transactions!E593,0)),0)</f>
        <v/>
      </c>
      <c r="G593">
        <f>IF(F593&gt;0,IF(B593="RECEIPT",Transactions!F593,IF(_xlfn.MAXIFS($H$2:H593,$A$2:A593,A593)&gt;0,INDEX(Transactions!$F:$F,_xlfn.MAXIFS($H$2:H593,$A$2:A593,A593)),W593)),0)</f>
        <v/>
      </c>
      <c r="H593">
        <f>IF(AND(E593=1,B593="RECEIPT"),ROW(),0)</f>
        <v/>
      </c>
      <c r="I593">
        <f>IF(E593=1,IF(OR(B593="SALE",B593="WRITEOFF"),Transactions!E593,0),0)</f>
        <v/>
      </c>
      <c r="J593">
        <f>SUMIFS($F$1:F592,$A$1:A592,A593)</f>
        <v/>
      </c>
      <c r="K593">
        <f>SUMIFS($I$1:I592,$A$1:A592,A593)</f>
        <v/>
      </c>
      <c r="L593">
        <f>IFERROR(VLOOKUP(A593,Opening!$A:$C,3,0),0)</f>
        <v/>
      </c>
      <c r="M593">
        <f>IF(I593=0,0,MAX(0,MIN(INDEX(Month!H$2:H$13,MATCH($A593,Month!$A$2:$A$13,0))-K593,I593)))</f>
        <v/>
      </c>
      <c r="N593">
        <f>IF(I593=0,0,MAX(0,MIN(INDEX(Month!I$2:I$13,MATCH($A593,Month!$A$2:$A$13,0))-K593,I593)))</f>
        <v/>
      </c>
      <c r="O593">
        <f>IF(I593=0,0,MAX(0,MIN(INDEX(Month!J$2:J$13,MATCH($A593,Month!$A$2:$A$13,0))-K593,I593)))</f>
        <v/>
      </c>
      <c r="P593">
        <f>IF(I593=0,0,(MIN(MAX(K593,0),L593)*W593+SUMPRODUCT((Calc!$A$2:$A$1001=A593)*Calc!$G$2:$G$1001*(((K593-(L593+Calc!$J$2:$J$1001))&gt;0)*((K593-(L593+Calc!$J$2:$J$1001))&lt;Calc!$F$2:$F$1001)*(K593-(L593+Calc!$J$2:$J$1001))+((K593-(L593+Calc!$J$2:$J$1001))&gt;=Calc!$F$2:$F$1001)*Calc!$F$2:$F$1001))))</f>
        <v/>
      </c>
      <c r="Q593">
        <f>IF(I593=0,0,(MIN(MAX((K593+M593),0),L593)*W593+SUMPRODUCT((Calc!$A$2:$A$1001=A593)*Calc!$G$2:$G$1001*((((K593+M593)-(L593+Calc!$J$2:$J$1001))&gt;0)*(((K593+M593)-(L593+Calc!$J$2:$J$1001))&lt;Calc!$F$2:$F$1001)*((K593+M593)-(L593+Calc!$J$2:$J$1001))+(((K593+M593)-(L593+Calc!$J$2:$J$1001))&gt;=Calc!$F$2:$F$1001)*Calc!$F$2:$F$1001))))</f>
        <v/>
      </c>
      <c r="R593">
        <f>IF(I593=0,0,(MIN(MAX((K593+N593),0),L593)*W593+SUMPRODUCT((Calc!$A$2:$A$1001=A593)*Calc!$G$2:$G$1001*((((K593+N593)-(L593+Calc!$J$2:$J$1001))&gt;0)*(((K593+N593)-(L593+Calc!$J$2:$J$1001))&lt;Calc!$F$2:$F$1001)*((K593+N593)-(L593+Calc!$J$2:$J$1001))+(((K593+N593)-(L593+Calc!$J$2:$J$1001))&gt;=Calc!$F$2:$F$1001)*Calc!$F$2:$F$1001))))</f>
        <v/>
      </c>
      <c r="S593">
        <f>IF(I593=0,0,(MIN(MAX((K593+O593),0),L593)*W593+SUMPRODUCT((Calc!$A$2:$A$1001=A593)*Calc!$G$2:$G$1001*((((K593+O593)-(L593+Calc!$J$2:$J$1001))&gt;0)*(((K593+O593)-(L593+Calc!$J$2:$J$1001))&lt;Calc!$F$2:$F$1001)*((K593+O593)-(L593+Calc!$J$2:$J$1001))+(((K593+O593)-(L593+Calc!$J$2:$J$1001))&gt;=Calc!$F$2:$F$1001)*Calc!$F$2:$F$1001))))</f>
        <v/>
      </c>
      <c r="T593">
        <f>IF(AND(E593=1,B593="RETURN"),Transactions!E593*Transactions!G593,0)</f>
        <v/>
      </c>
      <c r="U593">
        <f>IF(AND(E593=1,B593="EXPENSE"),Transactions!J593,0)</f>
        <v/>
      </c>
      <c r="V593">
        <f>IF(AND(Transactions!A593&lt;&gt;"",E593=0),ROW(),"")</f>
        <v/>
      </c>
      <c r="W593">
        <f>IFERROR(VLOOKUP(A593,Opening!$A:$D,4,0),0)</f>
        <v/>
      </c>
    </row>
    <row r="594">
      <c r="A594">
        <f>IF(Transactions!D594="","",UPPER(TRIM(Transactions!D594)))</f>
        <v/>
      </c>
      <c r="B594">
        <f>IF(Transactions!C594="","",UPPER(TRIM(Transactions!C594)))</f>
        <v/>
      </c>
      <c r="C594">
        <f>IF(Transactions!B594="",0,YEAR(Transactions!B594)*100+MONTH(Transactions!B594))</f>
        <v/>
      </c>
      <c r="D594">
        <f>IF(Transactions!A594="",1,IF(COUNTIF(Transactions!$A$1:A593,Transactions!A594)&gt;0,1,0))</f>
        <v/>
      </c>
      <c r="E594">
        <f>IF(D594=1,0,IF(B594="RETURN",IF(COUNTIFS($A$1:A593,A594,$B$1:B593,"SALE",$E$1:E593,1)&gt;0,1,0),1))</f>
        <v/>
      </c>
      <c r="F594">
        <f>IF(E594=1,IF(B594="RECEIPT",Transactions!E594,IF(AND(B594="RETURN",LOWER(TRIM(Transactions!H594))="resellable"),Transactions!E594,0)),0)</f>
        <v/>
      </c>
      <c r="G594">
        <f>IF(F594&gt;0,IF(B594="RECEIPT",Transactions!F594,IF(_xlfn.MAXIFS($H$2:H594,$A$2:A594,A594)&gt;0,INDEX(Transactions!$F:$F,_xlfn.MAXIFS($H$2:H594,$A$2:A594,A594)),W594)),0)</f>
        <v/>
      </c>
      <c r="H594">
        <f>IF(AND(E594=1,B594="RECEIPT"),ROW(),0)</f>
        <v/>
      </c>
      <c r="I594">
        <f>IF(E594=1,IF(OR(B594="SALE",B594="WRITEOFF"),Transactions!E594,0),0)</f>
        <v/>
      </c>
      <c r="J594">
        <f>SUMIFS($F$1:F593,$A$1:A593,A594)</f>
        <v/>
      </c>
      <c r="K594">
        <f>SUMIFS($I$1:I593,$A$1:A593,A594)</f>
        <v/>
      </c>
      <c r="L594">
        <f>IFERROR(VLOOKUP(A594,Opening!$A:$C,3,0),0)</f>
        <v/>
      </c>
      <c r="M594">
        <f>IF(I594=0,0,MAX(0,MIN(INDEX(Month!H$2:H$13,MATCH($A594,Month!$A$2:$A$13,0))-K594,I594)))</f>
        <v/>
      </c>
      <c r="N594">
        <f>IF(I594=0,0,MAX(0,MIN(INDEX(Month!I$2:I$13,MATCH($A594,Month!$A$2:$A$13,0))-K594,I594)))</f>
        <v/>
      </c>
      <c r="O594">
        <f>IF(I594=0,0,MAX(0,MIN(INDEX(Month!J$2:J$13,MATCH($A594,Month!$A$2:$A$13,0))-K594,I594)))</f>
        <v/>
      </c>
      <c r="P594">
        <f>IF(I594=0,0,(MIN(MAX(K594,0),L594)*W594+SUMPRODUCT((Calc!$A$2:$A$1001=A594)*Calc!$G$2:$G$1001*(((K594-(L594+Calc!$J$2:$J$1001))&gt;0)*((K594-(L594+Calc!$J$2:$J$1001))&lt;Calc!$F$2:$F$1001)*(K594-(L594+Calc!$J$2:$J$1001))+((K594-(L594+Calc!$J$2:$J$1001))&gt;=Calc!$F$2:$F$1001)*Calc!$F$2:$F$1001))))</f>
        <v/>
      </c>
      <c r="Q594">
        <f>IF(I594=0,0,(MIN(MAX((K594+M594),0),L594)*W594+SUMPRODUCT((Calc!$A$2:$A$1001=A594)*Calc!$G$2:$G$1001*((((K594+M594)-(L594+Calc!$J$2:$J$1001))&gt;0)*(((K594+M594)-(L594+Calc!$J$2:$J$1001))&lt;Calc!$F$2:$F$1001)*((K594+M594)-(L594+Calc!$J$2:$J$1001))+(((K594+M594)-(L594+Calc!$J$2:$J$1001))&gt;=Calc!$F$2:$F$1001)*Calc!$F$2:$F$1001))))</f>
        <v/>
      </c>
      <c r="R594">
        <f>IF(I594=0,0,(MIN(MAX((K594+N594),0),L594)*W594+SUMPRODUCT((Calc!$A$2:$A$1001=A594)*Calc!$G$2:$G$1001*((((K594+N594)-(L594+Calc!$J$2:$J$1001))&gt;0)*(((K594+N594)-(L594+Calc!$J$2:$J$1001))&lt;Calc!$F$2:$F$1001)*((K594+N594)-(L594+Calc!$J$2:$J$1001))+(((K594+N594)-(L594+Calc!$J$2:$J$1001))&gt;=Calc!$F$2:$F$1001)*Calc!$F$2:$F$1001))))</f>
        <v/>
      </c>
      <c r="S594">
        <f>IF(I594=0,0,(MIN(MAX((K594+O594),0),L594)*W594+SUMPRODUCT((Calc!$A$2:$A$1001=A594)*Calc!$G$2:$G$1001*((((K594+O594)-(L594+Calc!$J$2:$J$1001))&gt;0)*(((K594+O594)-(L594+Calc!$J$2:$J$1001))&lt;Calc!$F$2:$F$1001)*((K594+O594)-(L594+Calc!$J$2:$J$1001))+(((K594+O594)-(L594+Calc!$J$2:$J$1001))&gt;=Calc!$F$2:$F$1001)*Calc!$F$2:$F$1001))))</f>
        <v/>
      </c>
      <c r="T594">
        <f>IF(AND(E594=1,B594="RETURN"),Transactions!E594*Transactions!G594,0)</f>
        <v/>
      </c>
      <c r="U594">
        <f>IF(AND(E594=1,B594="EXPENSE"),Transactions!J594,0)</f>
        <v/>
      </c>
      <c r="V594">
        <f>IF(AND(Transactions!A594&lt;&gt;"",E594=0),ROW(),"")</f>
        <v/>
      </c>
      <c r="W594">
        <f>IFERROR(VLOOKUP(A594,Opening!$A:$D,4,0),0)</f>
        <v/>
      </c>
    </row>
    <row r="595">
      <c r="A595">
        <f>IF(Transactions!D595="","",UPPER(TRIM(Transactions!D595)))</f>
        <v/>
      </c>
      <c r="B595">
        <f>IF(Transactions!C595="","",UPPER(TRIM(Transactions!C595)))</f>
        <v/>
      </c>
      <c r="C595">
        <f>IF(Transactions!B595="",0,YEAR(Transactions!B595)*100+MONTH(Transactions!B595))</f>
        <v/>
      </c>
      <c r="D595">
        <f>IF(Transactions!A595="",1,IF(COUNTIF(Transactions!$A$1:A594,Transactions!A595)&gt;0,1,0))</f>
        <v/>
      </c>
      <c r="E595">
        <f>IF(D595=1,0,IF(B595="RETURN",IF(COUNTIFS($A$1:A594,A595,$B$1:B594,"SALE",$E$1:E594,1)&gt;0,1,0),1))</f>
        <v/>
      </c>
      <c r="F595">
        <f>IF(E595=1,IF(B595="RECEIPT",Transactions!E595,IF(AND(B595="RETURN",LOWER(TRIM(Transactions!H595))="resellable"),Transactions!E595,0)),0)</f>
        <v/>
      </c>
      <c r="G595">
        <f>IF(F595&gt;0,IF(B595="RECEIPT",Transactions!F595,IF(_xlfn.MAXIFS($H$2:H595,$A$2:A595,A595)&gt;0,INDEX(Transactions!$F:$F,_xlfn.MAXIFS($H$2:H595,$A$2:A595,A595)),W595)),0)</f>
        <v/>
      </c>
      <c r="H595">
        <f>IF(AND(E595=1,B595="RECEIPT"),ROW(),0)</f>
        <v/>
      </c>
      <c r="I595">
        <f>IF(E595=1,IF(OR(B595="SALE",B595="WRITEOFF"),Transactions!E595,0),0)</f>
        <v/>
      </c>
      <c r="J595">
        <f>SUMIFS($F$1:F594,$A$1:A594,A595)</f>
        <v/>
      </c>
      <c r="K595">
        <f>SUMIFS($I$1:I594,$A$1:A594,A595)</f>
        <v/>
      </c>
      <c r="L595">
        <f>IFERROR(VLOOKUP(A595,Opening!$A:$C,3,0),0)</f>
        <v/>
      </c>
      <c r="M595">
        <f>IF(I595=0,0,MAX(0,MIN(INDEX(Month!H$2:H$13,MATCH($A595,Month!$A$2:$A$13,0))-K595,I595)))</f>
        <v/>
      </c>
      <c r="N595">
        <f>IF(I595=0,0,MAX(0,MIN(INDEX(Month!I$2:I$13,MATCH($A595,Month!$A$2:$A$13,0))-K595,I595)))</f>
        <v/>
      </c>
      <c r="O595">
        <f>IF(I595=0,0,MAX(0,MIN(INDEX(Month!J$2:J$13,MATCH($A595,Month!$A$2:$A$13,0))-K595,I595)))</f>
        <v/>
      </c>
      <c r="P595">
        <f>IF(I595=0,0,(MIN(MAX(K595,0),L595)*W595+SUMPRODUCT((Calc!$A$2:$A$1001=A595)*Calc!$G$2:$G$1001*(((K595-(L595+Calc!$J$2:$J$1001))&gt;0)*((K595-(L595+Calc!$J$2:$J$1001))&lt;Calc!$F$2:$F$1001)*(K595-(L595+Calc!$J$2:$J$1001))+((K595-(L595+Calc!$J$2:$J$1001))&gt;=Calc!$F$2:$F$1001)*Calc!$F$2:$F$1001))))</f>
        <v/>
      </c>
      <c r="Q595">
        <f>IF(I595=0,0,(MIN(MAX((K595+M595),0),L595)*W595+SUMPRODUCT((Calc!$A$2:$A$1001=A595)*Calc!$G$2:$G$1001*((((K595+M595)-(L595+Calc!$J$2:$J$1001))&gt;0)*(((K595+M595)-(L595+Calc!$J$2:$J$1001))&lt;Calc!$F$2:$F$1001)*((K595+M595)-(L595+Calc!$J$2:$J$1001))+(((K595+M595)-(L595+Calc!$J$2:$J$1001))&gt;=Calc!$F$2:$F$1001)*Calc!$F$2:$F$1001))))</f>
        <v/>
      </c>
      <c r="R595">
        <f>IF(I595=0,0,(MIN(MAX((K595+N595),0),L595)*W595+SUMPRODUCT((Calc!$A$2:$A$1001=A595)*Calc!$G$2:$G$1001*((((K595+N595)-(L595+Calc!$J$2:$J$1001))&gt;0)*(((K595+N595)-(L595+Calc!$J$2:$J$1001))&lt;Calc!$F$2:$F$1001)*((K595+N595)-(L595+Calc!$J$2:$J$1001))+(((K595+N595)-(L595+Calc!$J$2:$J$1001))&gt;=Calc!$F$2:$F$1001)*Calc!$F$2:$F$1001))))</f>
        <v/>
      </c>
      <c r="S595">
        <f>IF(I595=0,0,(MIN(MAX((K595+O595),0),L595)*W595+SUMPRODUCT((Calc!$A$2:$A$1001=A595)*Calc!$G$2:$G$1001*((((K595+O595)-(L595+Calc!$J$2:$J$1001))&gt;0)*(((K595+O595)-(L595+Calc!$J$2:$J$1001))&lt;Calc!$F$2:$F$1001)*((K595+O595)-(L595+Calc!$J$2:$J$1001))+(((K595+O595)-(L595+Calc!$J$2:$J$1001))&gt;=Calc!$F$2:$F$1001)*Calc!$F$2:$F$1001))))</f>
        <v/>
      </c>
      <c r="T595">
        <f>IF(AND(E595=1,B595="RETURN"),Transactions!E595*Transactions!G595,0)</f>
        <v/>
      </c>
      <c r="U595">
        <f>IF(AND(E595=1,B595="EXPENSE"),Transactions!J595,0)</f>
        <v/>
      </c>
      <c r="V595">
        <f>IF(AND(Transactions!A595&lt;&gt;"",E595=0),ROW(),"")</f>
        <v/>
      </c>
      <c r="W595">
        <f>IFERROR(VLOOKUP(A595,Opening!$A:$D,4,0),0)</f>
        <v/>
      </c>
    </row>
    <row r="596">
      <c r="A596">
        <f>IF(Transactions!D596="","",UPPER(TRIM(Transactions!D596)))</f>
        <v/>
      </c>
      <c r="B596">
        <f>IF(Transactions!C596="","",UPPER(TRIM(Transactions!C596)))</f>
        <v/>
      </c>
      <c r="C596">
        <f>IF(Transactions!B596="",0,YEAR(Transactions!B596)*100+MONTH(Transactions!B596))</f>
        <v/>
      </c>
      <c r="D596">
        <f>IF(Transactions!A596="",1,IF(COUNTIF(Transactions!$A$1:A595,Transactions!A596)&gt;0,1,0))</f>
        <v/>
      </c>
      <c r="E596">
        <f>IF(D596=1,0,IF(B596="RETURN",IF(COUNTIFS($A$1:A595,A596,$B$1:B595,"SALE",$E$1:E595,1)&gt;0,1,0),1))</f>
        <v/>
      </c>
      <c r="F596">
        <f>IF(E596=1,IF(B596="RECEIPT",Transactions!E596,IF(AND(B596="RETURN",LOWER(TRIM(Transactions!H596))="resellable"),Transactions!E596,0)),0)</f>
        <v/>
      </c>
      <c r="G596">
        <f>IF(F596&gt;0,IF(B596="RECEIPT",Transactions!F596,IF(_xlfn.MAXIFS($H$2:H596,$A$2:A596,A596)&gt;0,INDEX(Transactions!$F:$F,_xlfn.MAXIFS($H$2:H596,$A$2:A596,A596)),W596)),0)</f>
        <v/>
      </c>
      <c r="H596">
        <f>IF(AND(E596=1,B596="RECEIPT"),ROW(),0)</f>
        <v/>
      </c>
      <c r="I596">
        <f>IF(E596=1,IF(OR(B596="SALE",B596="WRITEOFF"),Transactions!E596,0),0)</f>
        <v/>
      </c>
      <c r="J596">
        <f>SUMIFS($F$1:F595,$A$1:A595,A596)</f>
        <v/>
      </c>
      <c r="K596">
        <f>SUMIFS($I$1:I595,$A$1:A595,A596)</f>
        <v/>
      </c>
      <c r="L596">
        <f>IFERROR(VLOOKUP(A596,Opening!$A:$C,3,0),0)</f>
        <v/>
      </c>
      <c r="M596">
        <f>IF(I596=0,0,MAX(0,MIN(INDEX(Month!H$2:H$13,MATCH($A596,Month!$A$2:$A$13,0))-K596,I596)))</f>
        <v/>
      </c>
      <c r="N596">
        <f>IF(I596=0,0,MAX(0,MIN(INDEX(Month!I$2:I$13,MATCH($A596,Month!$A$2:$A$13,0))-K596,I596)))</f>
        <v/>
      </c>
      <c r="O596">
        <f>IF(I596=0,0,MAX(0,MIN(INDEX(Month!J$2:J$13,MATCH($A596,Month!$A$2:$A$13,0))-K596,I596)))</f>
        <v/>
      </c>
      <c r="P596">
        <f>IF(I596=0,0,(MIN(MAX(K596,0),L596)*W596+SUMPRODUCT((Calc!$A$2:$A$1001=A596)*Calc!$G$2:$G$1001*(((K596-(L596+Calc!$J$2:$J$1001))&gt;0)*((K596-(L596+Calc!$J$2:$J$1001))&lt;Calc!$F$2:$F$1001)*(K596-(L596+Calc!$J$2:$J$1001))+((K596-(L596+Calc!$J$2:$J$1001))&gt;=Calc!$F$2:$F$1001)*Calc!$F$2:$F$1001))))</f>
        <v/>
      </c>
      <c r="Q596">
        <f>IF(I596=0,0,(MIN(MAX((K596+M596),0),L596)*W596+SUMPRODUCT((Calc!$A$2:$A$1001=A596)*Calc!$G$2:$G$1001*((((K596+M596)-(L596+Calc!$J$2:$J$1001))&gt;0)*(((K596+M596)-(L596+Calc!$J$2:$J$1001))&lt;Calc!$F$2:$F$1001)*((K596+M596)-(L596+Calc!$J$2:$J$1001))+(((K596+M596)-(L596+Calc!$J$2:$J$1001))&gt;=Calc!$F$2:$F$1001)*Calc!$F$2:$F$1001))))</f>
        <v/>
      </c>
      <c r="R596">
        <f>IF(I596=0,0,(MIN(MAX((K596+N596),0),L596)*W596+SUMPRODUCT((Calc!$A$2:$A$1001=A596)*Calc!$G$2:$G$1001*((((K596+N596)-(L596+Calc!$J$2:$J$1001))&gt;0)*(((K596+N596)-(L596+Calc!$J$2:$J$1001))&lt;Calc!$F$2:$F$1001)*((K596+N596)-(L596+Calc!$J$2:$J$1001))+(((K596+N596)-(L596+Calc!$J$2:$J$1001))&gt;=Calc!$F$2:$F$1001)*Calc!$F$2:$F$1001))))</f>
        <v/>
      </c>
      <c r="S596">
        <f>IF(I596=0,0,(MIN(MAX((K596+O596),0),L596)*W596+SUMPRODUCT((Calc!$A$2:$A$1001=A596)*Calc!$G$2:$G$1001*((((K596+O596)-(L596+Calc!$J$2:$J$1001))&gt;0)*(((K596+O596)-(L596+Calc!$J$2:$J$1001))&lt;Calc!$F$2:$F$1001)*((K596+O596)-(L596+Calc!$J$2:$J$1001))+(((K596+O596)-(L596+Calc!$J$2:$J$1001))&gt;=Calc!$F$2:$F$1001)*Calc!$F$2:$F$1001))))</f>
        <v/>
      </c>
      <c r="T596">
        <f>IF(AND(E596=1,B596="RETURN"),Transactions!E596*Transactions!G596,0)</f>
        <v/>
      </c>
      <c r="U596">
        <f>IF(AND(E596=1,B596="EXPENSE"),Transactions!J596,0)</f>
        <v/>
      </c>
      <c r="V596">
        <f>IF(AND(Transactions!A596&lt;&gt;"",E596=0),ROW(),"")</f>
        <v/>
      </c>
      <c r="W596">
        <f>IFERROR(VLOOKUP(A596,Opening!$A:$D,4,0),0)</f>
        <v/>
      </c>
    </row>
    <row r="597">
      <c r="A597">
        <f>IF(Transactions!D597="","",UPPER(TRIM(Transactions!D597)))</f>
        <v/>
      </c>
      <c r="B597">
        <f>IF(Transactions!C597="","",UPPER(TRIM(Transactions!C597)))</f>
        <v/>
      </c>
      <c r="C597">
        <f>IF(Transactions!B597="",0,YEAR(Transactions!B597)*100+MONTH(Transactions!B597))</f>
        <v/>
      </c>
      <c r="D597">
        <f>IF(Transactions!A597="",1,IF(COUNTIF(Transactions!$A$1:A596,Transactions!A597)&gt;0,1,0))</f>
        <v/>
      </c>
      <c r="E597">
        <f>IF(D597=1,0,IF(B597="RETURN",IF(COUNTIFS($A$1:A596,A597,$B$1:B596,"SALE",$E$1:E596,1)&gt;0,1,0),1))</f>
        <v/>
      </c>
      <c r="F597">
        <f>IF(E597=1,IF(B597="RECEIPT",Transactions!E597,IF(AND(B597="RETURN",LOWER(TRIM(Transactions!H597))="resellable"),Transactions!E597,0)),0)</f>
        <v/>
      </c>
      <c r="G597">
        <f>IF(F597&gt;0,IF(B597="RECEIPT",Transactions!F597,IF(_xlfn.MAXIFS($H$2:H597,$A$2:A597,A597)&gt;0,INDEX(Transactions!$F:$F,_xlfn.MAXIFS($H$2:H597,$A$2:A597,A597)),W597)),0)</f>
        <v/>
      </c>
      <c r="H597">
        <f>IF(AND(E597=1,B597="RECEIPT"),ROW(),0)</f>
        <v/>
      </c>
      <c r="I597">
        <f>IF(E597=1,IF(OR(B597="SALE",B597="WRITEOFF"),Transactions!E597,0),0)</f>
        <v/>
      </c>
      <c r="J597">
        <f>SUMIFS($F$1:F596,$A$1:A596,A597)</f>
        <v/>
      </c>
      <c r="K597">
        <f>SUMIFS($I$1:I596,$A$1:A596,A597)</f>
        <v/>
      </c>
      <c r="L597">
        <f>IFERROR(VLOOKUP(A597,Opening!$A:$C,3,0),0)</f>
        <v/>
      </c>
      <c r="M597">
        <f>IF(I597=0,0,MAX(0,MIN(INDEX(Month!H$2:H$13,MATCH($A597,Month!$A$2:$A$13,0))-K597,I597)))</f>
        <v/>
      </c>
      <c r="N597">
        <f>IF(I597=0,0,MAX(0,MIN(INDEX(Month!I$2:I$13,MATCH($A597,Month!$A$2:$A$13,0))-K597,I597)))</f>
        <v/>
      </c>
      <c r="O597">
        <f>IF(I597=0,0,MAX(0,MIN(INDEX(Month!J$2:J$13,MATCH($A597,Month!$A$2:$A$13,0))-K597,I597)))</f>
        <v/>
      </c>
      <c r="P597">
        <f>IF(I597=0,0,(MIN(MAX(K597,0),L597)*W597+SUMPRODUCT((Calc!$A$2:$A$1001=A597)*Calc!$G$2:$G$1001*(((K597-(L597+Calc!$J$2:$J$1001))&gt;0)*((K597-(L597+Calc!$J$2:$J$1001))&lt;Calc!$F$2:$F$1001)*(K597-(L597+Calc!$J$2:$J$1001))+((K597-(L597+Calc!$J$2:$J$1001))&gt;=Calc!$F$2:$F$1001)*Calc!$F$2:$F$1001))))</f>
        <v/>
      </c>
      <c r="Q597">
        <f>IF(I597=0,0,(MIN(MAX((K597+M597),0),L597)*W597+SUMPRODUCT((Calc!$A$2:$A$1001=A597)*Calc!$G$2:$G$1001*((((K597+M597)-(L597+Calc!$J$2:$J$1001))&gt;0)*(((K597+M597)-(L597+Calc!$J$2:$J$1001))&lt;Calc!$F$2:$F$1001)*((K597+M597)-(L597+Calc!$J$2:$J$1001))+(((K597+M597)-(L597+Calc!$J$2:$J$1001))&gt;=Calc!$F$2:$F$1001)*Calc!$F$2:$F$1001))))</f>
        <v/>
      </c>
      <c r="R597">
        <f>IF(I597=0,0,(MIN(MAX((K597+N597),0),L597)*W597+SUMPRODUCT((Calc!$A$2:$A$1001=A597)*Calc!$G$2:$G$1001*((((K597+N597)-(L597+Calc!$J$2:$J$1001))&gt;0)*(((K597+N597)-(L597+Calc!$J$2:$J$1001))&lt;Calc!$F$2:$F$1001)*((K597+N597)-(L597+Calc!$J$2:$J$1001))+(((K597+N597)-(L597+Calc!$J$2:$J$1001))&gt;=Calc!$F$2:$F$1001)*Calc!$F$2:$F$1001))))</f>
        <v/>
      </c>
      <c r="S597">
        <f>IF(I597=0,0,(MIN(MAX((K597+O597),0),L597)*W597+SUMPRODUCT((Calc!$A$2:$A$1001=A597)*Calc!$G$2:$G$1001*((((K597+O597)-(L597+Calc!$J$2:$J$1001))&gt;0)*(((K597+O597)-(L597+Calc!$J$2:$J$1001))&lt;Calc!$F$2:$F$1001)*((K597+O597)-(L597+Calc!$J$2:$J$1001))+(((K597+O597)-(L597+Calc!$J$2:$J$1001))&gt;=Calc!$F$2:$F$1001)*Calc!$F$2:$F$1001))))</f>
        <v/>
      </c>
      <c r="T597">
        <f>IF(AND(E597=1,B597="RETURN"),Transactions!E597*Transactions!G597,0)</f>
        <v/>
      </c>
      <c r="U597">
        <f>IF(AND(E597=1,B597="EXPENSE"),Transactions!J597,0)</f>
        <v/>
      </c>
      <c r="V597">
        <f>IF(AND(Transactions!A597&lt;&gt;"",E597=0),ROW(),"")</f>
        <v/>
      </c>
      <c r="W597">
        <f>IFERROR(VLOOKUP(A597,Opening!$A:$D,4,0),0)</f>
        <v/>
      </c>
    </row>
    <row r="598">
      <c r="A598">
        <f>IF(Transactions!D598="","",UPPER(TRIM(Transactions!D598)))</f>
        <v/>
      </c>
      <c r="B598">
        <f>IF(Transactions!C598="","",UPPER(TRIM(Transactions!C598)))</f>
        <v/>
      </c>
      <c r="C598">
        <f>IF(Transactions!B598="",0,YEAR(Transactions!B598)*100+MONTH(Transactions!B598))</f>
        <v/>
      </c>
      <c r="D598">
        <f>IF(Transactions!A598="",1,IF(COUNTIF(Transactions!$A$1:A597,Transactions!A598)&gt;0,1,0))</f>
        <v/>
      </c>
      <c r="E598">
        <f>IF(D598=1,0,IF(B598="RETURN",IF(COUNTIFS($A$1:A597,A598,$B$1:B597,"SALE",$E$1:E597,1)&gt;0,1,0),1))</f>
        <v/>
      </c>
      <c r="F598">
        <f>IF(E598=1,IF(B598="RECEIPT",Transactions!E598,IF(AND(B598="RETURN",LOWER(TRIM(Transactions!H598))="resellable"),Transactions!E598,0)),0)</f>
        <v/>
      </c>
      <c r="G598">
        <f>IF(F598&gt;0,IF(B598="RECEIPT",Transactions!F598,IF(_xlfn.MAXIFS($H$2:H598,$A$2:A598,A598)&gt;0,INDEX(Transactions!$F:$F,_xlfn.MAXIFS($H$2:H598,$A$2:A598,A598)),W598)),0)</f>
        <v/>
      </c>
      <c r="H598">
        <f>IF(AND(E598=1,B598="RECEIPT"),ROW(),0)</f>
        <v/>
      </c>
      <c r="I598">
        <f>IF(E598=1,IF(OR(B598="SALE",B598="WRITEOFF"),Transactions!E598,0),0)</f>
        <v/>
      </c>
      <c r="J598">
        <f>SUMIFS($F$1:F597,$A$1:A597,A598)</f>
        <v/>
      </c>
      <c r="K598">
        <f>SUMIFS($I$1:I597,$A$1:A597,A598)</f>
        <v/>
      </c>
      <c r="L598">
        <f>IFERROR(VLOOKUP(A598,Opening!$A:$C,3,0),0)</f>
        <v/>
      </c>
      <c r="M598">
        <f>IF(I598=0,0,MAX(0,MIN(INDEX(Month!H$2:H$13,MATCH($A598,Month!$A$2:$A$13,0))-K598,I598)))</f>
        <v/>
      </c>
      <c r="N598">
        <f>IF(I598=0,0,MAX(0,MIN(INDEX(Month!I$2:I$13,MATCH($A598,Month!$A$2:$A$13,0))-K598,I598)))</f>
        <v/>
      </c>
      <c r="O598">
        <f>IF(I598=0,0,MAX(0,MIN(INDEX(Month!J$2:J$13,MATCH($A598,Month!$A$2:$A$13,0))-K598,I598)))</f>
        <v/>
      </c>
      <c r="P598">
        <f>IF(I598=0,0,(MIN(MAX(K598,0),L598)*W598+SUMPRODUCT((Calc!$A$2:$A$1001=A598)*Calc!$G$2:$G$1001*(((K598-(L598+Calc!$J$2:$J$1001))&gt;0)*((K598-(L598+Calc!$J$2:$J$1001))&lt;Calc!$F$2:$F$1001)*(K598-(L598+Calc!$J$2:$J$1001))+((K598-(L598+Calc!$J$2:$J$1001))&gt;=Calc!$F$2:$F$1001)*Calc!$F$2:$F$1001))))</f>
        <v/>
      </c>
      <c r="Q598">
        <f>IF(I598=0,0,(MIN(MAX((K598+M598),0),L598)*W598+SUMPRODUCT((Calc!$A$2:$A$1001=A598)*Calc!$G$2:$G$1001*((((K598+M598)-(L598+Calc!$J$2:$J$1001))&gt;0)*(((K598+M598)-(L598+Calc!$J$2:$J$1001))&lt;Calc!$F$2:$F$1001)*((K598+M598)-(L598+Calc!$J$2:$J$1001))+(((K598+M598)-(L598+Calc!$J$2:$J$1001))&gt;=Calc!$F$2:$F$1001)*Calc!$F$2:$F$1001))))</f>
        <v/>
      </c>
      <c r="R598">
        <f>IF(I598=0,0,(MIN(MAX((K598+N598),0),L598)*W598+SUMPRODUCT((Calc!$A$2:$A$1001=A598)*Calc!$G$2:$G$1001*((((K598+N598)-(L598+Calc!$J$2:$J$1001))&gt;0)*(((K598+N598)-(L598+Calc!$J$2:$J$1001))&lt;Calc!$F$2:$F$1001)*((K598+N598)-(L598+Calc!$J$2:$J$1001))+(((K598+N598)-(L598+Calc!$J$2:$J$1001))&gt;=Calc!$F$2:$F$1001)*Calc!$F$2:$F$1001))))</f>
        <v/>
      </c>
      <c r="S598">
        <f>IF(I598=0,0,(MIN(MAX((K598+O598),0),L598)*W598+SUMPRODUCT((Calc!$A$2:$A$1001=A598)*Calc!$G$2:$G$1001*((((K598+O598)-(L598+Calc!$J$2:$J$1001))&gt;0)*(((K598+O598)-(L598+Calc!$J$2:$J$1001))&lt;Calc!$F$2:$F$1001)*((K598+O598)-(L598+Calc!$J$2:$J$1001))+(((K598+O598)-(L598+Calc!$J$2:$J$1001))&gt;=Calc!$F$2:$F$1001)*Calc!$F$2:$F$1001))))</f>
        <v/>
      </c>
      <c r="T598">
        <f>IF(AND(E598=1,B598="RETURN"),Transactions!E598*Transactions!G598,0)</f>
        <v/>
      </c>
      <c r="U598">
        <f>IF(AND(E598=1,B598="EXPENSE"),Transactions!J598,0)</f>
        <v/>
      </c>
      <c r="V598">
        <f>IF(AND(Transactions!A598&lt;&gt;"",E598=0),ROW(),"")</f>
        <v/>
      </c>
      <c r="W598">
        <f>IFERROR(VLOOKUP(A598,Opening!$A:$D,4,0),0)</f>
        <v/>
      </c>
    </row>
    <row r="599">
      <c r="A599">
        <f>IF(Transactions!D599="","",UPPER(TRIM(Transactions!D599)))</f>
        <v/>
      </c>
      <c r="B599">
        <f>IF(Transactions!C599="","",UPPER(TRIM(Transactions!C599)))</f>
        <v/>
      </c>
      <c r="C599">
        <f>IF(Transactions!B599="",0,YEAR(Transactions!B599)*100+MONTH(Transactions!B599))</f>
        <v/>
      </c>
      <c r="D599">
        <f>IF(Transactions!A599="",1,IF(COUNTIF(Transactions!$A$1:A598,Transactions!A599)&gt;0,1,0))</f>
        <v/>
      </c>
      <c r="E599">
        <f>IF(D599=1,0,IF(B599="RETURN",IF(COUNTIFS($A$1:A598,A599,$B$1:B598,"SALE",$E$1:E598,1)&gt;0,1,0),1))</f>
        <v/>
      </c>
      <c r="F599">
        <f>IF(E599=1,IF(B599="RECEIPT",Transactions!E599,IF(AND(B599="RETURN",LOWER(TRIM(Transactions!H599))="resellable"),Transactions!E599,0)),0)</f>
        <v/>
      </c>
      <c r="G599">
        <f>IF(F599&gt;0,IF(B599="RECEIPT",Transactions!F599,IF(_xlfn.MAXIFS($H$2:H599,$A$2:A599,A599)&gt;0,INDEX(Transactions!$F:$F,_xlfn.MAXIFS($H$2:H599,$A$2:A599,A599)),W599)),0)</f>
        <v/>
      </c>
      <c r="H599">
        <f>IF(AND(E599=1,B599="RECEIPT"),ROW(),0)</f>
        <v/>
      </c>
      <c r="I599">
        <f>IF(E599=1,IF(OR(B599="SALE",B599="WRITEOFF"),Transactions!E599,0),0)</f>
        <v/>
      </c>
      <c r="J599">
        <f>SUMIFS($F$1:F598,$A$1:A598,A599)</f>
        <v/>
      </c>
      <c r="K599">
        <f>SUMIFS($I$1:I598,$A$1:A598,A599)</f>
        <v/>
      </c>
      <c r="L599">
        <f>IFERROR(VLOOKUP(A599,Opening!$A:$C,3,0),0)</f>
        <v/>
      </c>
      <c r="M599">
        <f>IF(I599=0,0,MAX(0,MIN(INDEX(Month!H$2:H$13,MATCH($A599,Month!$A$2:$A$13,0))-K599,I599)))</f>
        <v/>
      </c>
      <c r="N599">
        <f>IF(I599=0,0,MAX(0,MIN(INDEX(Month!I$2:I$13,MATCH($A599,Month!$A$2:$A$13,0))-K599,I599)))</f>
        <v/>
      </c>
      <c r="O599">
        <f>IF(I599=0,0,MAX(0,MIN(INDEX(Month!J$2:J$13,MATCH($A599,Month!$A$2:$A$13,0))-K599,I599)))</f>
        <v/>
      </c>
      <c r="P599">
        <f>IF(I599=0,0,(MIN(MAX(K599,0),L599)*W599+SUMPRODUCT((Calc!$A$2:$A$1001=A599)*Calc!$G$2:$G$1001*(((K599-(L599+Calc!$J$2:$J$1001))&gt;0)*((K599-(L599+Calc!$J$2:$J$1001))&lt;Calc!$F$2:$F$1001)*(K599-(L599+Calc!$J$2:$J$1001))+((K599-(L599+Calc!$J$2:$J$1001))&gt;=Calc!$F$2:$F$1001)*Calc!$F$2:$F$1001))))</f>
        <v/>
      </c>
      <c r="Q599">
        <f>IF(I599=0,0,(MIN(MAX((K599+M599),0),L599)*W599+SUMPRODUCT((Calc!$A$2:$A$1001=A599)*Calc!$G$2:$G$1001*((((K599+M599)-(L599+Calc!$J$2:$J$1001))&gt;0)*(((K599+M599)-(L599+Calc!$J$2:$J$1001))&lt;Calc!$F$2:$F$1001)*((K599+M599)-(L599+Calc!$J$2:$J$1001))+(((K599+M599)-(L599+Calc!$J$2:$J$1001))&gt;=Calc!$F$2:$F$1001)*Calc!$F$2:$F$1001))))</f>
        <v/>
      </c>
      <c r="R599">
        <f>IF(I599=0,0,(MIN(MAX((K599+N599),0),L599)*W599+SUMPRODUCT((Calc!$A$2:$A$1001=A599)*Calc!$G$2:$G$1001*((((K599+N599)-(L599+Calc!$J$2:$J$1001))&gt;0)*(((K599+N599)-(L599+Calc!$J$2:$J$1001))&lt;Calc!$F$2:$F$1001)*((K599+N599)-(L599+Calc!$J$2:$J$1001))+(((K599+N599)-(L599+Calc!$J$2:$J$1001))&gt;=Calc!$F$2:$F$1001)*Calc!$F$2:$F$1001))))</f>
        <v/>
      </c>
      <c r="S599">
        <f>IF(I599=0,0,(MIN(MAX((K599+O599),0),L599)*W599+SUMPRODUCT((Calc!$A$2:$A$1001=A599)*Calc!$G$2:$G$1001*((((K599+O599)-(L599+Calc!$J$2:$J$1001))&gt;0)*(((K599+O599)-(L599+Calc!$J$2:$J$1001))&lt;Calc!$F$2:$F$1001)*((K599+O599)-(L599+Calc!$J$2:$J$1001))+(((K599+O599)-(L599+Calc!$J$2:$J$1001))&gt;=Calc!$F$2:$F$1001)*Calc!$F$2:$F$1001))))</f>
        <v/>
      </c>
      <c r="T599">
        <f>IF(AND(E599=1,B599="RETURN"),Transactions!E599*Transactions!G599,0)</f>
        <v/>
      </c>
      <c r="U599">
        <f>IF(AND(E599=1,B599="EXPENSE"),Transactions!J599,0)</f>
        <v/>
      </c>
      <c r="V599">
        <f>IF(AND(Transactions!A599&lt;&gt;"",E599=0),ROW(),"")</f>
        <v/>
      </c>
      <c r="W599">
        <f>IFERROR(VLOOKUP(A599,Opening!$A:$D,4,0),0)</f>
        <v/>
      </c>
    </row>
    <row r="600">
      <c r="A600">
        <f>IF(Transactions!D600="","",UPPER(TRIM(Transactions!D600)))</f>
        <v/>
      </c>
      <c r="B600">
        <f>IF(Transactions!C600="","",UPPER(TRIM(Transactions!C600)))</f>
        <v/>
      </c>
      <c r="C600">
        <f>IF(Transactions!B600="",0,YEAR(Transactions!B600)*100+MONTH(Transactions!B600))</f>
        <v/>
      </c>
      <c r="D600">
        <f>IF(Transactions!A600="",1,IF(COUNTIF(Transactions!$A$1:A599,Transactions!A600)&gt;0,1,0))</f>
        <v/>
      </c>
      <c r="E600">
        <f>IF(D600=1,0,IF(B600="RETURN",IF(COUNTIFS($A$1:A599,A600,$B$1:B599,"SALE",$E$1:E599,1)&gt;0,1,0),1))</f>
        <v/>
      </c>
      <c r="F600">
        <f>IF(E600=1,IF(B600="RECEIPT",Transactions!E600,IF(AND(B600="RETURN",LOWER(TRIM(Transactions!H600))="resellable"),Transactions!E600,0)),0)</f>
        <v/>
      </c>
      <c r="G600">
        <f>IF(F600&gt;0,IF(B600="RECEIPT",Transactions!F600,IF(_xlfn.MAXIFS($H$2:H600,$A$2:A600,A600)&gt;0,INDEX(Transactions!$F:$F,_xlfn.MAXIFS($H$2:H600,$A$2:A600,A600)),W600)),0)</f>
        <v/>
      </c>
      <c r="H600">
        <f>IF(AND(E600=1,B600="RECEIPT"),ROW(),0)</f>
        <v/>
      </c>
      <c r="I600">
        <f>IF(E600=1,IF(OR(B600="SALE",B600="WRITEOFF"),Transactions!E600,0),0)</f>
        <v/>
      </c>
      <c r="J600">
        <f>SUMIFS($F$1:F599,$A$1:A599,A600)</f>
        <v/>
      </c>
      <c r="K600">
        <f>SUMIFS($I$1:I599,$A$1:A599,A600)</f>
        <v/>
      </c>
      <c r="L600">
        <f>IFERROR(VLOOKUP(A600,Opening!$A:$C,3,0),0)</f>
        <v/>
      </c>
      <c r="M600">
        <f>IF(I600=0,0,MAX(0,MIN(INDEX(Month!H$2:H$13,MATCH($A600,Month!$A$2:$A$13,0))-K600,I600)))</f>
        <v/>
      </c>
      <c r="N600">
        <f>IF(I600=0,0,MAX(0,MIN(INDEX(Month!I$2:I$13,MATCH($A600,Month!$A$2:$A$13,0))-K600,I600)))</f>
        <v/>
      </c>
      <c r="O600">
        <f>IF(I600=0,0,MAX(0,MIN(INDEX(Month!J$2:J$13,MATCH($A600,Month!$A$2:$A$13,0))-K600,I600)))</f>
        <v/>
      </c>
      <c r="P600">
        <f>IF(I600=0,0,(MIN(MAX(K600,0),L600)*W600+SUMPRODUCT((Calc!$A$2:$A$1001=A600)*Calc!$G$2:$G$1001*(((K600-(L600+Calc!$J$2:$J$1001))&gt;0)*((K600-(L600+Calc!$J$2:$J$1001))&lt;Calc!$F$2:$F$1001)*(K600-(L600+Calc!$J$2:$J$1001))+((K600-(L600+Calc!$J$2:$J$1001))&gt;=Calc!$F$2:$F$1001)*Calc!$F$2:$F$1001))))</f>
        <v/>
      </c>
      <c r="Q600">
        <f>IF(I600=0,0,(MIN(MAX((K600+M600),0),L600)*W600+SUMPRODUCT((Calc!$A$2:$A$1001=A600)*Calc!$G$2:$G$1001*((((K600+M600)-(L600+Calc!$J$2:$J$1001))&gt;0)*(((K600+M600)-(L600+Calc!$J$2:$J$1001))&lt;Calc!$F$2:$F$1001)*((K600+M600)-(L600+Calc!$J$2:$J$1001))+(((K600+M600)-(L600+Calc!$J$2:$J$1001))&gt;=Calc!$F$2:$F$1001)*Calc!$F$2:$F$1001))))</f>
        <v/>
      </c>
      <c r="R600">
        <f>IF(I600=0,0,(MIN(MAX((K600+N600),0),L600)*W600+SUMPRODUCT((Calc!$A$2:$A$1001=A600)*Calc!$G$2:$G$1001*((((K600+N600)-(L600+Calc!$J$2:$J$1001))&gt;0)*(((K600+N600)-(L600+Calc!$J$2:$J$1001))&lt;Calc!$F$2:$F$1001)*((K600+N600)-(L600+Calc!$J$2:$J$1001))+(((K600+N600)-(L600+Calc!$J$2:$J$1001))&gt;=Calc!$F$2:$F$1001)*Calc!$F$2:$F$1001))))</f>
        <v/>
      </c>
      <c r="S600">
        <f>IF(I600=0,0,(MIN(MAX((K600+O600),0),L600)*W600+SUMPRODUCT((Calc!$A$2:$A$1001=A600)*Calc!$G$2:$G$1001*((((K600+O600)-(L600+Calc!$J$2:$J$1001))&gt;0)*(((K600+O600)-(L600+Calc!$J$2:$J$1001))&lt;Calc!$F$2:$F$1001)*((K600+O600)-(L600+Calc!$J$2:$J$1001))+(((K600+O600)-(L600+Calc!$J$2:$J$1001))&gt;=Calc!$F$2:$F$1001)*Calc!$F$2:$F$1001))))</f>
        <v/>
      </c>
      <c r="T600">
        <f>IF(AND(E600=1,B600="RETURN"),Transactions!E600*Transactions!G600,0)</f>
        <v/>
      </c>
      <c r="U600">
        <f>IF(AND(E600=1,B600="EXPENSE"),Transactions!J600,0)</f>
        <v/>
      </c>
      <c r="V600">
        <f>IF(AND(Transactions!A600&lt;&gt;"",E600=0),ROW(),"")</f>
        <v/>
      </c>
      <c r="W600">
        <f>IFERROR(VLOOKUP(A600,Opening!$A:$D,4,0),0)</f>
        <v/>
      </c>
    </row>
    <row r="601">
      <c r="A601">
        <f>IF(Transactions!D601="","",UPPER(TRIM(Transactions!D601)))</f>
        <v/>
      </c>
      <c r="B601">
        <f>IF(Transactions!C601="","",UPPER(TRIM(Transactions!C601)))</f>
        <v/>
      </c>
      <c r="C601">
        <f>IF(Transactions!B601="",0,YEAR(Transactions!B601)*100+MONTH(Transactions!B601))</f>
        <v/>
      </c>
      <c r="D601">
        <f>IF(Transactions!A601="",1,IF(COUNTIF(Transactions!$A$1:A600,Transactions!A601)&gt;0,1,0))</f>
        <v/>
      </c>
      <c r="E601">
        <f>IF(D601=1,0,IF(B601="RETURN",IF(COUNTIFS($A$1:A600,A601,$B$1:B600,"SALE",$E$1:E600,1)&gt;0,1,0),1))</f>
        <v/>
      </c>
      <c r="F601">
        <f>IF(E601=1,IF(B601="RECEIPT",Transactions!E601,IF(AND(B601="RETURN",LOWER(TRIM(Transactions!H601))="resellable"),Transactions!E601,0)),0)</f>
        <v/>
      </c>
      <c r="G601">
        <f>IF(F601&gt;0,IF(B601="RECEIPT",Transactions!F601,IF(_xlfn.MAXIFS($H$2:H601,$A$2:A601,A601)&gt;0,INDEX(Transactions!$F:$F,_xlfn.MAXIFS($H$2:H601,$A$2:A601,A601)),W601)),0)</f>
        <v/>
      </c>
      <c r="H601">
        <f>IF(AND(E601=1,B601="RECEIPT"),ROW(),0)</f>
        <v/>
      </c>
      <c r="I601">
        <f>IF(E601=1,IF(OR(B601="SALE",B601="WRITEOFF"),Transactions!E601,0),0)</f>
        <v/>
      </c>
      <c r="J601">
        <f>SUMIFS($F$1:F600,$A$1:A600,A601)</f>
        <v/>
      </c>
      <c r="K601">
        <f>SUMIFS($I$1:I600,$A$1:A600,A601)</f>
        <v/>
      </c>
      <c r="L601">
        <f>IFERROR(VLOOKUP(A601,Opening!$A:$C,3,0),0)</f>
        <v/>
      </c>
      <c r="M601">
        <f>IF(I601=0,0,MAX(0,MIN(INDEX(Month!H$2:H$13,MATCH($A601,Month!$A$2:$A$13,0))-K601,I601)))</f>
        <v/>
      </c>
      <c r="N601">
        <f>IF(I601=0,0,MAX(0,MIN(INDEX(Month!I$2:I$13,MATCH($A601,Month!$A$2:$A$13,0))-K601,I601)))</f>
        <v/>
      </c>
      <c r="O601">
        <f>IF(I601=0,0,MAX(0,MIN(INDEX(Month!J$2:J$13,MATCH($A601,Month!$A$2:$A$13,0))-K601,I601)))</f>
        <v/>
      </c>
      <c r="P601">
        <f>IF(I601=0,0,(MIN(MAX(K601,0),L601)*W601+SUMPRODUCT((Calc!$A$2:$A$1001=A601)*Calc!$G$2:$G$1001*(((K601-(L601+Calc!$J$2:$J$1001))&gt;0)*((K601-(L601+Calc!$J$2:$J$1001))&lt;Calc!$F$2:$F$1001)*(K601-(L601+Calc!$J$2:$J$1001))+((K601-(L601+Calc!$J$2:$J$1001))&gt;=Calc!$F$2:$F$1001)*Calc!$F$2:$F$1001))))</f>
        <v/>
      </c>
      <c r="Q601">
        <f>IF(I601=0,0,(MIN(MAX((K601+M601),0),L601)*W601+SUMPRODUCT((Calc!$A$2:$A$1001=A601)*Calc!$G$2:$G$1001*((((K601+M601)-(L601+Calc!$J$2:$J$1001))&gt;0)*(((K601+M601)-(L601+Calc!$J$2:$J$1001))&lt;Calc!$F$2:$F$1001)*((K601+M601)-(L601+Calc!$J$2:$J$1001))+(((K601+M601)-(L601+Calc!$J$2:$J$1001))&gt;=Calc!$F$2:$F$1001)*Calc!$F$2:$F$1001))))</f>
        <v/>
      </c>
      <c r="R601">
        <f>IF(I601=0,0,(MIN(MAX((K601+N601),0),L601)*W601+SUMPRODUCT((Calc!$A$2:$A$1001=A601)*Calc!$G$2:$G$1001*((((K601+N601)-(L601+Calc!$J$2:$J$1001))&gt;0)*(((K601+N601)-(L601+Calc!$J$2:$J$1001))&lt;Calc!$F$2:$F$1001)*((K601+N601)-(L601+Calc!$J$2:$J$1001))+(((K601+N601)-(L601+Calc!$J$2:$J$1001))&gt;=Calc!$F$2:$F$1001)*Calc!$F$2:$F$1001))))</f>
        <v/>
      </c>
      <c r="S601">
        <f>IF(I601=0,0,(MIN(MAX((K601+O601),0),L601)*W601+SUMPRODUCT((Calc!$A$2:$A$1001=A601)*Calc!$G$2:$G$1001*((((K601+O601)-(L601+Calc!$J$2:$J$1001))&gt;0)*(((K601+O601)-(L601+Calc!$J$2:$J$1001))&lt;Calc!$F$2:$F$1001)*((K601+O601)-(L601+Calc!$J$2:$J$1001))+(((K601+O601)-(L601+Calc!$J$2:$J$1001))&gt;=Calc!$F$2:$F$1001)*Calc!$F$2:$F$1001))))</f>
        <v/>
      </c>
      <c r="T601">
        <f>IF(AND(E601=1,B601="RETURN"),Transactions!E601*Transactions!G601,0)</f>
        <v/>
      </c>
      <c r="U601">
        <f>IF(AND(E601=1,B601="EXPENSE"),Transactions!J601,0)</f>
        <v/>
      </c>
      <c r="V601">
        <f>IF(AND(Transactions!A601&lt;&gt;"",E601=0),ROW(),"")</f>
        <v/>
      </c>
      <c r="W601">
        <f>IFERROR(VLOOKUP(A601,Opening!$A:$D,4,0),0)</f>
        <v/>
      </c>
    </row>
    <row r="602">
      <c r="A602">
        <f>IF(Transactions!D602="","",UPPER(TRIM(Transactions!D602)))</f>
        <v/>
      </c>
      <c r="B602">
        <f>IF(Transactions!C602="","",UPPER(TRIM(Transactions!C602)))</f>
        <v/>
      </c>
      <c r="C602">
        <f>IF(Transactions!B602="",0,YEAR(Transactions!B602)*100+MONTH(Transactions!B602))</f>
        <v/>
      </c>
      <c r="D602">
        <f>IF(Transactions!A602="",1,IF(COUNTIF(Transactions!$A$1:A601,Transactions!A602)&gt;0,1,0))</f>
        <v/>
      </c>
      <c r="E602">
        <f>IF(D602=1,0,IF(B602="RETURN",IF(COUNTIFS($A$1:A601,A602,$B$1:B601,"SALE",$E$1:E601,1)&gt;0,1,0),1))</f>
        <v/>
      </c>
      <c r="F602">
        <f>IF(E602=1,IF(B602="RECEIPT",Transactions!E602,IF(AND(B602="RETURN",LOWER(TRIM(Transactions!H602))="resellable"),Transactions!E602,0)),0)</f>
        <v/>
      </c>
      <c r="G602">
        <f>IF(F602&gt;0,IF(B602="RECEIPT",Transactions!F602,IF(_xlfn.MAXIFS($H$2:H602,$A$2:A602,A602)&gt;0,INDEX(Transactions!$F:$F,_xlfn.MAXIFS($H$2:H602,$A$2:A602,A602)),W602)),0)</f>
        <v/>
      </c>
      <c r="H602">
        <f>IF(AND(E602=1,B602="RECEIPT"),ROW(),0)</f>
        <v/>
      </c>
      <c r="I602">
        <f>IF(E602=1,IF(OR(B602="SALE",B602="WRITEOFF"),Transactions!E602,0),0)</f>
        <v/>
      </c>
      <c r="J602">
        <f>SUMIFS($F$1:F601,$A$1:A601,A602)</f>
        <v/>
      </c>
      <c r="K602">
        <f>SUMIFS($I$1:I601,$A$1:A601,A602)</f>
        <v/>
      </c>
      <c r="L602">
        <f>IFERROR(VLOOKUP(A602,Opening!$A:$C,3,0),0)</f>
        <v/>
      </c>
      <c r="M602">
        <f>IF(I602=0,0,MAX(0,MIN(INDEX(Month!H$2:H$13,MATCH($A602,Month!$A$2:$A$13,0))-K602,I602)))</f>
        <v/>
      </c>
      <c r="N602">
        <f>IF(I602=0,0,MAX(0,MIN(INDEX(Month!I$2:I$13,MATCH($A602,Month!$A$2:$A$13,0))-K602,I602)))</f>
        <v/>
      </c>
      <c r="O602">
        <f>IF(I602=0,0,MAX(0,MIN(INDEX(Month!J$2:J$13,MATCH($A602,Month!$A$2:$A$13,0))-K602,I602)))</f>
        <v/>
      </c>
      <c r="P602">
        <f>IF(I602=0,0,(MIN(MAX(K602,0),L602)*W602+SUMPRODUCT((Calc!$A$2:$A$1001=A602)*Calc!$G$2:$G$1001*(((K602-(L602+Calc!$J$2:$J$1001))&gt;0)*((K602-(L602+Calc!$J$2:$J$1001))&lt;Calc!$F$2:$F$1001)*(K602-(L602+Calc!$J$2:$J$1001))+((K602-(L602+Calc!$J$2:$J$1001))&gt;=Calc!$F$2:$F$1001)*Calc!$F$2:$F$1001))))</f>
        <v/>
      </c>
      <c r="Q602">
        <f>IF(I602=0,0,(MIN(MAX((K602+M602),0),L602)*W602+SUMPRODUCT((Calc!$A$2:$A$1001=A602)*Calc!$G$2:$G$1001*((((K602+M602)-(L602+Calc!$J$2:$J$1001))&gt;0)*(((K602+M602)-(L602+Calc!$J$2:$J$1001))&lt;Calc!$F$2:$F$1001)*((K602+M602)-(L602+Calc!$J$2:$J$1001))+(((K602+M602)-(L602+Calc!$J$2:$J$1001))&gt;=Calc!$F$2:$F$1001)*Calc!$F$2:$F$1001))))</f>
        <v/>
      </c>
      <c r="R602">
        <f>IF(I602=0,0,(MIN(MAX((K602+N602),0),L602)*W602+SUMPRODUCT((Calc!$A$2:$A$1001=A602)*Calc!$G$2:$G$1001*((((K602+N602)-(L602+Calc!$J$2:$J$1001))&gt;0)*(((K602+N602)-(L602+Calc!$J$2:$J$1001))&lt;Calc!$F$2:$F$1001)*((K602+N602)-(L602+Calc!$J$2:$J$1001))+(((K602+N602)-(L602+Calc!$J$2:$J$1001))&gt;=Calc!$F$2:$F$1001)*Calc!$F$2:$F$1001))))</f>
        <v/>
      </c>
      <c r="S602">
        <f>IF(I602=0,0,(MIN(MAX((K602+O602),0),L602)*W602+SUMPRODUCT((Calc!$A$2:$A$1001=A602)*Calc!$G$2:$G$1001*((((K602+O602)-(L602+Calc!$J$2:$J$1001))&gt;0)*(((K602+O602)-(L602+Calc!$J$2:$J$1001))&lt;Calc!$F$2:$F$1001)*((K602+O602)-(L602+Calc!$J$2:$J$1001))+(((K602+O602)-(L602+Calc!$J$2:$J$1001))&gt;=Calc!$F$2:$F$1001)*Calc!$F$2:$F$1001))))</f>
        <v/>
      </c>
      <c r="T602">
        <f>IF(AND(E602=1,B602="RETURN"),Transactions!E602*Transactions!G602,0)</f>
        <v/>
      </c>
      <c r="U602">
        <f>IF(AND(E602=1,B602="EXPENSE"),Transactions!J602,0)</f>
        <v/>
      </c>
      <c r="V602">
        <f>IF(AND(Transactions!A602&lt;&gt;"",E602=0),ROW(),"")</f>
        <v/>
      </c>
      <c r="W602">
        <f>IFERROR(VLOOKUP(A602,Opening!$A:$D,4,0),0)</f>
        <v/>
      </c>
    </row>
    <row r="603">
      <c r="A603">
        <f>IF(Transactions!D603="","",UPPER(TRIM(Transactions!D603)))</f>
        <v/>
      </c>
      <c r="B603">
        <f>IF(Transactions!C603="","",UPPER(TRIM(Transactions!C603)))</f>
        <v/>
      </c>
      <c r="C603">
        <f>IF(Transactions!B603="",0,YEAR(Transactions!B603)*100+MONTH(Transactions!B603))</f>
        <v/>
      </c>
      <c r="D603">
        <f>IF(Transactions!A603="",1,IF(COUNTIF(Transactions!$A$1:A602,Transactions!A603)&gt;0,1,0))</f>
        <v/>
      </c>
      <c r="E603">
        <f>IF(D603=1,0,IF(B603="RETURN",IF(COUNTIFS($A$1:A602,A603,$B$1:B602,"SALE",$E$1:E602,1)&gt;0,1,0),1))</f>
        <v/>
      </c>
      <c r="F603">
        <f>IF(E603=1,IF(B603="RECEIPT",Transactions!E603,IF(AND(B603="RETURN",LOWER(TRIM(Transactions!H603))="resellable"),Transactions!E603,0)),0)</f>
        <v/>
      </c>
      <c r="G603">
        <f>IF(F603&gt;0,IF(B603="RECEIPT",Transactions!F603,IF(_xlfn.MAXIFS($H$2:H603,$A$2:A603,A603)&gt;0,INDEX(Transactions!$F:$F,_xlfn.MAXIFS($H$2:H603,$A$2:A603,A603)),W603)),0)</f>
        <v/>
      </c>
      <c r="H603">
        <f>IF(AND(E603=1,B603="RECEIPT"),ROW(),0)</f>
        <v/>
      </c>
      <c r="I603">
        <f>IF(E603=1,IF(OR(B603="SALE",B603="WRITEOFF"),Transactions!E603,0),0)</f>
        <v/>
      </c>
      <c r="J603">
        <f>SUMIFS($F$1:F602,$A$1:A602,A603)</f>
        <v/>
      </c>
      <c r="K603">
        <f>SUMIFS($I$1:I602,$A$1:A602,A603)</f>
        <v/>
      </c>
      <c r="L603">
        <f>IFERROR(VLOOKUP(A603,Opening!$A:$C,3,0),0)</f>
        <v/>
      </c>
      <c r="M603">
        <f>IF(I603=0,0,MAX(0,MIN(INDEX(Month!H$2:H$13,MATCH($A603,Month!$A$2:$A$13,0))-K603,I603)))</f>
        <v/>
      </c>
      <c r="N603">
        <f>IF(I603=0,0,MAX(0,MIN(INDEX(Month!I$2:I$13,MATCH($A603,Month!$A$2:$A$13,0))-K603,I603)))</f>
        <v/>
      </c>
      <c r="O603">
        <f>IF(I603=0,0,MAX(0,MIN(INDEX(Month!J$2:J$13,MATCH($A603,Month!$A$2:$A$13,0))-K603,I603)))</f>
        <v/>
      </c>
      <c r="P603">
        <f>IF(I603=0,0,(MIN(MAX(K603,0),L603)*W603+SUMPRODUCT((Calc!$A$2:$A$1001=A603)*Calc!$G$2:$G$1001*(((K603-(L603+Calc!$J$2:$J$1001))&gt;0)*((K603-(L603+Calc!$J$2:$J$1001))&lt;Calc!$F$2:$F$1001)*(K603-(L603+Calc!$J$2:$J$1001))+((K603-(L603+Calc!$J$2:$J$1001))&gt;=Calc!$F$2:$F$1001)*Calc!$F$2:$F$1001))))</f>
        <v/>
      </c>
      <c r="Q603">
        <f>IF(I603=0,0,(MIN(MAX((K603+M603),0),L603)*W603+SUMPRODUCT((Calc!$A$2:$A$1001=A603)*Calc!$G$2:$G$1001*((((K603+M603)-(L603+Calc!$J$2:$J$1001))&gt;0)*(((K603+M603)-(L603+Calc!$J$2:$J$1001))&lt;Calc!$F$2:$F$1001)*((K603+M603)-(L603+Calc!$J$2:$J$1001))+(((K603+M603)-(L603+Calc!$J$2:$J$1001))&gt;=Calc!$F$2:$F$1001)*Calc!$F$2:$F$1001))))</f>
        <v/>
      </c>
      <c r="R603">
        <f>IF(I603=0,0,(MIN(MAX((K603+N603),0),L603)*W603+SUMPRODUCT((Calc!$A$2:$A$1001=A603)*Calc!$G$2:$G$1001*((((K603+N603)-(L603+Calc!$J$2:$J$1001))&gt;0)*(((K603+N603)-(L603+Calc!$J$2:$J$1001))&lt;Calc!$F$2:$F$1001)*((K603+N603)-(L603+Calc!$J$2:$J$1001))+(((K603+N603)-(L603+Calc!$J$2:$J$1001))&gt;=Calc!$F$2:$F$1001)*Calc!$F$2:$F$1001))))</f>
        <v/>
      </c>
      <c r="S603">
        <f>IF(I603=0,0,(MIN(MAX((K603+O603),0),L603)*W603+SUMPRODUCT((Calc!$A$2:$A$1001=A603)*Calc!$G$2:$G$1001*((((K603+O603)-(L603+Calc!$J$2:$J$1001))&gt;0)*(((K603+O603)-(L603+Calc!$J$2:$J$1001))&lt;Calc!$F$2:$F$1001)*((K603+O603)-(L603+Calc!$J$2:$J$1001))+(((K603+O603)-(L603+Calc!$J$2:$J$1001))&gt;=Calc!$F$2:$F$1001)*Calc!$F$2:$F$1001))))</f>
        <v/>
      </c>
      <c r="T603">
        <f>IF(AND(E603=1,B603="RETURN"),Transactions!E603*Transactions!G603,0)</f>
        <v/>
      </c>
      <c r="U603">
        <f>IF(AND(E603=1,B603="EXPENSE"),Transactions!J603,0)</f>
        <v/>
      </c>
      <c r="V603">
        <f>IF(AND(Transactions!A603&lt;&gt;"",E603=0),ROW(),"")</f>
        <v/>
      </c>
      <c r="W603">
        <f>IFERROR(VLOOKUP(A603,Opening!$A:$D,4,0),0)</f>
        <v/>
      </c>
    </row>
    <row r="604">
      <c r="A604">
        <f>IF(Transactions!D604="","",UPPER(TRIM(Transactions!D604)))</f>
        <v/>
      </c>
      <c r="B604">
        <f>IF(Transactions!C604="","",UPPER(TRIM(Transactions!C604)))</f>
        <v/>
      </c>
      <c r="C604">
        <f>IF(Transactions!B604="",0,YEAR(Transactions!B604)*100+MONTH(Transactions!B604))</f>
        <v/>
      </c>
      <c r="D604">
        <f>IF(Transactions!A604="",1,IF(COUNTIF(Transactions!$A$1:A603,Transactions!A604)&gt;0,1,0))</f>
        <v/>
      </c>
      <c r="E604">
        <f>IF(D604=1,0,IF(B604="RETURN",IF(COUNTIFS($A$1:A603,A604,$B$1:B603,"SALE",$E$1:E603,1)&gt;0,1,0),1))</f>
        <v/>
      </c>
      <c r="F604">
        <f>IF(E604=1,IF(B604="RECEIPT",Transactions!E604,IF(AND(B604="RETURN",LOWER(TRIM(Transactions!H604))="resellable"),Transactions!E604,0)),0)</f>
        <v/>
      </c>
      <c r="G604">
        <f>IF(F604&gt;0,IF(B604="RECEIPT",Transactions!F604,IF(_xlfn.MAXIFS($H$2:H604,$A$2:A604,A604)&gt;0,INDEX(Transactions!$F:$F,_xlfn.MAXIFS($H$2:H604,$A$2:A604,A604)),W604)),0)</f>
        <v/>
      </c>
      <c r="H604">
        <f>IF(AND(E604=1,B604="RECEIPT"),ROW(),0)</f>
        <v/>
      </c>
      <c r="I604">
        <f>IF(E604=1,IF(OR(B604="SALE",B604="WRITEOFF"),Transactions!E604,0),0)</f>
        <v/>
      </c>
      <c r="J604">
        <f>SUMIFS($F$1:F603,$A$1:A603,A604)</f>
        <v/>
      </c>
      <c r="K604">
        <f>SUMIFS($I$1:I603,$A$1:A603,A604)</f>
        <v/>
      </c>
      <c r="L604">
        <f>IFERROR(VLOOKUP(A604,Opening!$A:$C,3,0),0)</f>
        <v/>
      </c>
      <c r="M604">
        <f>IF(I604=0,0,MAX(0,MIN(INDEX(Month!H$2:H$13,MATCH($A604,Month!$A$2:$A$13,0))-K604,I604)))</f>
        <v/>
      </c>
      <c r="N604">
        <f>IF(I604=0,0,MAX(0,MIN(INDEX(Month!I$2:I$13,MATCH($A604,Month!$A$2:$A$13,0))-K604,I604)))</f>
        <v/>
      </c>
      <c r="O604">
        <f>IF(I604=0,0,MAX(0,MIN(INDEX(Month!J$2:J$13,MATCH($A604,Month!$A$2:$A$13,0))-K604,I604)))</f>
        <v/>
      </c>
      <c r="P604">
        <f>IF(I604=0,0,(MIN(MAX(K604,0),L604)*W604+SUMPRODUCT((Calc!$A$2:$A$1001=A604)*Calc!$G$2:$G$1001*(((K604-(L604+Calc!$J$2:$J$1001))&gt;0)*((K604-(L604+Calc!$J$2:$J$1001))&lt;Calc!$F$2:$F$1001)*(K604-(L604+Calc!$J$2:$J$1001))+((K604-(L604+Calc!$J$2:$J$1001))&gt;=Calc!$F$2:$F$1001)*Calc!$F$2:$F$1001))))</f>
        <v/>
      </c>
      <c r="Q604">
        <f>IF(I604=0,0,(MIN(MAX((K604+M604),0),L604)*W604+SUMPRODUCT((Calc!$A$2:$A$1001=A604)*Calc!$G$2:$G$1001*((((K604+M604)-(L604+Calc!$J$2:$J$1001))&gt;0)*(((K604+M604)-(L604+Calc!$J$2:$J$1001))&lt;Calc!$F$2:$F$1001)*((K604+M604)-(L604+Calc!$J$2:$J$1001))+(((K604+M604)-(L604+Calc!$J$2:$J$1001))&gt;=Calc!$F$2:$F$1001)*Calc!$F$2:$F$1001))))</f>
        <v/>
      </c>
      <c r="R604">
        <f>IF(I604=0,0,(MIN(MAX((K604+N604),0),L604)*W604+SUMPRODUCT((Calc!$A$2:$A$1001=A604)*Calc!$G$2:$G$1001*((((K604+N604)-(L604+Calc!$J$2:$J$1001))&gt;0)*(((K604+N604)-(L604+Calc!$J$2:$J$1001))&lt;Calc!$F$2:$F$1001)*((K604+N604)-(L604+Calc!$J$2:$J$1001))+(((K604+N604)-(L604+Calc!$J$2:$J$1001))&gt;=Calc!$F$2:$F$1001)*Calc!$F$2:$F$1001))))</f>
        <v/>
      </c>
      <c r="S604">
        <f>IF(I604=0,0,(MIN(MAX((K604+O604),0),L604)*W604+SUMPRODUCT((Calc!$A$2:$A$1001=A604)*Calc!$G$2:$G$1001*((((K604+O604)-(L604+Calc!$J$2:$J$1001))&gt;0)*(((K604+O604)-(L604+Calc!$J$2:$J$1001))&lt;Calc!$F$2:$F$1001)*((K604+O604)-(L604+Calc!$J$2:$J$1001))+(((K604+O604)-(L604+Calc!$J$2:$J$1001))&gt;=Calc!$F$2:$F$1001)*Calc!$F$2:$F$1001))))</f>
        <v/>
      </c>
      <c r="T604">
        <f>IF(AND(E604=1,B604="RETURN"),Transactions!E604*Transactions!G604,0)</f>
        <v/>
      </c>
      <c r="U604">
        <f>IF(AND(E604=1,B604="EXPENSE"),Transactions!J604,0)</f>
        <v/>
      </c>
      <c r="V604">
        <f>IF(AND(Transactions!A604&lt;&gt;"",E604=0),ROW(),"")</f>
        <v/>
      </c>
      <c r="W604">
        <f>IFERROR(VLOOKUP(A604,Opening!$A:$D,4,0),0)</f>
        <v/>
      </c>
    </row>
    <row r="605">
      <c r="A605">
        <f>IF(Transactions!D605="","",UPPER(TRIM(Transactions!D605)))</f>
        <v/>
      </c>
      <c r="B605">
        <f>IF(Transactions!C605="","",UPPER(TRIM(Transactions!C605)))</f>
        <v/>
      </c>
      <c r="C605">
        <f>IF(Transactions!B605="",0,YEAR(Transactions!B605)*100+MONTH(Transactions!B605))</f>
        <v/>
      </c>
      <c r="D605">
        <f>IF(Transactions!A605="",1,IF(COUNTIF(Transactions!$A$1:A604,Transactions!A605)&gt;0,1,0))</f>
        <v/>
      </c>
      <c r="E605">
        <f>IF(D605=1,0,IF(B605="RETURN",IF(COUNTIFS($A$1:A604,A605,$B$1:B604,"SALE",$E$1:E604,1)&gt;0,1,0),1))</f>
        <v/>
      </c>
      <c r="F605">
        <f>IF(E605=1,IF(B605="RECEIPT",Transactions!E605,IF(AND(B605="RETURN",LOWER(TRIM(Transactions!H605))="resellable"),Transactions!E605,0)),0)</f>
        <v/>
      </c>
      <c r="G605">
        <f>IF(F605&gt;0,IF(B605="RECEIPT",Transactions!F605,IF(_xlfn.MAXIFS($H$2:H605,$A$2:A605,A605)&gt;0,INDEX(Transactions!$F:$F,_xlfn.MAXIFS($H$2:H605,$A$2:A605,A605)),W605)),0)</f>
        <v/>
      </c>
      <c r="H605">
        <f>IF(AND(E605=1,B605="RECEIPT"),ROW(),0)</f>
        <v/>
      </c>
      <c r="I605">
        <f>IF(E605=1,IF(OR(B605="SALE",B605="WRITEOFF"),Transactions!E605,0),0)</f>
        <v/>
      </c>
      <c r="J605">
        <f>SUMIFS($F$1:F604,$A$1:A604,A605)</f>
        <v/>
      </c>
      <c r="K605">
        <f>SUMIFS($I$1:I604,$A$1:A604,A605)</f>
        <v/>
      </c>
      <c r="L605">
        <f>IFERROR(VLOOKUP(A605,Opening!$A:$C,3,0),0)</f>
        <v/>
      </c>
      <c r="M605">
        <f>IF(I605=0,0,MAX(0,MIN(INDEX(Month!H$2:H$13,MATCH($A605,Month!$A$2:$A$13,0))-K605,I605)))</f>
        <v/>
      </c>
      <c r="N605">
        <f>IF(I605=0,0,MAX(0,MIN(INDEX(Month!I$2:I$13,MATCH($A605,Month!$A$2:$A$13,0))-K605,I605)))</f>
        <v/>
      </c>
      <c r="O605">
        <f>IF(I605=0,0,MAX(0,MIN(INDEX(Month!J$2:J$13,MATCH($A605,Month!$A$2:$A$13,0))-K605,I605)))</f>
        <v/>
      </c>
      <c r="P605">
        <f>IF(I605=0,0,(MIN(MAX(K605,0),L605)*W605+SUMPRODUCT((Calc!$A$2:$A$1001=A605)*Calc!$G$2:$G$1001*(((K605-(L605+Calc!$J$2:$J$1001))&gt;0)*((K605-(L605+Calc!$J$2:$J$1001))&lt;Calc!$F$2:$F$1001)*(K605-(L605+Calc!$J$2:$J$1001))+((K605-(L605+Calc!$J$2:$J$1001))&gt;=Calc!$F$2:$F$1001)*Calc!$F$2:$F$1001))))</f>
        <v/>
      </c>
      <c r="Q605">
        <f>IF(I605=0,0,(MIN(MAX((K605+M605),0),L605)*W605+SUMPRODUCT((Calc!$A$2:$A$1001=A605)*Calc!$G$2:$G$1001*((((K605+M605)-(L605+Calc!$J$2:$J$1001))&gt;0)*(((K605+M605)-(L605+Calc!$J$2:$J$1001))&lt;Calc!$F$2:$F$1001)*((K605+M605)-(L605+Calc!$J$2:$J$1001))+(((K605+M605)-(L605+Calc!$J$2:$J$1001))&gt;=Calc!$F$2:$F$1001)*Calc!$F$2:$F$1001))))</f>
        <v/>
      </c>
      <c r="R605">
        <f>IF(I605=0,0,(MIN(MAX((K605+N605),0),L605)*W605+SUMPRODUCT((Calc!$A$2:$A$1001=A605)*Calc!$G$2:$G$1001*((((K605+N605)-(L605+Calc!$J$2:$J$1001))&gt;0)*(((K605+N605)-(L605+Calc!$J$2:$J$1001))&lt;Calc!$F$2:$F$1001)*((K605+N605)-(L605+Calc!$J$2:$J$1001))+(((K605+N605)-(L605+Calc!$J$2:$J$1001))&gt;=Calc!$F$2:$F$1001)*Calc!$F$2:$F$1001))))</f>
        <v/>
      </c>
      <c r="S605">
        <f>IF(I605=0,0,(MIN(MAX((K605+O605),0),L605)*W605+SUMPRODUCT((Calc!$A$2:$A$1001=A605)*Calc!$G$2:$G$1001*((((K605+O605)-(L605+Calc!$J$2:$J$1001))&gt;0)*(((K605+O605)-(L605+Calc!$J$2:$J$1001))&lt;Calc!$F$2:$F$1001)*((K605+O605)-(L605+Calc!$J$2:$J$1001))+(((K605+O605)-(L605+Calc!$J$2:$J$1001))&gt;=Calc!$F$2:$F$1001)*Calc!$F$2:$F$1001))))</f>
        <v/>
      </c>
      <c r="T605">
        <f>IF(AND(E605=1,B605="RETURN"),Transactions!E605*Transactions!G605,0)</f>
        <v/>
      </c>
      <c r="U605">
        <f>IF(AND(E605=1,B605="EXPENSE"),Transactions!J605,0)</f>
        <v/>
      </c>
      <c r="V605">
        <f>IF(AND(Transactions!A605&lt;&gt;"",E605=0),ROW(),"")</f>
        <v/>
      </c>
      <c r="W605">
        <f>IFERROR(VLOOKUP(A605,Opening!$A:$D,4,0),0)</f>
        <v/>
      </c>
    </row>
    <row r="606">
      <c r="A606">
        <f>IF(Transactions!D606="","",UPPER(TRIM(Transactions!D606)))</f>
        <v/>
      </c>
      <c r="B606">
        <f>IF(Transactions!C606="","",UPPER(TRIM(Transactions!C606)))</f>
        <v/>
      </c>
      <c r="C606">
        <f>IF(Transactions!B606="",0,YEAR(Transactions!B606)*100+MONTH(Transactions!B606))</f>
        <v/>
      </c>
      <c r="D606">
        <f>IF(Transactions!A606="",1,IF(COUNTIF(Transactions!$A$1:A605,Transactions!A606)&gt;0,1,0))</f>
        <v/>
      </c>
      <c r="E606">
        <f>IF(D606=1,0,IF(B606="RETURN",IF(COUNTIFS($A$1:A605,A606,$B$1:B605,"SALE",$E$1:E605,1)&gt;0,1,0),1))</f>
        <v/>
      </c>
      <c r="F606">
        <f>IF(E606=1,IF(B606="RECEIPT",Transactions!E606,IF(AND(B606="RETURN",LOWER(TRIM(Transactions!H606))="resellable"),Transactions!E606,0)),0)</f>
        <v/>
      </c>
      <c r="G606">
        <f>IF(F606&gt;0,IF(B606="RECEIPT",Transactions!F606,IF(_xlfn.MAXIFS($H$2:H606,$A$2:A606,A606)&gt;0,INDEX(Transactions!$F:$F,_xlfn.MAXIFS($H$2:H606,$A$2:A606,A606)),W606)),0)</f>
        <v/>
      </c>
      <c r="H606">
        <f>IF(AND(E606=1,B606="RECEIPT"),ROW(),0)</f>
        <v/>
      </c>
      <c r="I606">
        <f>IF(E606=1,IF(OR(B606="SALE",B606="WRITEOFF"),Transactions!E606,0),0)</f>
        <v/>
      </c>
      <c r="J606">
        <f>SUMIFS($F$1:F605,$A$1:A605,A606)</f>
        <v/>
      </c>
      <c r="K606">
        <f>SUMIFS($I$1:I605,$A$1:A605,A606)</f>
        <v/>
      </c>
      <c r="L606">
        <f>IFERROR(VLOOKUP(A606,Opening!$A:$C,3,0),0)</f>
        <v/>
      </c>
      <c r="M606">
        <f>IF(I606=0,0,MAX(0,MIN(INDEX(Month!H$2:H$13,MATCH($A606,Month!$A$2:$A$13,0))-K606,I606)))</f>
        <v/>
      </c>
      <c r="N606">
        <f>IF(I606=0,0,MAX(0,MIN(INDEX(Month!I$2:I$13,MATCH($A606,Month!$A$2:$A$13,0))-K606,I606)))</f>
        <v/>
      </c>
      <c r="O606">
        <f>IF(I606=0,0,MAX(0,MIN(INDEX(Month!J$2:J$13,MATCH($A606,Month!$A$2:$A$13,0))-K606,I606)))</f>
        <v/>
      </c>
      <c r="P606">
        <f>IF(I606=0,0,(MIN(MAX(K606,0),L606)*W606+SUMPRODUCT((Calc!$A$2:$A$1001=A606)*Calc!$G$2:$G$1001*(((K606-(L606+Calc!$J$2:$J$1001))&gt;0)*((K606-(L606+Calc!$J$2:$J$1001))&lt;Calc!$F$2:$F$1001)*(K606-(L606+Calc!$J$2:$J$1001))+((K606-(L606+Calc!$J$2:$J$1001))&gt;=Calc!$F$2:$F$1001)*Calc!$F$2:$F$1001))))</f>
        <v/>
      </c>
      <c r="Q606">
        <f>IF(I606=0,0,(MIN(MAX((K606+M606),0),L606)*W606+SUMPRODUCT((Calc!$A$2:$A$1001=A606)*Calc!$G$2:$G$1001*((((K606+M606)-(L606+Calc!$J$2:$J$1001))&gt;0)*(((K606+M606)-(L606+Calc!$J$2:$J$1001))&lt;Calc!$F$2:$F$1001)*((K606+M606)-(L606+Calc!$J$2:$J$1001))+(((K606+M606)-(L606+Calc!$J$2:$J$1001))&gt;=Calc!$F$2:$F$1001)*Calc!$F$2:$F$1001))))</f>
        <v/>
      </c>
      <c r="R606">
        <f>IF(I606=0,0,(MIN(MAX((K606+N606),0),L606)*W606+SUMPRODUCT((Calc!$A$2:$A$1001=A606)*Calc!$G$2:$G$1001*((((K606+N606)-(L606+Calc!$J$2:$J$1001))&gt;0)*(((K606+N606)-(L606+Calc!$J$2:$J$1001))&lt;Calc!$F$2:$F$1001)*((K606+N606)-(L606+Calc!$J$2:$J$1001))+(((K606+N606)-(L606+Calc!$J$2:$J$1001))&gt;=Calc!$F$2:$F$1001)*Calc!$F$2:$F$1001))))</f>
        <v/>
      </c>
      <c r="S606">
        <f>IF(I606=0,0,(MIN(MAX((K606+O606),0),L606)*W606+SUMPRODUCT((Calc!$A$2:$A$1001=A606)*Calc!$G$2:$G$1001*((((K606+O606)-(L606+Calc!$J$2:$J$1001))&gt;0)*(((K606+O606)-(L606+Calc!$J$2:$J$1001))&lt;Calc!$F$2:$F$1001)*((K606+O606)-(L606+Calc!$J$2:$J$1001))+(((K606+O606)-(L606+Calc!$J$2:$J$1001))&gt;=Calc!$F$2:$F$1001)*Calc!$F$2:$F$1001))))</f>
        <v/>
      </c>
      <c r="T606">
        <f>IF(AND(E606=1,B606="RETURN"),Transactions!E606*Transactions!G606,0)</f>
        <v/>
      </c>
      <c r="U606">
        <f>IF(AND(E606=1,B606="EXPENSE"),Transactions!J606,0)</f>
        <v/>
      </c>
      <c r="V606">
        <f>IF(AND(Transactions!A606&lt;&gt;"",E606=0),ROW(),"")</f>
        <v/>
      </c>
      <c r="W606">
        <f>IFERROR(VLOOKUP(A606,Opening!$A:$D,4,0),0)</f>
        <v/>
      </c>
    </row>
    <row r="607">
      <c r="A607">
        <f>IF(Transactions!D607="","",UPPER(TRIM(Transactions!D607)))</f>
        <v/>
      </c>
      <c r="B607">
        <f>IF(Transactions!C607="","",UPPER(TRIM(Transactions!C607)))</f>
        <v/>
      </c>
      <c r="C607">
        <f>IF(Transactions!B607="",0,YEAR(Transactions!B607)*100+MONTH(Transactions!B607))</f>
        <v/>
      </c>
      <c r="D607">
        <f>IF(Transactions!A607="",1,IF(COUNTIF(Transactions!$A$1:A606,Transactions!A607)&gt;0,1,0))</f>
        <v/>
      </c>
      <c r="E607">
        <f>IF(D607=1,0,IF(B607="RETURN",IF(COUNTIFS($A$1:A606,A607,$B$1:B606,"SALE",$E$1:E606,1)&gt;0,1,0),1))</f>
        <v/>
      </c>
      <c r="F607">
        <f>IF(E607=1,IF(B607="RECEIPT",Transactions!E607,IF(AND(B607="RETURN",LOWER(TRIM(Transactions!H607))="resellable"),Transactions!E607,0)),0)</f>
        <v/>
      </c>
      <c r="G607">
        <f>IF(F607&gt;0,IF(B607="RECEIPT",Transactions!F607,IF(_xlfn.MAXIFS($H$2:H607,$A$2:A607,A607)&gt;0,INDEX(Transactions!$F:$F,_xlfn.MAXIFS($H$2:H607,$A$2:A607,A607)),W607)),0)</f>
        <v/>
      </c>
      <c r="H607">
        <f>IF(AND(E607=1,B607="RECEIPT"),ROW(),0)</f>
        <v/>
      </c>
      <c r="I607">
        <f>IF(E607=1,IF(OR(B607="SALE",B607="WRITEOFF"),Transactions!E607,0),0)</f>
        <v/>
      </c>
      <c r="J607">
        <f>SUMIFS($F$1:F606,$A$1:A606,A607)</f>
        <v/>
      </c>
      <c r="K607">
        <f>SUMIFS($I$1:I606,$A$1:A606,A607)</f>
        <v/>
      </c>
      <c r="L607">
        <f>IFERROR(VLOOKUP(A607,Opening!$A:$C,3,0),0)</f>
        <v/>
      </c>
      <c r="M607">
        <f>IF(I607=0,0,MAX(0,MIN(INDEX(Month!H$2:H$13,MATCH($A607,Month!$A$2:$A$13,0))-K607,I607)))</f>
        <v/>
      </c>
      <c r="N607">
        <f>IF(I607=0,0,MAX(0,MIN(INDEX(Month!I$2:I$13,MATCH($A607,Month!$A$2:$A$13,0))-K607,I607)))</f>
        <v/>
      </c>
      <c r="O607">
        <f>IF(I607=0,0,MAX(0,MIN(INDEX(Month!J$2:J$13,MATCH($A607,Month!$A$2:$A$13,0))-K607,I607)))</f>
        <v/>
      </c>
      <c r="P607">
        <f>IF(I607=0,0,(MIN(MAX(K607,0),L607)*W607+SUMPRODUCT((Calc!$A$2:$A$1001=A607)*Calc!$G$2:$G$1001*(((K607-(L607+Calc!$J$2:$J$1001))&gt;0)*((K607-(L607+Calc!$J$2:$J$1001))&lt;Calc!$F$2:$F$1001)*(K607-(L607+Calc!$J$2:$J$1001))+((K607-(L607+Calc!$J$2:$J$1001))&gt;=Calc!$F$2:$F$1001)*Calc!$F$2:$F$1001))))</f>
        <v/>
      </c>
      <c r="Q607">
        <f>IF(I607=0,0,(MIN(MAX((K607+M607),0),L607)*W607+SUMPRODUCT((Calc!$A$2:$A$1001=A607)*Calc!$G$2:$G$1001*((((K607+M607)-(L607+Calc!$J$2:$J$1001))&gt;0)*(((K607+M607)-(L607+Calc!$J$2:$J$1001))&lt;Calc!$F$2:$F$1001)*((K607+M607)-(L607+Calc!$J$2:$J$1001))+(((K607+M607)-(L607+Calc!$J$2:$J$1001))&gt;=Calc!$F$2:$F$1001)*Calc!$F$2:$F$1001))))</f>
        <v/>
      </c>
      <c r="R607">
        <f>IF(I607=0,0,(MIN(MAX((K607+N607),0),L607)*W607+SUMPRODUCT((Calc!$A$2:$A$1001=A607)*Calc!$G$2:$G$1001*((((K607+N607)-(L607+Calc!$J$2:$J$1001))&gt;0)*(((K607+N607)-(L607+Calc!$J$2:$J$1001))&lt;Calc!$F$2:$F$1001)*((K607+N607)-(L607+Calc!$J$2:$J$1001))+(((K607+N607)-(L607+Calc!$J$2:$J$1001))&gt;=Calc!$F$2:$F$1001)*Calc!$F$2:$F$1001))))</f>
        <v/>
      </c>
      <c r="S607">
        <f>IF(I607=0,0,(MIN(MAX((K607+O607),0),L607)*W607+SUMPRODUCT((Calc!$A$2:$A$1001=A607)*Calc!$G$2:$G$1001*((((K607+O607)-(L607+Calc!$J$2:$J$1001))&gt;0)*(((K607+O607)-(L607+Calc!$J$2:$J$1001))&lt;Calc!$F$2:$F$1001)*((K607+O607)-(L607+Calc!$J$2:$J$1001))+(((K607+O607)-(L607+Calc!$J$2:$J$1001))&gt;=Calc!$F$2:$F$1001)*Calc!$F$2:$F$1001))))</f>
        <v/>
      </c>
      <c r="T607">
        <f>IF(AND(E607=1,B607="RETURN"),Transactions!E607*Transactions!G607,0)</f>
        <v/>
      </c>
      <c r="U607">
        <f>IF(AND(E607=1,B607="EXPENSE"),Transactions!J607,0)</f>
        <v/>
      </c>
      <c r="V607">
        <f>IF(AND(Transactions!A607&lt;&gt;"",E607=0),ROW(),"")</f>
        <v/>
      </c>
      <c r="W607">
        <f>IFERROR(VLOOKUP(A607,Opening!$A:$D,4,0),0)</f>
        <v/>
      </c>
    </row>
    <row r="608">
      <c r="A608">
        <f>IF(Transactions!D608="","",UPPER(TRIM(Transactions!D608)))</f>
        <v/>
      </c>
      <c r="B608">
        <f>IF(Transactions!C608="","",UPPER(TRIM(Transactions!C608)))</f>
        <v/>
      </c>
      <c r="C608">
        <f>IF(Transactions!B608="",0,YEAR(Transactions!B608)*100+MONTH(Transactions!B608))</f>
        <v/>
      </c>
      <c r="D608">
        <f>IF(Transactions!A608="",1,IF(COUNTIF(Transactions!$A$1:A607,Transactions!A608)&gt;0,1,0))</f>
        <v/>
      </c>
      <c r="E608">
        <f>IF(D608=1,0,IF(B608="RETURN",IF(COUNTIFS($A$1:A607,A608,$B$1:B607,"SALE",$E$1:E607,1)&gt;0,1,0),1))</f>
        <v/>
      </c>
      <c r="F608">
        <f>IF(E608=1,IF(B608="RECEIPT",Transactions!E608,IF(AND(B608="RETURN",LOWER(TRIM(Transactions!H608))="resellable"),Transactions!E608,0)),0)</f>
        <v/>
      </c>
      <c r="G608">
        <f>IF(F608&gt;0,IF(B608="RECEIPT",Transactions!F608,IF(_xlfn.MAXIFS($H$2:H608,$A$2:A608,A608)&gt;0,INDEX(Transactions!$F:$F,_xlfn.MAXIFS($H$2:H608,$A$2:A608,A608)),W608)),0)</f>
        <v/>
      </c>
      <c r="H608">
        <f>IF(AND(E608=1,B608="RECEIPT"),ROW(),0)</f>
        <v/>
      </c>
      <c r="I608">
        <f>IF(E608=1,IF(OR(B608="SALE",B608="WRITEOFF"),Transactions!E608,0),0)</f>
        <v/>
      </c>
      <c r="J608">
        <f>SUMIFS($F$1:F607,$A$1:A607,A608)</f>
        <v/>
      </c>
      <c r="K608">
        <f>SUMIFS($I$1:I607,$A$1:A607,A608)</f>
        <v/>
      </c>
      <c r="L608">
        <f>IFERROR(VLOOKUP(A608,Opening!$A:$C,3,0),0)</f>
        <v/>
      </c>
      <c r="M608">
        <f>IF(I608=0,0,MAX(0,MIN(INDEX(Month!H$2:H$13,MATCH($A608,Month!$A$2:$A$13,0))-K608,I608)))</f>
        <v/>
      </c>
      <c r="N608">
        <f>IF(I608=0,0,MAX(0,MIN(INDEX(Month!I$2:I$13,MATCH($A608,Month!$A$2:$A$13,0))-K608,I608)))</f>
        <v/>
      </c>
      <c r="O608">
        <f>IF(I608=0,0,MAX(0,MIN(INDEX(Month!J$2:J$13,MATCH($A608,Month!$A$2:$A$13,0))-K608,I608)))</f>
        <v/>
      </c>
      <c r="P608">
        <f>IF(I608=0,0,(MIN(MAX(K608,0),L608)*W608+SUMPRODUCT((Calc!$A$2:$A$1001=A608)*Calc!$G$2:$G$1001*(((K608-(L608+Calc!$J$2:$J$1001))&gt;0)*((K608-(L608+Calc!$J$2:$J$1001))&lt;Calc!$F$2:$F$1001)*(K608-(L608+Calc!$J$2:$J$1001))+((K608-(L608+Calc!$J$2:$J$1001))&gt;=Calc!$F$2:$F$1001)*Calc!$F$2:$F$1001))))</f>
        <v/>
      </c>
      <c r="Q608">
        <f>IF(I608=0,0,(MIN(MAX((K608+M608),0),L608)*W608+SUMPRODUCT((Calc!$A$2:$A$1001=A608)*Calc!$G$2:$G$1001*((((K608+M608)-(L608+Calc!$J$2:$J$1001))&gt;0)*(((K608+M608)-(L608+Calc!$J$2:$J$1001))&lt;Calc!$F$2:$F$1001)*((K608+M608)-(L608+Calc!$J$2:$J$1001))+(((K608+M608)-(L608+Calc!$J$2:$J$1001))&gt;=Calc!$F$2:$F$1001)*Calc!$F$2:$F$1001))))</f>
        <v/>
      </c>
      <c r="R608">
        <f>IF(I608=0,0,(MIN(MAX((K608+N608),0),L608)*W608+SUMPRODUCT((Calc!$A$2:$A$1001=A608)*Calc!$G$2:$G$1001*((((K608+N608)-(L608+Calc!$J$2:$J$1001))&gt;0)*(((K608+N608)-(L608+Calc!$J$2:$J$1001))&lt;Calc!$F$2:$F$1001)*((K608+N608)-(L608+Calc!$J$2:$J$1001))+(((K608+N608)-(L608+Calc!$J$2:$J$1001))&gt;=Calc!$F$2:$F$1001)*Calc!$F$2:$F$1001))))</f>
        <v/>
      </c>
      <c r="S608">
        <f>IF(I608=0,0,(MIN(MAX((K608+O608),0),L608)*W608+SUMPRODUCT((Calc!$A$2:$A$1001=A608)*Calc!$G$2:$G$1001*((((K608+O608)-(L608+Calc!$J$2:$J$1001))&gt;0)*(((K608+O608)-(L608+Calc!$J$2:$J$1001))&lt;Calc!$F$2:$F$1001)*((K608+O608)-(L608+Calc!$J$2:$J$1001))+(((K608+O608)-(L608+Calc!$J$2:$J$1001))&gt;=Calc!$F$2:$F$1001)*Calc!$F$2:$F$1001))))</f>
        <v/>
      </c>
      <c r="T608">
        <f>IF(AND(E608=1,B608="RETURN"),Transactions!E608*Transactions!G608,0)</f>
        <v/>
      </c>
      <c r="U608">
        <f>IF(AND(E608=1,B608="EXPENSE"),Transactions!J608,0)</f>
        <v/>
      </c>
      <c r="V608">
        <f>IF(AND(Transactions!A608&lt;&gt;"",E608=0),ROW(),"")</f>
        <v/>
      </c>
      <c r="W608">
        <f>IFERROR(VLOOKUP(A608,Opening!$A:$D,4,0),0)</f>
        <v/>
      </c>
    </row>
    <row r="609">
      <c r="A609">
        <f>IF(Transactions!D609="","",UPPER(TRIM(Transactions!D609)))</f>
        <v/>
      </c>
      <c r="B609">
        <f>IF(Transactions!C609="","",UPPER(TRIM(Transactions!C609)))</f>
        <v/>
      </c>
      <c r="C609">
        <f>IF(Transactions!B609="",0,YEAR(Transactions!B609)*100+MONTH(Transactions!B609))</f>
        <v/>
      </c>
      <c r="D609">
        <f>IF(Transactions!A609="",1,IF(COUNTIF(Transactions!$A$1:A608,Transactions!A609)&gt;0,1,0))</f>
        <v/>
      </c>
      <c r="E609">
        <f>IF(D609=1,0,IF(B609="RETURN",IF(COUNTIFS($A$1:A608,A609,$B$1:B608,"SALE",$E$1:E608,1)&gt;0,1,0),1))</f>
        <v/>
      </c>
      <c r="F609">
        <f>IF(E609=1,IF(B609="RECEIPT",Transactions!E609,IF(AND(B609="RETURN",LOWER(TRIM(Transactions!H609))="resellable"),Transactions!E609,0)),0)</f>
        <v/>
      </c>
      <c r="G609">
        <f>IF(F609&gt;0,IF(B609="RECEIPT",Transactions!F609,IF(_xlfn.MAXIFS($H$2:H609,$A$2:A609,A609)&gt;0,INDEX(Transactions!$F:$F,_xlfn.MAXIFS($H$2:H609,$A$2:A609,A609)),W609)),0)</f>
        <v/>
      </c>
      <c r="H609">
        <f>IF(AND(E609=1,B609="RECEIPT"),ROW(),0)</f>
        <v/>
      </c>
      <c r="I609">
        <f>IF(E609=1,IF(OR(B609="SALE",B609="WRITEOFF"),Transactions!E609,0),0)</f>
        <v/>
      </c>
      <c r="J609">
        <f>SUMIFS($F$1:F608,$A$1:A608,A609)</f>
        <v/>
      </c>
      <c r="K609">
        <f>SUMIFS($I$1:I608,$A$1:A608,A609)</f>
        <v/>
      </c>
      <c r="L609">
        <f>IFERROR(VLOOKUP(A609,Opening!$A:$C,3,0),0)</f>
        <v/>
      </c>
      <c r="M609">
        <f>IF(I609=0,0,MAX(0,MIN(INDEX(Month!H$2:H$13,MATCH($A609,Month!$A$2:$A$13,0))-K609,I609)))</f>
        <v/>
      </c>
      <c r="N609">
        <f>IF(I609=0,0,MAX(0,MIN(INDEX(Month!I$2:I$13,MATCH($A609,Month!$A$2:$A$13,0))-K609,I609)))</f>
        <v/>
      </c>
      <c r="O609">
        <f>IF(I609=0,0,MAX(0,MIN(INDEX(Month!J$2:J$13,MATCH($A609,Month!$A$2:$A$13,0))-K609,I609)))</f>
        <v/>
      </c>
      <c r="P609">
        <f>IF(I609=0,0,(MIN(MAX(K609,0),L609)*W609+SUMPRODUCT((Calc!$A$2:$A$1001=A609)*Calc!$G$2:$G$1001*(((K609-(L609+Calc!$J$2:$J$1001))&gt;0)*((K609-(L609+Calc!$J$2:$J$1001))&lt;Calc!$F$2:$F$1001)*(K609-(L609+Calc!$J$2:$J$1001))+((K609-(L609+Calc!$J$2:$J$1001))&gt;=Calc!$F$2:$F$1001)*Calc!$F$2:$F$1001))))</f>
        <v/>
      </c>
      <c r="Q609">
        <f>IF(I609=0,0,(MIN(MAX((K609+M609),0),L609)*W609+SUMPRODUCT((Calc!$A$2:$A$1001=A609)*Calc!$G$2:$G$1001*((((K609+M609)-(L609+Calc!$J$2:$J$1001))&gt;0)*(((K609+M609)-(L609+Calc!$J$2:$J$1001))&lt;Calc!$F$2:$F$1001)*((K609+M609)-(L609+Calc!$J$2:$J$1001))+(((K609+M609)-(L609+Calc!$J$2:$J$1001))&gt;=Calc!$F$2:$F$1001)*Calc!$F$2:$F$1001))))</f>
        <v/>
      </c>
      <c r="R609">
        <f>IF(I609=0,0,(MIN(MAX((K609+N609),0),L609)*W609+SUMPRODUCT((Calc!$A$2:$A$1001=A609)*Calc!$G$2:$G$1001*((((K609+N609)-(L609+Calc!$J$2:$J$1001))&gt;0)*(((K609+N609)-(L609+Calc!$J$2:$J$1001))&lt;Calc!$F$2:$F$1001)*((K609+N609)-(L609+Calc!$J$2:$J$1001))+(((K609+N609)-(L609+Calc!$J$2:$J$1001))&gt;=Calc!$F$2:$F$1001)*Calc!$F$2:$F$1001))))</f>
        <v/>
      </c>
      <c r="S609">
        <f>IF(I609=0,0,(MIN(MAX((K609+O609),0),L609)*W609+SUMPRODUCT((Calc!$A$2:$A$1001=A609)*Calc!$G$2:$G$1001*((((K609+O609)-(L609+Calc!$J$2:$J$1001))&gt;0)*(((K609+O609)-(L609+Calc!$J$2:$J$1001))&lt;Calc!$F$2:$F$1001)*((K609+O609)-(L609+Calc!$J$2:$J$1001))+(((K609+O609)-(L609+Calc!$J$2:$J$1001))&gt;=Calc!$F$2:$F$1001)*Calc!$F$2:$F$1001))))</f>
        <v/>
      </c>
      <c r="T609">
        <f>IF(AND(E609=1,B609="RETURN"),Transactions!E609*Transactions!G609,0)</f>
        <v/>
      </c>
      <c r="U609">
        <f>IF(AND(E609=1,B609="EXPENSE"),Transactions!J609,0)</f>
        <v/>
      </c>
      <c r="V609">
        <f>IF(AND(Transactions!A609&lt;&gt;"",E609=0),ROW(),"")</f>
        <v/>
      </c>
      <c r="W609">
        <f>IFERROR(VLOOKUP(A609,Opening!$A:$D,4,0),0)</f>
        <v/>
      </c>
    </row>
    <row r="610">
      <c r="A610">
        <f>IF(Transactions!D610="","",UPPER(TRIM(Transactions!D610)))</f>
        <v/>
      </c>
      <c r="B610">
        <f>IF(Transactions!C610="","",UPPER(TRIM(Transactions!C610)))</f>
        <v/>
      </c>
      <c r="C610">
        <f>IF(Transactions!B610="",0,YEAR(Transactions!B610)*100+MONTH(Transactions!B610))</f>
        <v/>
      </c>
      <c r="D610">
        <f>IF(Transactions!A610="",1,IF(COUNTIF(Transactions!$A$1:A609,Transactions!A610)&gt;0,1,0))</f>
        <v/>
      </c>
      <c r="E610">
        <f>IF(D610=1,0,IF(B610="RETURN",IF(COUNTIFS($A$1:A609,A610,$B$1:B609,"SALE",$E$1:E609,1)&gt;0,1,0),1))</f>
        <v/>
      </c>
      <c r="F610">
        <f>IF(E610=1,IF(B610="RECEIPT",Transactions!E610,IF(AND(B610="RETURN",LOWER(TRIM(Transactions!H610))="resellable"),Transactions!E610,0)),0)</f>
        <v/>
      </c>
      <c r="G610">
        <f>IF(F610&gt;0,IF(B610="RECEIPT",Transactions!F610,IF(_xlfn.MAXIFS($H$2:H610,$A$2:A610,A610)&gt;0,INDEX(Transactions!$F:$F,_xlfn.MAXIFS($H$2:H610,$A$2:A610,A610)),W610)),0)</f>
        <v/>
      </c>
      <c r="H610">
        <f>IF(AND(E610=1,B610="RECEIPT"),ROW(),0)</f>
        <v/>
      </c>
      <c r="I610">
        <f>IF(E610=1,IF(OR(B610="SALE",B610="WRITEOFF"),Transactions!E610,0),0)</f>
        <v/>
      </c>
      <c r="J610">
        <f>SUMIFS($F$1:F609,$A$1:A609,A610)</f>
        <v/>
      </c>
      <c r="K610">
        <f>SUMIFS($I$1:I609,$A$1:A609,A610)</f>
        <v/>
      </c>
      <c r="L610">
        <f>IFERROR(VLOOKUP(A610,Opening!$A:$C,3,0),0)</f>
        <v/>
      </c>
      <c r="M610">
        <f>IF(I610=0,0,MAX(0,MIN(INDEX(Month!H$2:H$13,MATCH($A610,Month!$A$2:$A$13,0))-K610,I610)))</f>
        <v/>
      </c>
      <c r="N610">
        <f>IF(I610=0,0,MAX(0,MIN(INDEX(Month!I$2:I$13,MATCH($A610,Month!$A$2:$A$13,0))-K610,I610)))</f>
        <v/>
      </c>
      <c r="O610">
        <f>IF(I610=0,0,MAX(0,MIN(INDEX(Month!J$2:J$13,MATCH($A610,Month!$A$2:$A$13,0))-K610,I610)))</f>
        <v/>
      </c>
      <c r="P610">
        <f>IF(I610=0,0,(MIN(MAX(K610,0),L610)*W610+SUMPRODUCT((Calc!$A$2:$A$1001=A610)*Calc!$G$2:$G$1001*(((K610-(L610+Calc!$J$2:$J$1001))&gt;0)*((K610-(L610+Calc!$J$2:$J$1001))&lt;Calc!$F$2:$F$1001)*(K610-(L610+Calc!$J$2:$J$1001))+((K610-(L610+Calc!$J$2:$J$1001))&gt;=Calc!$F$2:$F$1001)*Calc!$F$2:$F$1001))))</f>
        <v/>
      </c>
      <c r="Q610">
        <f>IF(I610=0,0,(MIN(MAX((K610+M610),0),L610)*W610+SUMPRODUCT((Calc!$A$2:$A$1001=A610)*Calc!$G$2:$G$1001*((((K610+M610)-(L610+Calc!$J$2:$J$1001))&gt;0)*(((K610+M610)-(L610+Calc!$J$2:$J$1001))&lt;Calc!$F$2:$F$1001)*((K610+M610)-(L610+Calc!$J$2:$J$1001))+(((K610+M610)-(L610+Calc!$J$2:$J$1001))&gt;=Calc!$F$2:$F$1001)*Calc!$F$2:$F$1001))))</f>
        <v/>
      </c>
      <c r="R610">
        <f>IF(I610=0,0,(MIN(MAX((K610+N610),0),L610)*W610+SUMPRODUCT((Calc!$A$2:$A$1001=A610)*Calc!$G$2:$G$1001*((((K610+N610)-(L610+Calc!$J$2:$J$1001))&gt;0)*(((K610+N610)-(L610+Calc!$J$2:$J$1001))&lt;Calc!$F$2:$F$1001)*((K610+N610)-(L610+Calc!$J$2:$J$1001))+(((K610+N610)-(L610+Calc!$J$2:$J$1001))&gt;=Calc!$F$2:$F$1001)*Calc!$F$2:$F$1001))))</f>
        <v/>
      </c>
      <c r="S610">
        <f>IF(I610=0,0,(MIN(MAX((K610+O610),0),L610)*W610+SUMPRODUCT((Calc!$A$2:$A$1001=A610)*Calc!$G$2:$G$1001*((((K610+O610)-(L610+Calc!$J$2:$J$1001))&gt;0)*(((K610+O610)-(L610+Calc!$J$2:$J$1001))&lt;Calc!$F$2:$F$1001)*((K610+O610)-(L610+Calc!$J$2:$J$1001))+(((K610+O610)-(L610+Calc!$J$2:$J$1001))&gt;=Calc!$F$2:$F$1001)*Calc!$F$2:$F$1001))))</f>
        <v/>
      </c>
      <c r="T610">
        <f>IF(AND(E610=1,B610="RETURN"),Transactions!E610*Transactions!G610,0)</f>
        <v/>
      </c>
      <c r="U610">
        <f>IF(AND(E610=1,B610="EXPENSE"),Transactions!J610,0)</f>
        <v/>
      </c>
      <c r="V610">
        <f>IF(AND(Transactions!A610&lt;&gt;"",E610=0),ROW(),"")</f>
        <v/>
      </c>
      <c r="W610">
        <f>IFERROR(VLOOKUP(A610,Opening!$A:$D,4,0),0)</f>
        <v/>
      </c>
    </row>
    <row r="611">
      <c r="A611">
        <f>IF(Transactions!D611="","",UPPER(TRIM(Transactions!D611)))</f>
        <v/>
      </c>
      <c r="B611">
        <f>IF(Transactions!C611="","",UPPER(TRIM(Transactions!C611)))</f>
        <v/>
      </c>
      <c r="C611">
        <f>IF(Transactions!B611="",0,YEAR(Transactions!B611)*100+MONTH(Transactions!B611))</f>
        <v/>
      </c>
      <c r="D611">
        <f>IF(Transactions!A611="",1,IF(COUNTIF(Transactions!$A$1:A610,Transactions!A611)&gt;0,1,0))</f>
        <v/>
      </c>
      <c r="E611">
        <f>IF(D611=1,0,IF(B611="RETURN",IF(COUNTIFS($A$1:A610,A611,$B$1:B610,"SALE",$E$1:E610,1)&gt;0,1,0),1))</f>
        <v/>
      </c>
      <c r="F611">
        <f>IF(E611=1,IF(B611="RECEIPT",Transactions!E611,IF(AND(B611="RETURN",LOWER(TRIM(Transactions!H611))="resellable"),Transactions!E611,0)),0)</f>
        <v/>
      </c>
      <c r="G611">
        <f>IF(F611&gt;0,IF(B611="RECEIPT",Transactions!F611,IF(_xlfn.MAXIFS($H$2:H611,$A$2:A611,A611)&gt;0,INDEX(Transactions!$F:$F,_xlfn.MAXIFS($H$2:H611,$A$2:A611,A611)),W611)),0)</f>
        <v/>
      </c>
      <c r="H611">
        <f>IF(AND(E611=1,B611="RECEIPT"),ROW(),0)</f>
        <v/>
      </c>
      <c r="I611">
        <f>IF(E611=1,IF(OR(B611="SALE",B611="WRITEOFF"),Transactions!E611,0),0)</f>
        <v/>
      </c>
      <c r="J611">
        <f>SUMIFS($F$1:F610,$A$1:A610,A611)</f>
        <v/>
      </c>
      <c r="K611">
        <f>SUMIFS($I$1:I610,$A$1:A610,A611)</f>
        <v/>
      </c>
      <c r="L611">
        <f>IFERROR(VLOOKUP(A611,Opening!$A:$C,3,0),0)</f>
        <v/>
      </c>
      <c r="M611">
        <f>IF(I611=0,0,MAX(0,MIN(INDEX(Month!H$2:H$13,MATCH($A611,Month!$A$2:$A$13,0))-K611,I611)))</f>
        <v/>
      </c>
      <c r="N611">
        <f>IF(I611=0,0,MAX(0,MIN(INDEX(Month!I$2:I$13,MATCH($A611,Month!$A$2:$A$13,0))-K611,I611)))</f>
        <v/>
      </c>
      <c r="O611">
        <f>IF(I611=0,0,MAX(0,MIN(INDEX(Month!J$2:J$13,MATCH($A611,Month!$A$2:$A$13,0))-K611,I611)))</f>
        <v/>
      </c>
      <c r="P611">
        <f>IF(I611=0,0,(MIN(MAX(K611,0),L611)*W611+SUMPRODUCT((Calc!$A$2:$A$1001=A611)*Calc!$G$2:$G$1001*(((K611-(L611+Calc!$J$2:$J$1001))&gt;0)*((K611-(L611+Calc!$J$2:$J$1001))&lt;Calc!$F$2:$F$1001)*(K611-(L611+Calc!$J$2:$J$1001))+((K611-(L611+Calc!$J$2:$J$1001))&gt;=Calc!$F$2:$F$1001)*Calc!$F$2:$F$1001))))</f>
        <v/>
      </c>
      <c r="Q611">
        <f>IF(I611=0,0,(MIN(MAX((K611+M611),0),L611)*W611+SUMPRODUCT((Calc!$A$2:$A$1001=A611)*Calc!$G$2:$G$1001*((((K611+M611)-(L611+Calc!$J$2:$J$1001))&gt;0)*(((K611+M611)-(L611+Calc!$J$2:$J$1001))&lt;Calc!$F$2:$F$1001)*((K611+M611)-(L611+Calc!$J$2:$J$1001))+(((K611+M611)-(L611+Calc!$J$2:$J$1001))&gt;=Calc!$F$2:$F$1001)*Calc!$F$2:$F$1001))))</f>
        <v/>
      </c>
      <c r="R611">
        <f>IF(I611=0,0,(MIN(MAX((K611+N611),0),L611)*W611+SUMPRODUCT((Calc!$A$2:$A$1001=A611)*Calc!$G$2:$G$1001*((((K611+N611)-(L611+Calc!$J$2:$J$1001))&gt;0)*(((K611+N611)-(L611+Calc!$J$2:$J$1001))&lt;Calc!$F$2:$F$1001)*((K611+N611)-(L611+Calc!$J$2:$J$1001))+(((K611+N611)-(L611+Calc!$J$2:$J$1001))&gt;=Calc!$F$2:$F$1001)*Calc!$F$2:$F$1001))))</f>
        <v/>
      </c>
      <c r="S611">
        <f>IF(I611=0,0,(MIN(MAX((K611+O611),0),L611)*W611+SUMPRODUCT((Calc!$A$2:$A$1001=A611)*Calc!$G$2:$G$1001*((((K611+O611)-(L611+Calc!$J$2:$J$1001))&gt;0)*(((K611+O611)-(L611+Calc!$J$2:$J$1001))&lt;Calc!$F$2:$F$1001)*((K611+O611)-(L611+Calc!$J$2:$J$1001))+(((K611+O611)-(L611+Calc!$J$2:$J$1001))&gt;=Calc!$F$2:$F$1001)*Calc!$F$2:$F$1001))))</f>
        <v/>
      </c>
      <c r="T611">
        <f>IF(AND(E611=1,B611="RETURN"),Transactions!E611*Transactions!G611,0)</f>
        <v/>
      </c>
      <c r="U611">
        <f>IF(AND(E611=1,B611="EXPENSE"),Transactions!J611,0)</f>
        <v/>
      </c>
      <c r="V611">
        <f>IF(AND(Transactions!A611&lt;&gt;"",E611=0),ROW(),"")</f>
        <v/>
      </c>
      <c r="W611">
        <f>IFERROR(VLOOKUP(A611,Opening!$A:$D,4,0),0)</f>
        <v/>
      </c>
    </row>
    <row r="612">
      <c r="A612">
        <f>IF(Transactions!D612="","",UPPER(TRIM(Transactions!D612)))</f>
        <v/>
      </c>
      <c r="B612">
        <f>IF(Transactions!C612="","",UPPER(TRIM(Transactions!C612)))</f>
        <v/>
      </c>
      <c r="C612">
        <f>IF(Transactions!B612="",0,YEAR(Transactions!B612)*100+MONTH(Transactions!B612))</f>
        <v/>
      </c>
      <c r="D612">
        <f>IF(Transactions!A612="",1,IF(COUNTIF(Transactions!$A$1:A611,Transactions!A612)&gt;0,1,0))</f>
        <v/>
      </c>
      <c r="E612">
        <f>IF(D612=1,0,IF(B612="RETURN",IF(COUNTIFS($A$1:A611,A612,$B$1:B611,"SALE",$E$1:E611,1)&gt;0,1,0),1))</f>
        <v/>
      </c>
      <c r="F612">
        <f>IF(E612=1,IF(B612="RECEIPT",Transactions!E612,IF(AND(B612="RETURN",LOWER(TRIM(Transactions!H612))="resellable"),Transactions!E612,0)),0)</f>
        <v/>
      </c>
      <c r="G612">
        <f>IF(F612&gt;0,IF(B612="RECEIPT",Transactions!F612,IF(_xlfn.MAXIFS($H$2:H612,$A$2:A612,A612)&gt;0,INDEX(Transactions!$F:$F,_xlfn.MAXIFS($H$2:H612,$A$2:A612,A612)),W612)),0)</f>
        <v/>
      </c>
      <c r="H612">
        <f>IF(AND(E612=1,B612="RECEIPT"),ROW(),0)</f>
        <v/>
      </c>
      <c r="I612">
        <f>IF(E612=1,IF(OR(B612="SALE",B612="WRITEOFF"),Transactions!E612,0),0)</f>
        <v/>
      </c>
      <c r="J612">
        <f>SUMIFS($F$1:F611,$A$1:A611,A612)</f>
        <v/>
      </c>
      <c r="K612">
        <f>SUMIFS($I$1:I611,$A$1:A611,A612)</f>
        <v/>
      </c>
      <c r="L612">
        <f>IFERROR(VLOOKUP(A612,Opening!$A:$C,3,0),0)</f>
        <v/>
      </c>
      <c r="M612">
        <f>IF(I612=0,0,MAX(0,MIN(INDEX(Month!H$2:H$13,MATCH($A612,Month!$A$2:$A$13,0))-K612,I612)))</f>
        <v/>
      </c>
      <c r="N612">
        <f>IF(I612=0,0,MAX(0,MIN(INDEX(Month!I$2:I$13,MATCH($A612,Month!$A$2:$A$13,0))-K612,I612)))</f>
        <v/>
      </c>
      <c r="O612">
        <f>IF(I612=0,0,MAX(0,MIN(INDEX(Month!J$2:J$13,MATCH($A612,Month!$A$2:$A$13,0))-K612,I612)))</f>
        <v/>
      </c>
      <c r="P612">
        <f>IF(I612=0,0,(MIN(MAX(K612,0),L612)*W612+SUMPRODUCT((Calc!$A$2:$A$1001=A612)*Calc!$G$2:$G$1001*(((K612-(L612+Calc!$J$2:$J$1001))&gt;0)*((K612-(L612+Calc!$J$2:$J$1001))&lt;Calc!$F$2:$F$1001)*(K612-(L612+Calc!$J$2:$J$1001))+((K612-(L612+Calc!$J$2:$J$1001))&gt;=Calc!$F$2:$F$1001)*Calc!$F$2:$F$1001))))</f>
        <v/>
      </c>
      <c r="Q612">
        <f>IF(I612=0,0,(MIN(MAX((K612+M612),0),L612)*W612+SUMPRODUCT((Calc!$A$2:$A$1001=A612)*Calc!$G$2:$G$1001*((((K612+M612)-(L612+Calc!$J$2:$J$1001))&gt;0)*(((K612+M612)-(L612+Calc!$J$2:$J$1001))&lt;Calc!$F$2:$F$1001)*((K612+M612)-(L612+Calc!$J$2:$J$1001))+(((K612+M612)-(L612+Calc!$J$2:$J$1001))&gt;=Calc!$F$2:$F$1001)*Calc!$F$2:$F$1001))))</f>
        <v/>
      </c>
      <c r="R612">
        <f>IF(I612=0,0,(MIN(MAX((K612+N612),0),L612)*W612+SUMPRODUCT((Calc!$A$2:$A$1001=A612)*Calc!$G$2:$G$1001*((((K612+N612)-(L612+Calc!$J$2:$J$1001))&gt;0)*(((K612+N612)-(L612+Calc!$J$2:$J$1001))&lt;Calc!$F$2:$F$1001)*((K612+N612)-(L612+Calc!$J$2:$J$1001))+(((K612+N612)-(L612+Calc!$J$2:$J$1001))&gt;=Calc!$F$2:$F$1001)*Calc!$F$2:$F$1001))))</f>
        <v/>
      </c>
      <c r="S612">
        <f>IF(I612=0,0,(MIN(MAX((K612+O612),0),L612)*W612+SUMPRODUCT((Calc!$A$2:$A$1001=A612)*Calc!$G$2:$G$1001*((((K612+O612)-(L612+Calc!$J$2:$J$1001))&gt;0)*(((K612+O612)-(L612+Calc!$J$2:$J$1001))&lt;Calc!$F$2:$F$1001)*((K612+O612)-(L612+Calc!$J$2:$J$1001))+(((K612+O612)-(L612+Calc!$J$2:$J$1001))&gt;=Calc!$F$2:$F$1001)*Calc!$F$2:$F$1001))))</f>
        <v/>
      </c>
      <c r="T612">
        <f>IF(AND(E612=1,B612="RETURN"),Transactions!E612*Transactions!G612,0)</f>
        <v/>
      </c>
      <c r="U612">
        <f>IF(AND(E612=1,B612="EXPENSE"),Transactions!J612,0)</f>
        <v/>
      </c>
      <c r="V612">
        <f>IF(AND(Transactions!A612&lt;&gt;"",E612=0),ROW(),"")</f>
        <v/>
      </c>
      <c r="W612">
        <f>IFERROR(VLOOKUP(A612,Opening!$A:$D,4,0),0)</f>
        <v/>
      </c>
    </row>
    <row r="613">
      <c r="A613">
        <f>IF(Transactions!D613="","",UPPER(TRIM(Transactions!D613)))</f>
        <v/>
      </c>
      <c r="B613">
        <f>IF(Transactions!C613="","",UPPER(TRIM(Transactions!C613)))</f>
        <v/>
      </c>
      <c r="C613">
        <f>IF(Transactions!B613="",0,YEAR(Transactions!B613)*100+MONTH(Transactions!B613))</f>
        <v/>
      </c>
      <c r="D613">
        <f>IF(Transactions!A613="",1,IF(COUNTIF(Transactions!$A$1:A612,Transactions!A613)&gt;0,1,0))</f>
        <v/>
      </c>
      <c r="E613">
        <f>IF(D613=1,0,IF(B613="RETURN",IF(COUNTIFS($A$1:A612,A613,$B$1:B612,"SALE",$E$1:E612,1)&gt;0,1,0),1))</f>
        <v/>
      </c>
      <c r="F613">
        <f>IF(E613=1,IF(B613="RECEIPT",Transactions!E613,IF(AND(B613="RETURN",LOWER(TRIM(Transactions!H613))="resellable"),Transactions!E613,0)),0)</f>
        <v/>
      </c>
      <c r="G613">
        <f>IF(F613&gt;0,IF(B613="RECEIPT",Transactions!F613,IF(_xlfn.MAXIFS($H$2:H613,$A$2:A613,A613)&gt;0,INDEX(Transactions!$F:$F,_xlfn.MAXIFS($H$2:H613,$A$2:A613,A613)),W613)),0)</f>
        <v/>
      </c>
      <c r="H613">
        <f>IF(AND(E613=1,B613="RECEIPT"),ROW(),0)</f>
        <v/>
      </c>
      <c r="I613">
        <f>IF(E613=1,IF(OR(B613="SALE",B613="WRITEOFF"),Transactions!E613,0),0)</f>
        <v/>
      </c>
      <c r="J613">
        <f>SUMIFS($F$1:F612,$A$1:A612,A613)</f>
        <v/>
      </c>
      <c r="K613">
        <f>SUMIFS($I$1:I612,$A$1:A612,A613)</f>
        <v/>
      </c>
      <c r="L613">
        <f>IFERROR(VLOOKUP(A613,Opening!$A:$C,3,0),0)</f>
        <v/>
      </c>
      <c r="M613">
        <f>IF(I613=0,0,MAX(0,MIN(INDEX(Month!H$2:H$13,MATCH($A613,Month!$A$2:$A$13,0))-K613,I613)))</f>
        <v/>
      </c>
      <c r="N613">
        <f>IF(I613=0,0,MAX(0,MIN(INDEX(Month!I$2:I$13,MATCH($A613,Month!$A$2:$A$13,0))-K613,I613)))</f>
        <v/>
      </c>
      <c r="O613">
        <f>IF(I613=0,0,MAX(0,MIN(INDEX(Month!J$2:J$13,MATCH($A613,Month!$A$2:$A$13,0))-K613,I613)))</f>
        <v/>
      </c>
      <c r="P613">
        <f>IF(I613=0,0,(MIN(MAX(K613,0),L613)*W613+SUMPRODUCT((Calc!$A$2:$A$1001=A613)*Calc!$G$2:$G$1001*(((K613-(L613+Calc!$J$2:$J$1001))&gt;0)*((K613-(L613+Calc!$J$2:$J$1001))&lt;Calc!$F$2:$F$1001)*(K613-(L613+Calc!$J$2:$J$1001))+((K613-(L613+Calc!$J$2:$J$1001))&gt;=Calc!$F$2:$F$1001)*Calc!$F$2:$F$1001))))</f>
        <v/>
      </c>
      <c r="Q613">
        <f>IF(I613=0,0,(MIN(MAX((K613+M613),0),L613)*W613+SUMPRODUCT((Calc!$A$2:$A$1001=A613)*Calc!$G$2:$G$1001*((((K613+M613)-(L613+Calc!$J$2:$J$1001))&gt;0)*(((K613+M613)-(L613+Calc!$J$2:$J$1001))&lt;Calc!$F$2:$F$1001)*((K613+M613)-(L613+Calc!$J$2:$J$1001))+(((K613+M613)-(L613+Calc!$J$2:$J$1001))&gt;=Calc!$F$2:$F$1001)*Calc!$F$2:$F$1001))))</f>
        <v/>
      </c>
      <c r="R613">
        <f>IF(I613=0,0,(MIN(MAX((K613+N613),0),L613)*W613+SUMPRODUCT((Calc!$A$2:$A$1001=A613)*Calc!$G$2:$G$1001*((((K613+N613)-(L613+Calc!$J$2:$J$1001))&gt;0)*(((K613+N613)-(L613+Calc!$J$2:$J$1001))&lt;Calc!$F$2:$F$1001)*((K613+N613)-(L613+Calc!$J$2:$J$1001))+(((K613+N613)-(L613+Calc!$J$2:$J$1001))&gt;=Calc!$F$2:$F$1001)*Calc!$F$2:$F$1001))))</f>
        <v/>
      </c>
      <c r="S613">
        <f>IF(I613=0,0,(MIN(MAX((K613+O613),0),L613)*W613+SUMPRODUCT((Calc!$A$2:$A$1001=A613)*Calc!$G$2:$G$1001*((((K613+O613)-(L613+Calc!$J$2:$J$1001))&gt;0)*(((K613+O613)-(L613+Calc!$J$2:$J$1001))&lt;Calc!$F$2:$F$1001)*((K613+O613)-(L613+Calc!$J$2:$J$1001))+(((K613+O613)-(L613+Calc!$J$2:$J$1001))&gt;=Calc!$F$2:$F$1001)*Calc!$F$2:$F$1001))))</f>
        <v/>
      </c>
      <c r="T613">
        <f>IF(AND(E613=1,B613="RETURN"),Transactions!E613*Transactions!G613,0)</f>
        <v/>
      </c>
      <c r="U613">
        <f>IF(AND(E613=1,B613="EXPENSE"),Transactions!J613,0)</f>
        <v/>
      </c>
      <c r="V613">
        <f>IF(AND(Transactions!A613&lt;&gt;"",E613=0),ROW(),"")</f>
        <v/>
      </c>
      <c r="W613">
        <f>IFERROR(VLOOKUP(A613,Opening!$A:$D,4,0),0)</f>
        <v/>
      </c>
    </row>
    <row r="614">
      <c r="A614">
        <f>IF(Transactions!D614="","",UPPER(TRIM(Transactions!D614)))</f>
        <v/>
      </c>
      <c r="B614">
        <f>IF(Transactions!C614="","",UPPER(TRIM(Transactions!C614)))</f>
        <v/>
      </c>
      <c r="C614">
        <f>IF(Transactions!B614="",0,YEAR(Transactions!B614)*100+MONTH(Transactions!B614))</f>
        <v/>
      </c>
      <c r="D614">
        <f>IF(Transactions!A614="",1,IF(COUNTIF(Transactions!$A$1:A613,Transactions!A614)&gt;0,1,0))</f>
        <v/>
      </c>
      <c r="E614">
        <f>IF(D614=1,0,IF(B614="RETURN",IF(COUNTIFS($A$1:A613,A614,$B$1:B613,"SALE",$E$1:E613,1)&gt;0,1,0),1))</f>
        <v/>
      </c>
      <c r="F614">
        <f>IF(E614=1,IF(B614="RECEIPT",Transactions!E614,IF(AND(B614="RETURN",LOWER(TRIM(Transactions!H614))="resellable"),Transactions!E614,0)),0)</f>
        <v/>
      </c>
      <c r="G614">
        <f>IF(F614&gt;0,IF(B614="RECEIPT",Transactions!F614,IF(_xlfn.MAXIFS($H$2:H614,$A$2:A614,A614)&gt;0,INDEX(Transactions!$F:$F,_xlfn.MAXIFS($H$2:H614,$A$2:A614,A614)),W614)),0)</f>
        <v/>
      </c>
      <c r="H614">
        <f>IF(AND(E614=1,B614="RECEIPT"),ROW(),0)</f>
        <v/>
      </c>
      <c r="I614">
        <f>IF(E614=1,IF(OR(B614="SALE",B614="WRITEOFF"),Transactions!E614,0),0)</f>
        <v/>
      </c>
      <c r="J614">
        <f>SUMIFS($F$1:F613,$A$1:A613,A614)</f>
        <v/>
      </c>
      <c r="K614">
        <f>SUMIFS($I$1:I613,$A$1:A613,A614)</f>
        <v/>
      </c>
      <c r="L614">
        <f>IFERROR(VLOOKUP(A614,Opening!$A:$C,3,0),0)</f>
        <v/>
      </c>
      <c r="M614">
        <f>IF(I614=0,0,MAX(0,MIN(INDEX(Month!H$2:H$13,MATCH($A614,Month!$A$2:$A$13,0))-K614,I614)))</f>
        <v/>
      </c>
      <c r="N614">
        <f>IF(I614=0,0,MAX(0,MIN(INDEX(Month!I$2:I$13,MATCH($A614,Month!$A$2:$A$13,0))-K614,I614)))</f>
        <v/>
      </c>
      <c r="O614">
        <f>IF(I614=0,0,MAX(0,MIN(INDEX(Month!J$2:J$13,MATCH($A614,Month!$A$2:$A$13,0))-K614,I614)))</f>
        <v/>
      </c>
      <c r="P614">
        <f>IF(I614=0,0,(MIN(MAX(K614,0),L614)*W614+SUMPRODUCT((Calc!$A$2:$A$1001=A614)*Calc!$G$2:$G$1001*(((K614-(L614+Calc!$J$2:$J$1001))&gt;0)*((K614-(L614+Calc!$J$2:$J$1001))&lt;Calc!$F$2:$F$1001)*(K614-(L614+Calc!$J$2:$J$1001))+((K614-(L614+Calc!$J$2:$J$1001))&gt;=Calc!$F$2:$F$1001)*Calc!$F$2:$F$1001))))</f>
        <v/>
      </c>
      <c r="Q614">
        <f>IF(I614=0,0,(MIN(MAX((K614+M614),0),L614)*W614+SUMPRODUCT((Calc!$A$2:$A$1001=A614)*Calc!$G$2:$G$1001*((((K614+M614)-(L614+Calc!$J$2:$J$1001))&gt;0)*(((K614+M614)-(L614+Calc!$J$2:$J$1001))&lt;Calc!$F$2:$F$1001)*((K614+M614)-(L614+Calc!$J$2:$J$1001))+(((K614+M614)-(L614+Calc!$J$2:$J$1001))&gt;=Calc!$F$2:$F$1001)*Calc!$F$2:$F$1001))))</f>
        <v/>
      </c>
      <c r="R614">
        <f>IF(I614=0,0,(MIN(MAX((K614+N614),0),L614)*W614+SUMPRODUCT((Calc!$A$2:$A$1001=A614)*Calc!$G$2:$G$1001*((((K614+N614)-(L614+Calc!$J$2:$J$1001))&gt;0)*(((K614+N614)-(L614+Calc!$J$2:$J$1001))&lt;Calc!$F$2:$F$1001)*((K614+N614)-(L614+Calc!$J$2:$J$1001))+(((K614+N614)-(L614+Calc!$J$2:$J$1001))&gt;=Calc!$F$2:$F$1001)*Calc!$F$2:$F$1001))))</f>
        <v/>
      </c>
      <c r="S614">
        <f>IF(I614=0,0,(MIN(MAX((K614+O614),0),L614)*W614+SUMPRODUCT((Calc!$A$2:$A$1001=A614)*Calc!$G$2:$G$1001*((((K614+O614)-(L614+Calc!$J$2:$J$1001))&gt;0)*(((K614+O614)-(L614+Calc!$J$2:$J$1001))&lt;Calc!$F$2:$F$1001)*((K614+O614)-(L614+Calc!$J$2:$J$1001))+(((K614+O614)-(L614+Calc!$J$2:$J$1001))&gt;=Calc!$F$2:$F$1001)*Calc!$F$2:$F$1001))))</f>
        <v/>
      </c>
      <c r="T614">
        <f>IF(AND(E614=1,B614="RETURN"),Transactions!E614*Transactions!G614,0)</f>
        <v/>
      </c>
      <c r="U614">
        <f>IF(AND(E614=1,B614="EXPENSE"),Transactions!J614,0)</f>
        <v/>
      </c>
      <c r="V614">
        <f>IF(AND(Transactions!A614&lt;&gt;"",E614=0),ROW(),"")</f>
        <v/>
      </c>
      <c r="W614">
        <f>IFERROR(VLOOKUP(A614,Opening!$A:$D,4,0),0)</f>
        <v/>
      </c>
    </row>
    <row r="615">
      <c r="A615">
        <f>IF(Transactions!D615="","",UPPER(TRIM(Transactions!D615)))</f>
        <v/>
      </c>
      <c r="B615">
        <f>IF(Transactions!C615="","",UPPER(TRIM(Transactions!C615)))</f>
        <v/>
      </c>
      <c r="C615">
        <f>IF(Transactions!B615="",0,YEAR(Transactions!B615)*100+MONTH(Transactions!B615))</f>
        <v/>
      </c>
      <c r="D615">
        <f>IF(Transactions!A615="",1,IF(COUNTIF(Transactions!$A$1:A614,Transactions!A615)&gt;0,1,0))</f>
        <v/>
      </c>
      <c r="E615">
        <f>IF(D615=1,0,IF(B615="RETURN",IF(COUNTIFS($A$1:A614,A615,$B$1:B614,"SALE",$E$1:E614,1)&gt;0,1,0),1))</f>
        <v/>
      </c>
      <c r="F615">
        <f>IF(E615=1,IF(B615="RECEIPT",Transactions!E615,IF(AND(B615="RETURN",LOWER(TRIM(Transactions!H615))="resellable"),Transactions!E615,0)),0)</f>
        <v/>
      </c>
      <c r="G615">
        <f>IF(F615&gt;0,IF(B615="RECEIPT",Transactions!F615,IF(_xlfn.MAXIFS($H$2:H615,$A$2:A615,A615)&gt;0,INDEX(Transactions!$F:$F,_xlfn.MAXIFS($H$2:H615,$A$2:A615,A615)),W615)),0)</f>
        <v/>
      </c>
      <c r="H615">
        <f>IF(AND(E615=1,B615="RECEIPT"),ROW(),0)</f>
        <v/>
      </c>
      <c r="I615">
        <f>IF(E615=1,IF(OR(B615="SALE",B615="WRITEOFF"),Transactions!E615,0),0)</f>
        <v/>
      </c>
      <c r="J615">
        <f>SUMIFS($F$1:F614,$A$1:A614,A615)</f>
        <v/>
      </c>
      <c r="K615">
        <f>SUMIFS($I$1:I614,$A$1:A614,A615)</f>
        <v/>
      </c>
      <c r="L615">
        <f>IFERROR(VLOOKUP(A615,Opening!$A:$C,3,0),0)</f>
        <v/>
      </c>
      <c r="M615">
        <f>IF(I615=0,0,MAX(0,MIN(INDEX(Month!H$2:H$13,MATCH($A615,Month!$A$2:$A$13,0))-K615,I615)))</f>
        <v/>
      </c>
      <c r="N615">
        <f>IF(I615=0,0,MAX(0,MIN(INDEX(Month!I$2:I$13,MATCH($A615,Month!$A$2:$A$13,0))-K615,I615)))</f>
        <v/>
      </c>
      <c r="O615">
        <f>IF(I615=0,0,MAX(0,MIN(INDEX(Month!J$2:J$13,MATCH($A615,Month!$A$2:$A$13,0))-K615,I615)))</f>
        <v/>
      </c>
      <c r="P615">
        <f>IF(I615=0,0,(MIN(MAX(K615,0),L615)*W615+SUMPRODUCT((Calc!$A$2:$A$1001=A615)*Calc!$G$2:$G$1001*(((K615-(L615+Calc!$J$2:$J$1001))&gt;0)*((K615-(L615+Calc!$J$2:$J$1001))&lt;Calc!$F$2:$F$1001)*(K615-(L615+Calc!$J$2:$J$1001))+((K615-(L615+Calc!$J$2:$J$1001))&gt;=Calc!$F$2:$F$1001)*Calc!$F$2:$F$1001))))</f>
        <v/>
      </c>
      <c r="Q615">
        <f>IF(I615=0,0,(MIN(MAX((K615+M615),0),L615)*W615+SUMPRODUCT((Calc!$A$2:$A$1001=A615)*Calc!$G$2:$G$1001*((((K615+M615)-(L615+Calc!$J$2:$J$1001))&gt;0)*(((K615+M615)-(L615+Calc!$J$2:$J$1001))&lt;Calc!$F$2:$F$1001)*((K615+M615)-(L615+Calc!$J$2:$J$1001))+(((K615+M615)-(L615+Calc!$J$2:$J$1001))&gt;=Calc!$F$2:$F$1001)*Calc!$F$2:$F$1001))))</f>
        <v/>
      </c>
      <c r="R615">
        <f>IF(I615=0,0,(MIN(MAX((K615+N615),0),L615)*W615+SUMPRODUCT((Calc!$A$2:$A$1001=A615)*Calc!$G$2:$G$1001*((((K615+N615)-(L615+Calc!$J$2:$J$1001))&gt;0)*(((K615+N615)-(L615+Calc!$J$2:$J$1001))&lt;Calc!$F$2:$F$1001)*((K615+N615)-(L615+Calc!$J$2:$J$1001))+(((K615+N615)-(L615+Calc!$J$2:$J$1001))&gt;=Calc!$F$2:$F$1001)*Calc!$F$2:$F$1001))))</f>
        <v/>
      </c>
      <c r="S615">
        <f>IF(I615=0,0,(MIN(MAX((K615+O615),0),L615)*W615+SUMPRODUCT((Calc!$A$2:$A$1001=A615)*Calc!$G$2:$G$1001*((((K615+O615)-(L615+Calc!$J$2:$J$1001))&gt;0)*(((K615+O615)-(L615+Calc!$J$2:$J$1001))&lt;Calc!$F$2:$F$1001)*((K615+O615)-(L615+Calc!$J$2:$J$1001))+(((K615+O615)-(L615+Calc!$J$2:$J$1001))&gt;=Calc!$F$2:$F$1001)*Calc!$F$2:$F$1001))))</f>
        <v/>
      </c>
      <c r="T615">
        <f>IF(AND(E615=1,B615="RETURN"),Transactions!E615*Transactions!G615,0)</f>
        <v/>
      </c>
      <c r="U615">
        <f>IF(AND(E615=1,B615="EXPENSE"),Transactions!J615,0)</f>
        <v/>
      </c>
      <c r="V615">
        <f>IF(AND(Transactions!A615&lt;&gt;"",E615=0),ROW(),"")</f>
        <v/>
      </c>
      <c r="W615">
        <f>IFERROR(VLOOKUP(A615,Opening!$A:$D,4,0),0)</f>
        <v/>
      </c>
    </row>
    <row r="616">
      <c r="A616">
        <f>IF(Transactions!D616="","",UPPER(TRIM(Transactions!D616)))</f>
        <v/>
      </c>
      <c r="B616">
        <f>IF(Transactions!C616="","",UPPER(TRIM(Transactions!C616)))</f>
        <v/>
      </c>
      <c r="C616">
        <f>IF(Transactions!B616="",0,YEAR(Transactions!B616)*100+MONTH(Transactions!B616))</f>
        <v/>
      </c>
      <c r="D616">
        <f>IF(Transactions!A616="",1,IF(COUNTIF(Transactions!$A$1:A615,Transactions!A616)&gt;0,1,0))</f>
        <v/>
      </c>
      <c r="E616">
        <f>IF(D616=1,0,IF(B616="RETURN",IF(COUNTIFS($A$1:A615,A616,$B$1:B615,"SALE",$E$1:E615,1)&gt;0,1,0),1))</f>
        <v/>
      </c>
      <c r="F616">
        <f>IF(E616=1,IF(B616="RECEIPT",Transactions!E616,IF(AND(B616="RETURN",LOWER(TRIM(Transactions!H616))="resellable"),Transactions!E616,0)),0)</f>
        <v/>
      </c>
      <c r="G616">
        <f>IF(F616&gt;0,IF(B616="RECEIPT",Transactions!F616,IF(_xlfn.MAXIFS($H$2:H616,$A$2:A616,A616)&gt;0,INDEX(Transactions!$F:$F,_xlfn.MAXIFS($H$2:H616,$A$2:A616,A616)),W616)),0)</f>
        <v/>
      </c>
      <c r="H616">
        <f>IF(AND(E616=1,B616="RECEIPT"),ROW(),0)</f>
        <v/>
      </c>
      <c r="I616">
        <f>IF(E616=1,IF(OR(B616="SALE",B616="WRITEOFF"),Transactions!E616,0),0)</f>
        <v/>
      </c>
      <c r="J616">
        <f>SUMIFS($F$1:F615,$A$1:A615,A616)</f>
        <v/>
      </c>
      <c r="K616">
        <f>SUMIFS($I$1:I615,$A$1:A615,A616)</f>
        <v/>
      </c>
      <c r="L616">
        <f>IFERROR(VLOOKUP(A616,Opening!$A:$C,3,0),0)</f>
        <v/>
      </c>
      <c r="M616">
        <f>IF(I616=0,0,MAX(0,MIN(INDEX(Month!H$2:H$13,MATCH($A616,Month!$A$2:$A$13,0))-K616,I616)))</f>
        <v/>
      </c>
      <c r="N616">
        <f>IF(I616=0,0,MAX(0,MIN(INDEX(Month!I$2:I$13,MATCH($A616,Month!$A$2:$A$13,0))-K616,I616)))</f>
        <v/>
      </c>
      <c r="O616">
        <f>IF(I616=0,0,MAX(0,MIN(INDEX(Month!J$2:J$13,MATCH($A616,Month!$A$2:$A$13,0))-K616,I616)))</f>
        <v/>
      </c>
      <c r="P616">
        <f>IF(I616=0,0,(MIN(MAX(K616,0),L616)*W616+SUMPRODUCT((Calc!$A$2:$A$1001=A616)*Calc!$G$2:$G$1001*(((K616-(L616+Calc!$J$2:$J$1001))&gt;0)*((K616-(L616+Calc!$J$2:$J$1001))&lt;Calc!$F$2:$F$1001)*(K616-(L616+Calc!$J$2:$J$1001))+((K616-(L616+Calc!$J$2:$J$1001))&gt;=Calc!$F$2:$F$1001)*Calc!$F$2:$F$1001))))</f>
        <v/>
      </c>
      <c r="Q616">
        <f>IF(I616=0,0,(MIN(MAX((K616+M616),0),L616)*W616+SUMPRODUCT((Calc!$A$2:$A$1001=A616)*Calc!$G$2:$G$1001*((((K616+M616)-(L616+Calc!$J$2:$J$1001))&gt;0)*(((K616+M616)-(L616+Calc!$J$2:$J$1001))&lt;Calc!$F$2:$F$1001)*((K616+M616)-(L616+Calc!$J$2:$J$1001))+(((K616+M616)-(L616+Calc!$J$2:$J$1001))&gt;=Calc!$F$2:$F$1001)*Calc!$F$2:$F$1001))))</f>
        <v/>
      </c>
      <c r="R616">
        <f>IF(I616=0,0,(MIN(MAX((K616+N616),0),L616)*W616+SUMPRODUCT((Calc!$A$2:$A$1001=A616)*Calc!$G$2:$G$1001*((((K616+N616)-(L616+Calc!$J$2:$J$1001))&gt;0)*(((K616+N616)-(L616+Calc!$J$2:$J$1001))&lt;Calc!$F$2:$F$1001)*((K616+N616)-(L616+Calc!$J$2:$J$1001))+(((K616+N616)-(L616+Calc!$J$2:$J$1001))&gt;=Calc!$F$2:$F$1001)*Calc!$F$2:$F$1001))))</f>
        <v/>
      </c>
      <c r="S616">
        <f>IF(I616=0,0,(MIN(MAX((K616+O616),0),L616)*W616+SUMPRODUCT((Calc!$A$2:$A$1001=A616)*Calc!$G$2:$G$1001*((((K616+O616)-(L616+Calc!$J$2:$J$1001))&gt;0)*(((K616+O616)-(L616+Calc!$J$2:$J$1001))&lt;Calc!$F$2:$F$1001)*((K616+O616)-(L616+Calc!$J$2:$J$1001))+(((K616+O616)-(L616+Calc!$J$2:$J$1001))&gt;=Calc!$F$2:$F$1001)*Calc!$F$2:$F$1001))))</f>
        <v/>
      </c>
      <c r="T616">
        <f>IF(AND(E616=1,B616="RETURN"),Transactions!E616*Transactions!G616,0)</f>
        <v/>
      </c>
      <c r="U616">
        <f>IF(AND(E616=1,B616="EXPENSE"),Transactions!J616,0)</f>
        <v/>
      </c>
      <c r="V616">
        <f>IF(AND(Transactions!A616&lt;&gt;"",E616=0),ROW(),"")</f>
        <v/>
      </c>
      <c r="W616">
        <f>IFERROR(VLOOKUP(A616,Opening!$A:$D,4,0),0)</f>
        <v/>
      </c>
    </row>
    <row r="617">
      <c r="A617">
        <f>IF(Transactions!D617="","",UPPER(TRIM(Transactions!D617)))</f>
        <v/>
      </c>
      <c r="B617">
        <f>IF(Transactions!C617="","",UPPER(TRIM(Transactions!C617)))</f>
        <v/>
      </c>
      <c r="C617">
        <f>IF(Transactions!B617="",0,YEAR(Transactions!B617)*100+MONTH(Transactions!B617))</f>
        <v/>
      </c>
      <c r="D617">
        <f>IF(Transactions!A617="",1,IF(COUNTIF(Transactions!$A$1:A616,Transactions!A617)&gt;0,1,0))</f>
        <v/>
      </c>
      <c r="E617">
        <f>IF(D617=1,0,IF(B617="RETURN",IF(COUNTIFS($A$1:A616,A617,$B$1:B616,"SALE",$E$1:E616,1)&gt;0,1,0),1))</f>
        <v/>
      </c>
      <c r="F617">
        <f>IF(E617=1,IF(B617="RECEIPT",Transactions!E617,IF(AND(B617="RETURN",LOWER(TRIM(Transactions!H617))="resellable"),Transactions!E617,0)),0)</f>
        <v/>
      </c>
      <c r="G617">
        <f>IF(F617&gt;0,IF(B617="RECEIPT",Transactions!F617,IF(_xlfn.MAXIFS($H$2:H617,$A$2:A617,A617)&gt;0,INDEX(Transactions!$F:$F,_xlfn.MAXIFS($H$2:H617,$A$2:A617,A617)),W617)),0)</f>
        <v/>
      </c>
      <c r="H617">
        <f>IF(AND(E617=1,B617="RECEIPT"),ROW(),0)</f>
        <v/>
      </c>
      <c r="I617">
        <f>IF(E617=1,IF(OR(B617="SALE",B617="WRITEOFF"),Transactions!E617,0),0)</f>
        <v/>
      </c>
      <c r="J617">
        <f>SUMIFS($F$1:F616,$A$1:A616,A617)</f>
        <v/>
      </c>
      <c r="K617">
        <f>SUMIFS($I$1:I616,$A$1:A616,A617)</f>
        <v/>
      </c>
      <c r="L617">
        <f>IFERROR(VLOOKUP(A617,Opening!$A:$C,3,0),0)</f>
        <v/>
      </c>
      <c r="M617">
        <f>IF(I617=0,0,MAX(0,MIN(INDEX(Month!H$2:H$13,MATCH($A617,Month!$A$2:$A$13,0))-K617,I617)))</f>
        <v/>
      </c>
      <c r="N617">
        <f>IF(I617=0,0,MAX(0,MIN(INDEX(Month!I$2:I$13,MATCH($A617,Month!$A$2:$A$13,0))-K617,I617)))</f>
        <v/>
      </c>
      <c r="O617">
        <f>IF(I617=0,0,MAX(0,MIN(INDEX(Month!J$2:J$13,MATCH($A617,Month!$A$2:$A$13,0))-K617,I617)))</f>
        <v/>
      </c>
      <c r="P617">
        <f>IF(I617=0,0,(MIN(MAX(K617,0),L617)*W617+SUMPRODUCT((Calc!$A$2:$A$1001=A617)*Calc!$G$2:$G$1001*(((K617-(L617+Calc!$J$2:$J$1001))&gt;0)*((K617-(L617+Calc!$J$2:$J$1001))&lt;Calc!$F$2:$F$1001)*(K617-(L617+Calc!$J$2:$J$1001))+((K617-(L617+Calc!$J$2:$J$1001))&gt;=Calc!$F$2:$F$1001)*Calc!$F$2:$F$1001))))</f>
        <v/>
      </c>
      <c r="Q617">
        <f>IF(I617=0,0,(MIN(MAX((K617+M617),0),L617)*W617+SUMPRODUCT((Calc!$A$2:$A$1001=A617)*Calc!$G$2:$G$1001*((((K617+M617)-(L617+Calc!$J$2:$J$1001))&gt;0)*(((K617+M617)-(L617+Calc!$J$2:$J$1001))&lt;Calc!$F$2:$F$1001)*((K617+M617)-(L617+Calc!$J$2:$J$1001))+(((K617+M617)-(L617+Calc!$J$2:$J$1001))&gt;=Calc!$F$2:$F$1001)*Calc!$F$2:$F$1001))))</f>
        <v/>
      </c>
      <c r="R617">
        <f>IF(I617=0,0,(MIN(MAX((K617+N617),0),L617)*W617+SUMPRODUCT((Calc!$A$2:$A$1001=A617)*Calc!$G$2:$G$1001*((((K617+N617)-(L617+Calc!$J$2:$J$1001))&gt;0)*(((K617+N617)-(L617+Calc!$J$2:$J$1001))&lt;Calc!$F$2:$F$1001)*((K617+N617)-(L617+Calc!$J$2:$J$1001))+(((K617+N617)-(L617+Calc!$J$2:$J$1001))&gt;=Calc!$F$2:$F$1001)*Calc!$F$2:$F$1001))))</f>
        <v/>
      </c>
      <c r="S617">
        <f>IF(I617=0,0,(MIN(MAX((K617+O617),0),L617)*W617+SUMPRODUCT((Calc!$A$2:$A$1001=A617)*Calc!$G$2:$G$1001*((((K617+O617)-(L617+Calc!$J$2:$J$1001))&gt;0)*(((K617+O617)-(L617+Calc!$J$2:$J$1001))&lt;Calc!$F$2:$F$1001)*((K617+O617)-(L617+Calc!$J$2:$J$1001))+(((K617+O617)-(L617+Calc!$J$2:$J$1001))&gt;=Calc!$F$2:$F$1001)*Calc!$F$2:$F$1001))))</f>
        <v/>
      </c>
      <c r="T617">
        <f>IF(AND(E617=1,B617="RETURN"),Transactions!E617*Transactions!G617,0)</f>
        <v/>
      </c>
      <c r="U617">
        <f>IF(AND(E617=1,B617="EXPENSE"),Transactions!J617,0)</f>
        <v/>
      </c>
      <c r="V617">
        <f>IF(AND(Transactions!A617&lt;&gt;"",E617=0),ROW(),"")</f>
        <v/>
      </c>
      <c r="W617">
        <f>IFERROR(VLOOKUP(A617,Opening!$A:$D,4,0),0)</f>
        <v/>
      </c>
    </row>
    <row r="618">
      <c r="A618">
        <f>IF(Transactions!D618="","",UPPER(TRIM(Transactions!D618)))</f>
        <v/>
      </c>
      <c r="B618">
        <f>IF(Transactions!C618="","",UPPER(TRIM(Transactions!C618)))</f>
        <v/>
      </c>
      <c r="C618">
        <f>IF(Transactions!B618="",0,YEAR(Transactions!B618)*100+MONTH(Transactions!B618))</f>
        <v/>
      </c>
      <c r="D618">
        <f>IF(Transactions!A618="",1,IF(COUNTIF(Transactions!$A$1:A617,Transactions!A618)&gt;0,1,0))</f>
        <v/>
      </c>
      <c r="E618">
        <f>IF(D618=1,0,IF(B618="RETURN",IF(COUNTIFS($A$1:A617,A618,$B$1:B617,"SALE",$E$1:E617,1)&gt;0,1,0),1))</f>
        <v/>
      </c>
      <c r="F618">
        <f>IF(E618=1,IF(B618="RECEIPT",Transactions!E618,IF(AND(B618="RETURN",LOWER(TRIM(Transactions!H618))="resellable"),Transactions!E618,0)),0)</f>
        <v/>
      </c>
      <c r="G618">
        <f>IF(F618&gt;0,IF(B618="RECEIPT",Transactions!F618,IF(_xlfn.MAXIFS($H$2:H618,$A$2:A618,A618)&gt;0,INDEX(Transactions!$F:$F,_xlfn.MAXIFS($H$2:H618,$A$2:A618,A618)),W618)),0)</f>
        <v/>
      </c>
      <c r="H618">
        <f>IF(AND(E618=1,B618="RECEIPT"),ROW(),0)</f>
        <v/>
      </c>
      <c r="I618">
        <f>IF(E618=1,IF(OR(B618="SALE",B618="WRITEOFF"),Transactions!E618,0),0)</f>
        <v/>
      </c>
      <c r="J618">
        <f>SUMIFS($F$1:F617,$A$1:A617,A618)</f>
        <v/>
      </c>
      <c r="K618">
        <f>SUMIFS($I$1:I617,$A$1:A617,A618)</f>
        <v/>
      </c>
      <c r="L618">
        <f>IFERROR(VLOOKUP(A618,Opening!$A:$C,3,0),0)</f>
        <v/>
      </c>
      <c r="M618">
        <f>IF(I618=0,0,MAX(0,MIN(INDEX(Month!H$2:H$13,MATCH($A618,Month!$A$2:$A$13,0))-K618,I618)))</f>
        <v/>
      </c>
      <c r="N618">
        <f>IF(I618=0,0,MAX(0,MIN(INDEX(Month!I$2:I$13,MATCH($A618,Month!$A$2:$A$13,0))-K618,I618)))</f>
        <v/>
      </c>
      <c r="O618">
        <f>IF(I618=0,0,MAX(0,MIN(INDEX(Month!J$2:J$13,MATCH($A618,Month!$A$2:$A$13,0))-K618,I618)))</f>
        <v/>
      </c>
      <c r="P618">
        <f>IF(I618=0,0,(MIN(MAX(K618,0),L618)*W618+SUMPRODUCT((Calc!$A$2:$A$1001=A618)*Calc!$G$2:$G$1001*(((K618-(L618+Calc!$J$2:$J$1001))&gt;0)*((K618-(L618+Calc!$J$2:$J$1001))&lt;Calc!$F$2:$F$1001)*(K618-(L618+Calc!$J$2:$J$1001))+((K618-(L618+Calc!$J$2:$J$1001))&gt;=Calc!$F$2:$F$1001)*Calc!$F$2:$F$1001))))</f>
        <v/>
      </c>
      <c r="Q618">
        <f>IF(I618=0,0,(MIN(MAX((K618+M618),0),L618)*W618+SUMPRODUCT((Calc!$A$2:$A$1001=A618)*Calc!$G$2:$G$1001*((((K618+M618)-(L618+Calc!$J$2:$J$1001))&gt;0)*(((K618+M618)-(L618+Calc!$J$2:$J$1001))&lt;Calc!$F$2:$F$1001)*((K618+M618)-(L618+Calc!$J$2:$J$1001))+(((K618+M618)-(L618+Calc!$J$2:$J$1001))&gt;=Calc!$F$2:$F$1001)*Calc!$F$2:$F$1001))))</f>
        <v/>
      </c>
      <c r="R618">
        <f>IF(I618=0,0,(MIN(MAX((K618+N618),0),L618)*W618+SUMPRODUCT((Calc!$A$2:$A$1001=A618)*Calc!$G$2:$G$1001*((((K618+N618)-(L618+Calc!$J$2:$J$1001))&gt;0)*(((K618+N618)-(L618+Calc!$J$2:$J$1001))&lt;Calc!$F$2:$F$1001)*((K618+N618)-(L618+Calc!$J$2:$J$1001))+(((K618+N618)-(L618+Calc!$J$2:$J$1001))&gt;=Calc!$F$2:$F$1001)*Calc!$F$2:$F$1001))))</f>
        <v/>
      </c>
      <c r="S618">
        <f>IF(I618=0,0,(MIN(MAX((K618+O618),0),L618)*W618+SUMPRODUCT((Calc!$A$2:$A$1001=A618)*Calc!$G$2:$G$1001*((((K618+O618)-(L618+Calc!$J$2:$J$1001))&gt;0)*(((K618+O618)-(L618+Calc!$J$2:$J$1001))&lt;Calc!$F$2:$F$1001)*((K618+O618)-(L618+Calc!$J$2:$J$1001))+(((K618+O618)-(L618+Calc!$J$2:$J$1001))&gt;=Calc!$F$2:$F$1001)*Calc!$F$2:$F$1001))))</f>
        <v/>
      </c>
      <c r="T618">
        <f>IF(AND(E618=1,B618="RETURN"),Transactions!E618*Transactions!G618,0)</f>
        <v/>
      </c>
      <c r="U618">
        <f>IF(AND(E618=1,B618="EXPENSE"),Transactions!J618,0)</f>
        <v/>
      </c>
      <c r="V618">
        <f>IF(AND(Transactions!A618&lt;&gt;"",E618=0),ROW(),"")</f>
        <v/>
      </c>
      <c r="W618">
        <f>IFERROR(VLOOKUP(A618,Opening!$A:$D,4,0),0)</f>
        <v/>
      </c>
    </row>
    <row r="619">
      <c r="A619">
        <f>IF(Transactions!D619="","",UPPER(TRIM(Transactions!D619)))</f>
        <v/>
      </c>
      <c r="B619">
        <f>IF(Transactions!C619="","",UPPER(TRIM(Transactions!C619)))</f>
        <v/>
      </c>
      <c r="C619">
        <f>IF(Transactions!B619="",0,YEAR(Transactions!B619)*100+MONTH(Transactions!B619))</f>
        <v/>
      </c>
      <c r="D619">
        <f>IF(Transactions!A619="",1,IF(COUNTIF(Transactions!$A$1:A618,Transactions!A619)&gt;0,1,0))</f>
        <v/>
      </c>
      <c r="E619">
        <f>IF(D619=1,0,IF(B619="RETURN",IF(COUNTIFS($A$1:A618,A619,$B$1:B618,"SALE",$E$1:E618,1)&gt;0,1,0),1))</f>
        <v/>
      </c>
      <c r="F619">
        <f>IF(E619=1,IF(B619="RECEIPT",Transactions!E619,IF(AND(B619="RETURN",LOWER(TRIM(Transactions!H619))="resellable"),Transactions!E619,0)),0)</f>
        <v/>
      </c>
      <c r="G619">
        <f>IF(F619&gt;0,IF(B619="RECEIPT",Transactions!F619,IF(_xlfn.MAXIFS($H$2:H619,$A$2:A619,A619)&gt;0,INDEX(Transactions!$F:$F,_xlfn.MAXIFS($H$2:H619,$A$2:A619,A619)),W619)),0)</f>
        <v/>
      </c>
      <c r="H619">
        <f>IF(AND(E619=1,B619="RECEIPT"),ROW(),0)</f>
        <v/>
      </c>
      <c r="I619">
        <f>IF(E619=1,IF(OR(B619="SALE",B619="WRITEOFF"),Transactions!E619,0),0)</f>
        <v/>
      </c>
      <c r="J619">
        <f>SUMIFS($F$1:F618,$A$1:A618,A619)</f>
        <v/>
      </c>
      <c r="K619">
        <f>SUMIFS($I$1:I618,$A$1:A618,A619)</f>
        <v/>
      </c>
      <c r="L619">
        <f>IFERROR(VLOOKUP(A619,Opening!$A:$C,3,0),0)</f>
        <v/>
      </c>
      <c r="M619">
        <f>IF(I619=0,0,MAX(0,MIN(INDEX(Month!H$2:H$13,MATCH($A619,Month!$A$2:$A$13,0))-K619,I619)))</f>
        <v/>
      </c>
      <c r="N619">
        <f>IF(I619=0,0,MAX(0,MIN(INDEX(Month!I$2:I$13,MATCH($A619,Month!$A$2:$A$13,0))-K619,I619)))</f>
        <v/>
      </c>
      <c r="O619">
        <f>IF(I619=0,0,MAX(0,MIN(INDEX(Month!J$2:J$13,MATCH($A619,Month!$A$2:$A$13,0))-K619,I619)))</f>
        <v/>
      </c>
      <c r="P619">
        <f>IF(I619=0,0,(MIN(MAX(K619,0),L619)*W619+SUMPRODUCT((Calc!$A$2:$A$1001=A619)*Calc!$G$2:$G$1001*(((K619-(L619+Calc!$J$2:$J$1001))&gt;0)*((K619-(L619+Calc!$J$2:$J$1001))&lt;Calc!$F$2:$F$1001)*(K619-(L619+Calc!$J$2:$J$1001))+((K619-(L619+Calc!$J$2:$J$1001))&gt;=Calc!$F$2:$F$1001)*Calc!$F$2:$F$1001))))</f>
        <v/>
      </c>
      <c r="Q619">
        <f>IF(I619=0,0,(MIN(MAX((K619+M619),0),L619)*W619+SUMPRODUCT((Calc!$A$2:$A$1001=A619)*Calc!$G$2:$G$1001*((((K619+M619)-(L619+Calc!$J$2:$J$1001))&gt;0)*(((K619+M619)-(L619+Calc!$J$2:$J$1001))&lt;Calc!$F$2:$F$1001)*((K619+M619)-(L619+Calc!$J$2:$J$1001))+(((K619+M619)-(L619+Calc!$J$2:$J$1001))&gt;=Calc!$F$2:$F$1001)*Calc!$F$2:$F$1001))))</f>
        <v/>
      </c>
      <c r="R619">
        <f>IF(I619=0,0,(MIN(MAX((K619+N619),0),L619)*W619+SUMPRODUCT((Calc!$A$2:$A$1001=A619)*Calc!$G$2:$G$1001*((((K619+N619)-(L619+Calc!$J$2:$J$1001))&gt;0)*(((K619+N619)-(L619+Calc!$J$2:$J$1001))&lt;Calc!$F$2:$F$1001)*((K619+N619)-(L619+Calc!$J$2:$J$1001))+(((K619+N619)-(L619+Calc!$J$2:$J$1001))&gt;=Calc!$F$2:$F$1001)*Calc!$F$2:$F$1001))))</f>
        <v/>
      </c>
      <c r="S619">
        <f>IF(I619=0,0,(MIN(MAX((K619+O619),0),L619)*W619+SUMPRODUCT((Calc!$A$2:$A$1001=A619)*Calc!$G$2:$G$1001*((((K619+O619)-(L619+Calc!$J$2:$J$1001))&gt;0)*(((K619+O619)-(L619+Calc!$J$2:$J$1001))&lt;Calc!$F$2:$F$1001)*((K619+O619)-(L619+Calc!$J$2:$J$1001))+(((K619+O619)-(L619+Calc!$J$2:$J$1001))&gt;=Calc!$F$2:$F$1001)*Calc!$F$2:$F$1001))))</f>
        <v/>
      </c>
      <c r="T619">
        <f>IF(AND(E619=1,B619="RETURN"),Transactions!E619*Transactions!G619,0)</f>
        <v/>
      </c>
      <c r="U619">
        <f>IF(AND(E619=1,B619="EXPENSE"),Transactions!J619,0)</f>
        <v/>
      </c>
      <c r="V619">
        <f>IF(AND(Transactions!A619&lt;&gt;"",E619=0),ROW(),"")</f>
        <v/>
      </c>
      <c r="W619">
        <f>IFERROR(VLOOKUP(A619,Opening!$A:$D,4,0),0)</f>
        <v/>
      </c>
    </row>
    <row r="620">
      <c r="A620">
        <f>IF(Transactions!D620="","",UPPER(TRIM(Transactions!D620)))</f>
        <v/>
      </c>
      <c r="B620">
        <f>IF(Transactions!C620="","",UPPER(TRIM(Transactions!C620)))</f>
        <v/>
      </c>
      <c r="C620">
        <f>IF(Transactions!B620="",0,YEAR(Transactions!B620)*100+MONTH(Transactions!B620))</f>
        <v/>
      </c>
      <c r="D620">
        <f>IF(Transactions!A620="",1,IF(COUNTIF(Transactions!$A$1:A619,Transactions!A620)&gt;0,1,0))</f>
        <v/>
      </c>
      <c r="E620">
        <f>IF(D620=1,0,IF(B620="RETURN",IF(COUNTIFS($A$1:A619,A620,$B$1:B619,"SALE",$E$1:E619,1)&gt;0,1,0),1))</f>
        <v/>
      </c>
      <c r="F620">
        <f>IF(E620=1,IF(B620="RECEIPT",Transactions!E620,IF(AND(B620="RETURN",LOWER(TRIM(Transactions!H620))="resellable"),Transactions!E620,0)),0)</f>
        <v/>
      </c>
      <c r="G620">
        <f>IF(F620&gt;0,IF(B620="RECEIPT",Transactions!F620,IF(_xlfn.MAXIFS($H$2:H620,$A$2:A620,A620)&gt;0,INDEX(Transactions!$F:$F,_xlfn.MAXIFS($H$2:H620,$A$2:A620,A620)),W620)),0)</f>
        <v/>
      </c>
      <c r="H620">
        <f>IF(AND(E620=1,B620="RECEIPT"),ROW(),0)</f>
        <v/>
      </c>
      <c r="I620">
        <f>IF(E620=1,IF(OR(B620="SALE",B620="WRITEOFF"),Transactions!E620,0),0)</f>
        <v/>
      </c>
      <c r="J620">
        <f>SUMIFS($F$1:F619,$A$1:A619,A620)</f>
        <v/>
      </c>
      <c r="K620">
        <f>SUMIFS($I$1:I619,$A$1:A619,A620)</f>
        <v/>
      </c>
      <c r="L620">
        <f>IFERROR(VLOOKUP(A620,Opening!$A:$C,3,0),0)</f>
        <v/>
      </c>
      <c r="M620">
        <f>IF(I620=0,0,MAX(0,MIN(INDEX(Month!H$2:H$13,MATCH($A620,Month!$A$2:$A$13,0))-K620,I620)))</f>
        <v/>
      </c>
      <c r="N620">
        <f>IF(I620=0,0,MAX(0,MIN(INDEX(Month!I$2:I$13,MATCH($A620,Month!$A$2:$A$13,0))-K620,I620)))</f>
        <v/>
      </c>
      <c r="O620">
        <f>IF(I620=0,0,MAX(0,MIN(INDEX(Month!J$2:J$13,MATCH($A620,Month!$A$2:$A$13,0))-K620,I620)))</f>
        <v/>
      </c>
      <c r="P620">
        <f>IF(I620=0,0,(MIN(MAX(K620,0),L620)*W620+SUMPRODUCT((Calc!$A$2:$A$1001=A620)*Calc!$G$2:$G$1001*(((K620-(L620+Calc!$J$2:$J$1001))&gt;0)*((K620-(L620+Calc!$J$2:$J$1001))&lt;Calc!$F$2:$F$1001)*(K620-(L620+Calc!$J$2:$J$1001))+((K620-(L620+Calc!$J$2:$J$1001))&gt;=Calc!$F$2:$F$1001)*Calc!$F$2:$F$1001))))</f>
        <v/>
      </c>
      <c r="Q620">
        <f>IF(I620=0,0,(MIN(MAX((K620+M620),0),L620)*W620+SUMPRODUCT((Calc!$A$2:$A$1001=A620)*Calc!$G$2:$G$1001*((((K620+M620)-(L620+Calc!$J$2:$J$1001))&gt;0)*(((K620+M620)-(L620+Calc!$J$2:$J$1001))&lt;Calc!$F$2:$F$1001)*((K620+M620)-(L620+Calc!$J$2:$J$1001))+(((K620+M620)-(L620+Calc!$J$2:$J$1001))&gt;=Calc!$F$2:$F$1001)*Calc!$F$2:$F$1001))))</f>
        <v/>
      </c>
      <c r="R620">
        <f>IF(I620=0,0,(MIN(MAX((K620+N620),0),L620)*W620+SUMPRODUCT((Calc!$A$2:$A$1001=A620)*Calc!$G$2:$G$1001*((((K620+N620)-(L620+Calc!$J$2:$J$1001))&gt;0)*(((K620+N620)-(L620+Calc!$J$2:$J$1001))&lt;Calc!$F$2:$F$1001)*((K620+N620)-(L620+Calc!$J$2:$J$1001))+(((K620+N620)-(L620+Calc!$J$2:$J$1001))&gt;=Calc!$F$2:$F$1001)*Calc!$F$2:$F$1001))))</f>
        <v/>
      </c>
      <c r="S620">
        <f>IF(I620=0,0,(MIN(MAX((K620+O620),0),L620)*W620+SUMPRODUCT((Calc!$A$2:$A$1001=A620)*Calc!$G$2:$G$1001*((((K620+O620)-(L620+Calc!$J$2:$J$1001))&gt;0)*(((K620+O620)-(L620+Calc!$J$2:$J$1001))&lt;Calc!$F$2:$F$1001)*((K620+O620)-(L620+Calc!$J$2:$J$1001))+(((K620+O620)-(L620+Calc!$J$2:$J$1001))&gt;=Calc!$F$2:$F$1001)*Calc!$F$2:$F$1001))))</f>
        <v/>
      </c>
      <c r="T620">
        <f>IF(AND(E620=1,B620="RETURN"),Transactions!E620*Transactions!G620,0)</f>
        <v/>
      </c>
      <c r="U620">
        <f>IF(AND(E620=1,B620="EXPENSE"),Transactions!J620,0)</f>
        <v/>
      </c>
      <c r="V620">
        <f>IF(AND(Transactions!A620&lt;&gt;"",E620=0),ROW(),"")</f>
        <v/>
      </c>
      <c r="W620">
        <f>IFERROR(VLOOKUP(A620,Opening!$A:$D,4,0),0)</f>
        <v/>
      </c>
    </row>
    <row r="621">
      <c r="A621">
        <f>IF(Transactions!D621="","",UPPER(TRIM(Transactions!D621)))</f>
        <v/>
      </c>
      <c r="B621">
        <f>IF(Transactions!C621="","",UPPER(TRIM(Transactions!C621)))</f>
        <v/>
      </c>
      <c r="C621">
        <f>IF(Transactions!B621="",0,YEAR(Transactions!B621)*100+MONTH(Transactions!B621))</f>
        <v/>
      </c>
      <c r="D621">
        <f>IF(Transactions!A621="",1,IF(COUNTIF(Transactions!$A$1:A620,Transactions!A621)&gt;0,1,0))</f>
        <v/>
      </c>
      <c r="E621">
        <f>IF(D621=1,0,IF(B621="RETURN",IF(COUNTIFS($A$1:A620,A621,$B$1:B620,"SALE",$E$1:E620,1)&gt;0,1,0),1))</f>
        <v/>
      </c>
      <c r="F621">
        <f>IF(E621=1,IF(B621="RECEIPT",Transactions!E621,IF(AND(B621="RETURN",LOWER(TRIM(Transactions!H621))="resellable"),Transactions!E621,0)),0)</f>
        <v/>
      </c>
      <c r="G621">
        <f>IF(F621&gt;0,IF(B621="RECEIPT",Transactions!F621,IF(_xlfn.MAXIFS($H$2:H621,$A$2:A621,A621)&gt;0,INDEX(Transactions!$F:$F,_xlfn.MAXIFS($H$2:H621,$A$2:A621,A621)),W621)),0)</f>
        <v/>
      </c>
      <c r="H621">
        <f>IF(AND(E621=1,B621="RECEIPT"),ROW(),0)</f>
        <v/>
      </c>
      <c r="I621">
        <f>IF(E621=1,IF(OR(B621="SALE",B621="WRITEOFF"),Transactions!E621,0),0)</f>
        <v/>
      </c>
      <c r="J621">
        <f>SUMIFS($F$1:F620,$A$1:A620,A621)</f>
        <v/>
      </c>
      <c r="K621">
        <f>SUMIFS($I$1:I620,$A$1:A620,A621)</f>
        <v/>
      </c>
      <c r="L621">
        <f>IFERROR(VLOOKUP(A621,Opening!$A:$C,3,0),0)</f>
        <v/>
      </c>
      <c r="M621">
        <f>IF(I621=0,0,MAX(0,MIN(INDEX(Month!H$2:H$13,MATCH($A621,Month!$A$2:$A$13,0))-K621,I621)))</f>
        <v/>
      </c>
      <c r="N621">
        <f>IF(I621=0,0,MAX(0,MIN(INDEX(Month!I$2:I$13,MATCH($A621,Month!$A$2:$A$13,0))-K621,I621)))</f>
        <v/>
      </c>
      <c r="O621">
        <f>IF(I621=0,0,MAX(0,MIN(INDEX(Month!J$2:J$13,MATCH($A621,Month!$A$2:$A$13,0))-K621,I621)))</f>
        <v/>
      </c>
      <c r="P621">
        <f>IF(I621=0,0,(MIN(MAX(K621,0),L621)*W621+SUMPRODUCT((Calc!$A$2:$A$1001=A621)*Calc!$G$2:$G$1001*(((K621-(L621+Calc!$J$2:$J$1001))&gt;0)*((K621-(L621+Calc!$J$2:$J$1001))&lt;Calc!$F$2:$F$1001)*(K621-(L621+Calc!$J$2:$J$1001))+((K621-(L621+Calc!$J$2:$J$1001))&gt;=Calc!$F$2:$F$1001)*Calc!$F$2:$F$1001))))</f>
        <v/>
      </c>
      <c r="Q621">
        <f>IF(I621=0,0,(MIN(MAX((K621+M621),0),L621)*W621+SUMPRODUCT((Calc!$A$2:$A$1001=A621)*Calc!$G$2:$G$1001*((((K621+M621)-(L621+Calc!$J$2:$J$1001))&gt;0)*(((K621+M621)-(L621+Calc!$J$2:$J$1001))&lt;Calc!$F$2:$F$1001)*((K621+M621)-(L621+Calc!$J$2:$J$1001))+(((K621+M621)-(L621+Calc!$J$2:$J$1001))&gt;=Calc!$F$2:$F$1001)*Calc!$F$2:$F$1001))))</f>
        <v/>
      </c>
      <c r="R621">
        <f>IF(I621=0,0,(MIN(MAX((K621+N621),0),L621)*W621+SUMPRODUCT((Calc!$A$2:$A$1001=A621)*Calc!$G$2:$G$1001*((((K621+N621)-(L621+Calc!$J$2:$J$1001))&gt;0)*(((K621+N621)-(L621+Calc!$J$2:$J$1001))&lt;Calc!$F$2:$F$1001)*((K621+N621)-(L621+Calc!$J$2:$J$1001))+(((K621+N621)-(L621+Calc!$J$2:$J$1001))&gt;=Calc!$F$2:$F$1001)*Calc!$F$2:$F$1001))))</f>
        <v/>
      </c>
      <c r="S621">
        <f>IF(I621=0,0,(MIN(MAX((K621+O621),0),L621)*W621+SUMPRODUCT((Calc!$A$2:$A$1001=A621)*Calc!$G$2:$G$1001*((((K621+O621)-(L621+Calc!$J$2:$J$1001))&gt;0)*(((K621+O621)-(L621+Calc!$J$2:$J$1001))&lt;Calc!$F$2:$F$1001)*((K621+O621)-(L621+Calc!$J$2:$J$1001))+(((K621+O621)-(L621+Calc!$J$2:$J$1001))&gt;=Calc!$F$2:$F$1001)*Calc!$F$2:$F$1001))))</f>
        <v/>
      </c>
      <c r="T621">
        <f>IF(AND(E621=1,B621="RETURN"),Transactions!E621*Transactions!G621,0)</f>
        <v/>
      </c>
      <c r="U621">
        <f>IF(AND(E621=1,B621="EXPENSE"),Transactions!J621,0)</f>
        <v/>
      </c>
      <c r="V621">
        <f>IF(AND(Transactions!A621&lt;&gt;"",E621=0),ROW(),"")</f>
        <v/>
      </c>
      <c r="W621">
        <f>IFERROR(VLOOKUP(A621,Opening!$A:$D,4,0),0)</f>
        <v/>
      </c>
    </row>
    <row r="622">
      <c r="A622">
        <f>IF(Transactions!D622="","",UPPER(TRIM(Transactions!D622)))</f>
        <v/>
      </c>
      <c r="B622">
        <f>IF(Transactions!C622="","",UPPER(TRIM(Transactions!C622)))</f>
        <v/>
      </c>
      <c r="C622">
        <f>IF(Transactions!B622="",0,YEAR(Transactions!B622)*100+MONTH(Transactions!B622))</f>
        <v/>
      </c>
      <c r="D622">
        <f>IF(Transactions!A622="",1,IF(COUNTIF(Transactions!$A$1:A621,Transactions!A622)&gt;0,1,0))</f>
        <v/>
      </c>
      <c r="E622">
        <f>IF(D622=1,0,IF(B622="RETURN",IF(COUNTIFS($A$1:A621,A622,$B$1:B621,"SALE",$E$1:E621,1)&gt;0,1,0),1))</f>
        <v/>
      </c>
      <c r="F622">
        <f>IF(E622=1,IF(B622="RECEIPT",Transactions!E622,IF(AND(B622="RETURN",LOWER(TRIM(Transactions!H622))="resellable"),Transactions!E622,0)),0)</f>
        <v/>
      </c>
      <c r="G622">
        <f>IF(F622&gt;0,IF(B622="RECEIPT",Transactions!F622,IF(_xlfn.MAXIFS($H$2:H622,$A$2:A622,A622)&gt;0,INDEX(Transactions!$F:$F,_xlfn.MAXIFS($H$2:H622,$A$2:A622,A622)),W622)),0)</f>
        <v/>
      </c>
      <c r="H622">
        <f>IF(AND(E622=1,B622="RECEIPT"),ROW(),0)</f>
        <v/>
      </c>
      <c r="I622">
        <f>IF(E622=1,IF(OR(B622="SALE",B622="WRITEOFF"),Transactions!E622,0),0)</f>
        <v/>
      </c>
      <c r="J622">
        <f>SUMIFS($F$1:F621,$A$1:A621,A622)</f>
        <v/>
      </c>
      <c r="K622">
        <f>SUMIFS($I$1:I621,$A$1:A621,A622)</f>
        <v/>
      </c>
      <c r="L622">
        <f>IFERROR(VLOOKUP(A622,Opening!$A:$C,3,0),0)</f>
        <v/>
      </c>
      <c r="M622">
        <f>IF(I622=0,0,MAX(0,MIN(INDEX(Month!H$2:H$13,MATCH($A622,Month!$A$2:$A$13,0))-K622,I622)))</f>
        <v/>
      </c>
      <c r="N622">
        <f>IF(I622=0,0,MAX(0,MIN(INDEX(Month!I$2:I$13,MATCH($A622,Month!$A$2:$A$13,0))-K622,I622)))</f>
        <v/>
      </c>
      <c r="O622">
        <f>IF(I622=0,0,MAX(0,MIN(INDEX(Month!J$2:J$13,MATCH($A622,Month!$A$2:$A$13,0))-K622,I622)))</f>
        <v/>
      </c>
      <c r="P622">
        <f>IF(I622=0,0,(MIN(MAX(K622,0),L622)*W622+SUMPRODUCT((Calc!$A$2:$A$1001=A622)*Calc!$G$2:$G$1001*(((K622-(L622+Calc!$J$2:$J$1001))&gt;0)*((K622-(L622+Calc!$J$2:$J$1001))&lt;Calc!$F$2:$F$1001)*(K622-(L622+Calc!$J$2:$J$1001))+((K622-(L622+Calc!$J$2:$J$1001))&gt;=Calc!$F$2:$F$1001)*Calc!$F$2:$F$1001))))</f>
        <v/>
      </c>
      <c r="Q622">
        <f>IF(I622=0,0,(MIN(MAX((K622+M622),0),L622)*W622+SUMPRODUCT((Calc!$A$2:$A$1001=A622)*Calc!$G$2:$G$1001*((((K622+M622)-(L622+Calc!$J$2:$J$1001))&gt;0)*(((K622+M622)-(L622+Calc!$J$2:$J$1001))&lt;Calc!$F$2:$F$1001)*((K622+M622)-(L622+Calc!$J$2:$J$1001))+(((K622+M622)-(L622+Calc!$J$2:$J$1001))&gt;=Calc!$F$2:$F$1001)*Calc!$F$2:$F$1001))))</f>
        <v/>
      </c>
      <c r="R622">
        <f>IF(I622=0,0,(MIN(MAX((K622+N622),0),L622)*W622+SUMPRODUCT((Calc!$A$2:$A$1001=A622)*Calc!$G$2:$G$1001*((((K622+N622)-(L622+Calc!$J$2:$J$1001))&gt;0)*(((K622+N622)-(L622+Calc!$J$2:$J$1001))&lt;Calc!$F$2:$F$1001)*((K622+N622)-(L622+Calc!$J$2:$J$1001))+(((K622+N622)-(L622+Calc!$J$2:$J$1001))&gt;=Calc!$F$2:$F$1001)*Calc!$F$2:$F$1001))))</f>
        <v/>
      </c>
      <c r="S622">
        <f>IF(I622=0,0,(MIN(MAX((K622+O622),0),L622)*W622+SUMPRODUCT((Calc!$A$2:$A$1001=A622)*Calc!$G$2:$G$1001*((((K622+O622)-(L622+Calc!$J$2:$J$1001))&gt;0)*(((K622+O622)-(L622+Calc!$J$2:$J$1001))&lt;Calc!$F$2:$F$1001)*((K622+O622)-(L622+Calc!$J$2:$J$1001))+(((K622+O622)-(L622+Calc!$J$2:$J$1001))&gt;=Calc!$F$2:$F$1001)*Calc!$F$2:$F$1001))))</f>
        <v/>
      </c>
      <c r="T622">
        <f>IF(AND(E622=1,B622="RETURN"),Transactions!E622*Transactions!G622,0)</f>
        <v/>
      </c>
      <c r="U622">
        <f>IF(AND(E622=1,B622="EXPENSE"),Transactions!J622,0)</f>
        <v/>
      </c>
      <c r="V622">
        <f>IF(AND(Transactions!A622&lt;&gt;"",E622=0),ROW(),"")</f>
        <v/>
      </c>
      <c r="W622">
        <f>IFERROR(VLOOKUP(A622,Opening!$A:$D,4,0),0)</f>
        <v/>
      </c>
    </row>
    <row r="623">
      <c r="A623">
        <f>IF(Transactions!D623="","",UPPER(TRIM(Transactions!D623)))</f>
        <v/>
      </c>
      <c r="B623">
        <f>IF(Transactions!C623="","",UPPER(TRIM(Transactions!C623)))</f>
        <v/>
      </c>
      <c r="C623">
        <f>IF(Transactions!B623="",0,YEAR(Transactions!B623)*100+MONTH(Transactions!B623))</f>
        <v/>
      </c>
      <c r="D623">
        <f>IF(Transactions!A623="",1,IF(COUNTIF(Transactions!$A$1:A622,Transactions!A623)&gt;0,1,0))</f>
        <v/>
      </c>
      <c r="E623">
        <f>IF(D623=1,0,IF(B623="RETURN",IF(COUNTIFS($A$1:A622,A623,$B$1:B622,"SALE",$E$1:E622,1)&gt;0,1,0),1))</f>
        <v/>
      </c>
      <c r="F623">
        <f>IF(E623=1,IF(B623="RECEIPT",Transactions!E623,IF(AND(B623="RETURN",LOWER(TRIM(Transactions!H623))="resellable"),Transactions!E623,0)),0)</f>
        <v/>
      </c>
      <c r="G623">
        <f>IF(F623&gt;0,IF(B623="RECEIPT",Transactions!F623,IF(_xlfn.MAXIFS($H$2:H623,$A$2:A623,A623)&gt;0,INDEX(Transactions!$F:$F,_xlfn.MAXIFS($H$2:H623,$A$2:A623,A623)),W623)),0)</f>
        <v/>
      </c>
      <c r="H623">
        <f>IF(AND(E623=1,B623="RECEIPT"),ROW(),0)</f>
        <v/>
      </c>
      <c r="I623">
        <f>IF(E623=1,IF(OR(B623="SALE",B623="WRITEOFF"),Transactions!E623,0),0)</f>
        <v/>
      </c>
      <c r="J623">
        <f>SUMIFS($F$1:F622,$A$1:A622,A623)</f>
        <v/>
      </c>
      <c r="K623">
        <f>SUMIFS($I$1:I622,$A$1:A622,A623)</f>
        <v/>
      </c>
      <c r="L623">
        <f>IFERROR(VLOOKUP(A623,Opening!$A:$C,3,0),0)</f>
        <v/>
      </c>
      <c r="M623">
        <f>IF(I623=0,0,MAX(0,MIN(INDEX(Month!H$2:H$13,MATCH($A623,Month!$A$2:$A$13,0))-K623,I623)))</f>
        <v/>
      </c>
      <c r="N623">
        <f>IF(I623=0,0,MAX(0,MIN(INDEX(Month!I$2:I$13,MATCH($A623,Month!$A$2:$A$13,0))-K623,I623)))</f>
        <v/>
      </c>
      <c r="O623">
        <f>IF(I623=0,0,MAX(0,MIN(INDEX(Month!J$2:J$13,MATCH($A623,Month!$A$2:$A$13,0))-K623,I623)))</f>
        <v/>
      </c>
      <c r="P623">
        <f>IF(I623=0,0,(MIN(MAX(K623,0),L623)*W623+SUMPRODUCT((Calc!$A$2:$A$1001=A623)*Calc!$G$2:$G$1001*(((K623-(L623+Calc!$J$2:$J$1001))&gt;0)*((K623-(L623+Calc!$J$2:$J$1001))&lt;Calc!$F$2:$F$1001)*(K623-(L623+Calc!$J$2:$J$1001))+((K623-(L623+Calc!$J$2:$J$1001))&gt;=Calc!$F$2:$F$1001)*Calc!$F$2:$F$1001))))</f>
        <v/>
      </c>
      <c r="Q623">
        <f>IF(I623=0,0,(MIN(MAX((K623+M623),0),L623)*W623+SUMPRODUCT((Calc!$A$2:$A$1001=A623)*Calc!$G$2:$G$1001*((((K623+M623)-(L623+Calc!$J$2:$J$1001))&gt;0)*(((K623+M623)-(L623+Calc!$J$2:$J$1001))&lt;Calc!$F$2:$F$1001)*((K623+M623)-(L623+Calc!$J$2:$J$1001))+(((K623+M623)-(L623+Calc!$J$2:$J$1001))&gt;=Calc!$F$2:$F$1001)*Calc!$F$2:$F$1001))))</f>
        <v/>
      </c>
      <c r="R623">
        <f>IF(I623=0,0,(MIN(MAX((K623+N623),0),L623)*W623+SUMPRODUCT((Calc!$A$2:$A$1001=A623)*Calc!$G$2:$G$1001*((((K623+N623)-(L623+Calc!$J$2:$J$1001))&gt;0)*(((K623+N623)-(L623+Calc!$J$2:$J$1001))&lt;Calc!$F$2:$F$1001)*((K623+N623)-(L623+Calc!$J$2:$J$1001))+(((K623+N623)-(L623+Calc!$J$2:$J$1001))&gt;=Calc!$F$2:$F$1001)*Calc!$F$2:$F$1001))))</f>
        <v/>
      </c>
      <c r="S623">
        <f>IF(I623=0,0,(MIN(MAX((K623+O623),0),L623)*W623+SUMPRODUCT((Calc!$A$2:$A$1001=A623)*Calc!$G$2:$G$1001*((((K623+O623)-(L623+Calc!$J$2:$J$1001))&gt;0)*(((K623+O623)-(L623+Calc!$J$2:$J$1001))&lt;Calc!$F$2:$F$1001)*((K623+O623)-(L623+Calc!$J$2:$J$1001))+(((K623+O623)-(L623+Calc!$J$2:$J$1001))&gt;=Calc!$F$2:$F$1001)*Calc!$F$2:$F$1001))))</f>
        <v/>
      </c>
      <c r="T623">
        <f>IF(AND(E623=1,B623="RETURN"),Transactions!E623*Transactions!G623,0)</f>
        <v/>
      </c>
      <c r="U623">
        <f>IF(AND(E623=1,B623="EXPENSE"),Transactions!J623,0)</f>
        <v/>
      </c>
      <c r="V623">
        <f>IF(AND(Transactions!A623&lt;&gt;"",E623=0),ROW(),"")</f>
        <v/>
      </c>
      <c r="W623">
        <f>IFERROR(VLOOKUP(A623,Opening!$A:$D,4,0),0)</f>
        <v/>
      </c>
    </row>
    <row r="624">
      <c r="A624">
        <f>IF(Transactions!D624="","",UPPER(TRIM(Transactions!D624)))</f>
        <v/>
      </c>
      <c r="B624">
        <f>IF(Transactions!C624="","",UPPER(TRIM(Transactions!C624)))</f>
        <v/>
      </c>
      <c r="C624">
        <f>IF(Transactions!B624="",0,YEAR(Transactions!B624)*100+MONTH(Transactions!B624))</f>
        <v/>
      </c>
      <c r="D624">
        <f>IF(Transactions!A624="",1,IF(COUNTIF(Transactions!$A$1:A623,Transactions!A624)&gt;0,1,0))</f>
        <v/>
      </c>
      <c r="E624">
        <f>IF(D624=1,0,IF(B624="RETURN",IF(COUNTIFS($A$1:A623,A624,$B$1:B623,"SALE",$E$1:E623,1)&gt;0,1,0),1))</f>
        <v/>
      </c>
      <c r="F624">
        <f>IF(E624=1,IF(B624="RECEIPT",Transactions!E624,IF(AND(B624="RETURN",LOWER(TRIM(Transactions!H624))="resellable"),Transactions!E624,0)),0)</f>
        <v/>
      </c>
      <c r="G624">
        <f>IF(F624&gt;0,IF(B624="RECEIPT",Transactions!F624,IF(_xlfn.MAXIFS($H$2:H624,$A$2:A624,A624)&gt;0,INDEX(Transactions!$F:$F,_xlfn.MAXIFS($H$2:H624,$A$2:A624,A624)),W624)),0)</f>
        <v/>
      </c>
      <c r="H624">
        <f>IF(AND(E624=1,B624="RECEIPT"),ROW(),0)</f>
        <v/>
      </c>
      <c r="I624">
        <f>IF(E624=1,IF(OR(B624="SALE",B624="WRITEOFF"),Transactions!E624,0),0)</f>
        <v/>
      </c>
      <c r="J624">
        <f>SUMIFS($F$1:F623,$A$1:A623,A624)</f>
        <v/>
      </c>
      <c r="K624">
        <f>SUMIFS($I$1:I623,$A$1:A623,A624)</f>
        <v/>
      </c>
      <c r="L624">
        <f>IFERROR(VLOOKUP(A624,Opening!$A:$C,3,0),0)</f>
        <v/>
      </c>
      <c r="M624">
        <f>IF(I624=0,0,MAX(0,MIN(INDEX(Month!H$2:H$13,MATCH($A624,Month!$A$2:$A$13,0))-K624,I624)))</f>
        <v/>
      </c>
      <c r="N624">
        <f>IF(I624=0,0,MAX(0,MIN(INDEX(Month!I$2:I$13,MATCH($A624,Month!$A$2:$A$13,0))-K624,I624)))</f>
        <v/>
      </c>
      <c r="O624">
        <f>IF(I624=0,0,MAX(0,MIN(INDEX(Month!J$2:J$13,MATCH($A624,Month!$A$2:$A$13,0))-K624,I624)))</f>
        <v/>
      </c>
      <c r="P624">
        <f>IF(I624=0,0,(MIN(MAX(K624,0),L624)*W624+SUMPRODUCT((Calc!$A$2:$A$1001=A624)*Calc!$G$2:$G$1001*(((K624-(L624+Calc!$J$2:$J$1001))&gt;0)*((K624-(L624+Calc!$J$2:$J$1001))&lt;Calc!$F$2:$F$1001)*(K624-(L624+Calc!$J$2:$J$1001))+((K624-(L624+Calc!$J$2:$J$1001))&gt;=Calc!$F$2:$F$1001)*Calc!$F$2:$F$1001))))</f>
        <v/>
      </c>
      <c r="Q624">
        <f>IF(I624=0,0,(MIN(MAX((K624+M624),0),L624)*W624+SUMPRODUCT((Calc!$A$2:$A$1001=A624)*Calc!$G$2:$G$1001*((((K624+M624)-(L624+Calc!$J$2:$J$1001))&gt;0)*(((K624+M624)-(L624+Calc!$J$2:$J$1001))&lt;Calc!$F$2:$F$1001)*((K624+M624)-(L624+Calc!$J$2:$J$1001))+(((K624+M624)-(L624+Calc!$J$2:$J$1001))&gt;=Calc!$F$2:$F$1001)*Calc!$F$2:$F$1001))))</f>
        <v/>
      </c>
      <c r="R624">
        <f>IF(I624=0,0,(MIN(MAX((K624+N624),0),L624)*W624+SUMPRODUCT((Calc!$A$2:$A$1001=A624)*Calc!$G$2:$G$1001*((((K624+N624)-(L624+Calc!$J$2:$J$1001))&gt;0)*(((K624+N624)-(L624+Calc!$J$2:$J$1001))&lt;Calc!$F$2:$F$1001)*((K624+N624)-(L624+Calc!$J$2:$J$1001))+(((K624+N624)-(L624+Calc!$J$2:$J$1001))&gt;=Calc!$F$2:$F$1001)*Calc!$F$2:$F$1001))))</f>
        <v/>
      </c>
      <c r="S624">
        <f>IF(I624=0,0,(MIN(MAX((K624+O624),0),L624)*W624+SUMPRODUCT((Calc!$A$2:$A$1001=A624)*Calc!$G$2:$G$1001*((((K624+O624)-(L624+Calc!$J$2:$J$1001))&gt;0)*(((K624+O624)-(L624+Calc!$J$2:$J$1001))&lt;Calc!$F$2:$F$1001)*((K624+O624)-(L624+Calc!$J$2:$J$1001))+(((K624+O624)-(L624+Calc!$J$2:$J$1001))&gt;=Calc!$F$2:$F$1001)*Calc!$F$2:$F$1001))))</f>
        <v/>
      </c>
      <c r="T624">
        <f>IF(AND(E624=1,B624="RETURN"),Transactions!E624*Transactions!G624,0)</f>
        <v/>
      </c>
      <c r="U624">
        <f>IF(AND(E624=1,B624="EXPENSE"),Transactions!J624,0)</f>
        <v/>
      </c>
      <c r="V624">
        <f>IF(AND(Transactions!A624&lt;&gt;"",E624=0),ROW(),"")</f>
        <v/>
      </c>
      <c r="W624">
        <f>IFERROR(VLOOKUP(A624,Opening!$A:$D,4,0),0)</f>
        <v/>
      </c>
    </row>
    <row r="625">
      <c r="A625">
        <f>IF(Transactions!D625="","",UPPER(TRIM(Transactions!D625)))</f>
        <v/>
      </c>
      <c r="B625">
        <f>IF(Transactions!C625="","",UPPER(TRIM(Transactions!C625)))</f>
        <v/>
      </c>
      <c r="C625">
        <f>IF(Transactions!B625="",0,YEAR(Transactions!B625)*100+MONTH(Transactions!B625))</f>
        <v/>
      </c>
      <c r="D625">
        <f>IF(Transactions!A625="",1,IF(COUNTIF(Transactions!$A$1:A624,Transactions!A625)&gt;0,1,0))</f>
        <v/>
      </c>
      <c r="E625">
        <f>IF(D625=1,0,IF(B625="RETURN",IF(COUNTIFS($A$1:A624,A625,$B$1:B624,"SALE",$E$1:E624,1)&gt;0,1,0),1))</f>
        <v/>
      </c>
      <c r="F625">
        <f>IF(E625=1,IF(B625="RECEIPT",Transactions!E625,IF(AND(B625="RETURN",LOWER(TRIM(Transactions!H625))="resellable"),Transactions!E625,0)),0)</f>
        <v/>
      </c>
      <c r="G625">
        <f>IF(F625&gt;0,IF(B625="RECEIPT",Transactions!F625,IF(_xlfn.MAXIFS($H$2:H625,$A$2:A625,A625)&gt;0,INDEX(Transactions!$F:$F,_xlfn.MAXIFS($H$2:H625,$A$2:A625,A625)),W625)),0)</f>
        <v/>
      </c>
      <c r="H625">
        <f>IF(AND(E625=1,B625="RECEIPT"),ROW(),0)</f>
        <v/>
      </c>
      <c r="I625">
        <f>IF(E625=1,IF(OR(B625="SALE",B625="WRITEOFF"),Transactions!E625,0),0)</f>
        <v/>
      </c>
      <c r="J625">
        <f>SUMIFS($F$1:F624,$A$1:A624,A625)</f>
        <v/>
      </c>
      <c r="K625">
        <f>SUMIFS($I$1:I624,$A$1:A624,A625)</f>
        <v/>
      </c>
      <c r="L625">
        <f>IFERROR(VLOOKUP(A625,Opening!$A:$C,3,0),0)</f>
        <v/>
      </c>
      <c r="M625">
        <f>IF(I625=0,0,MAX(0,MIN(INDEX(Month!H$2:H$13,MATCH($A625,Month!$A$2:$A$13,0))-K625,I625)))</f>
        <v/>
      </c>
      <c r="N625">
        <f>IF(I625=0,0,MAX(0,MIN(INDEX(Month!I$2:I$13,MATCH($A625,Month!$A$2:$A$13,0))-K625,I625)))</f>
        <v/>
      </c>
      <c r="O625">
        <f>IF(I625=0,0,MAX(0,MIN(INDEX(Month!J$2:J$13,MATCH($A625,Month!$A$2:$A$13,0))-K625,I625)))</f>
        <v/>
      </c>
      <c r="P625">
        <f>IF(I625=0,0,(MIN(MAX(K625,0),L625)*W625+SUMPRODUCT((Calc!$A$2:$A$1001=A625)*Calc!$G$2:$G$1001*(((K625-(L625+Calc!$J$2:$J$1001))&gt;0)*((K625-(L625+Calc!$J$2:$J$1001))&lt;Calc!$F$2:$F$1001)*(K625-(L625+Calc!$J$2:$J$1001))+((K625-(L625+Calc!$J$2:$J$1001))&gt;=Calc!$F$2:$F$1001)*Calc!$F$2:$F$1001))))</f>
        <v/>
      </c>
      <c r="Q625">
        <f>IF(I625=0,0,(MIN(MAX((K625+M625),0),L625)*W625+SUMPRODUCT((Calc!$A$2:$A$1001=A625)*Calc!$G$2:$G$1001*((((K625+M625)-(L625+Calc!$J$2:$J$1001))&gt;0)*(((K625+M625)-(L625+Calc!$J$2:$J$1001))&lt;Calc!$F$2:$F$1001)*((K625+M625)-(L625+Calc!$J$2:$J$1001))+(((K625+M625)-(L625+Calc!$J$2:$J$1001))&gt;=Calc!$F$2:$F$1001)*Calc!$F$2:$F$1001))))</f>
        <v/>
      </c>
      <c r="R625">
        <f>IF(I625=0,0,(MIN(MAX((K625+N625),0),L625)*W625+SUMPRODUCT((Calc!$A$2:$A$1001=A625)*Calc!$G$2:$G$1001*((((K625+N625)-(L625+Calc!$J$2:$J$1001))&gt;0)*(((K625+N625)-(L625+Calc!$J$2:$J$1001))&lt;Calc!$F$2:$F$1001)*((K625+N625)-(L625+Calc!$J$2:$J$1001))+(((K625+N625)-(L625+Calc!$J$2:$J$1001))&gt;=Calc!$F$2:$F$1001)*Calc!$F$2:$F$1001))))</f>
        <v/>
      </c>
      <c r="S625">
        <f>IF(I625=0,0,(MIN(MAX((K625+O625),0),L625)*W625+SUMPRODUCT((Calc!$A$2:$A$1001=A625)*Calc!$G$2:$G$1001*((((K625+O625)-(L625+Calc!$J$2:$J$1001))&gt;0)*(((K625+O625)-(L625+Calc!$J$2:$J$1001))&lt;Calc!$F$2:$F$1001)*((K625+O625)-(L625+Calc!$J$2:$J$1001))+(((K625+O625)-(L625+Calc!$J$2:$J$1001))&gt;=Calc!$F$2:$F$1001)*Calc!$F$2:$F$1001))))</f>
        <v/>
      </c>
      <c r="T625">
        <f>IF(AND(E625=1,B625="RETURN"),Transactions!E625*Transactions!G625,0)</f>
        <v/>
      </c>
      <c r="U625">
        <f>IF(AND(E625=1,B625="EXPENSE"),Transactions!J625,0)</f>
        <v/>
      </c>
      <c r="V625">
        <f>IF(AND(Transactions!A625&lt;&gt;"",E625=0),ROW(),"")</f>
        <v/>
      </c>
      <c r="W625">
        <f>IFERROR(VLOOKUP(A625,Opening!$A:$D,4,0),0)</f>
        <v/>
      </c>
    </row>
    <row r="626">
      <c r="A626">
        <f>IF(Transactions!D626="","",UPPER(TRIM(Transactions!D626)))</f>
        <v/>
      </c>
      <c r="B626">
        <f>IF(Transactions!C626="","",UPPER(TRIM(Transactions!C626)))</f>
        <v/>
      </c>
      <c r="C626">
        <f>IF(Transactions!B626="",0,YEAR(Transactions!B626)*100+MONTH(Transactions!B626))</f>
        <v/>
      </c>
      <c r="D626">
        <f>IF(Transactions!A626="",1,IF(COUNTIF(Transactions!$A$1:A625,Transactions!A626)&gt;0,1,0))</f>
        <v/>
      </c>
      <c r="E626">
        <f>IF(D626=1,0,IF(B626="RETURN",IF(COUNTIFS($A$1:A625,A626,$B$1:B625,"SALE",$E$1:E625,1)&gt;0,1,0),1))</f>
        <v/>
      </c>
      <c r="F626">
        <f>IF(E626=1,IF(B626="RECEIPT",Transactions!E626,IF(AND(B626="RETURN",LOWER(TRIM(Transactions!H626))="resellable"),Transactions!E626,0)),0)</f>
        <v/>
      </c>
      <c r="G626">
        <f>IF(F626&gt;0,IF(B626="RECEIPT",Transactions!F626,IF(_xlfn.MAXIFS($H$2:H626,$A$2:A626,A626)&gt;0,INDEX(Transactions!$F:$F,_xlfn.MAXIFS($H$2:H626,$A$2:A626,A626)),W626)),0)</f>
        <v/>
      </c>
      <c r="H626">
        <f>IF(AND(E626=1,B626="RECEIPT"),ROW(),0)</f>
        <v/>
      </c>
      <c r="I626">
        <f>IF(E626=1,IF(OR(B626="SALE",B626="WRITEOFF"),Transactions!E626,0),0)</f>
        <v/>
      </c>
      <c r="J626">
        <f>SUMIFS($F$1:F625,$A$1:A625,A626)</f>
        <v/>
      </c>
      <c r="K626">
        <f>SUMIFS($I$1:I625,$A$1:A625,A626)</f>
        <v/>
      </c>
      <c r="L626">
        <f>IFERROR(VLOOKUP(A626,Opening!$A:$C,3,0),0)</f>
        <v/>
      </c>
      <c r="M626">
        <f>IF(I626=0,0,MAX(0,MIN(INDEX(Month!H$2:H$13,MATCH($A626,Month!$A$2:$A$13,0))-K626,I626)))</f>
        <v/>
      </c>
      <c r="N626">
        <f>IF(I626=0,0,MAX(0,MIN(INDEX(Month!I$2:I$13,MATCH($A626,Month!$A$2:$A$13,0))-K626,I626)))</f>
        <v/>
      </c>
      <c r="O626">
        <f>IF(I626=0,0,MAX(0,MIN(INDEX(Month!J$2:J$13,MATCH($A626,Month!$A$2:$A$13,0))-K626,I626)))</f>
        <v/>
      </c>
      <c r="P626">
        <f>IF(I626=0,0,(MIN(MAX(K626,0),L626)*W626+SUMPRODUCT((Calc!$A$2:$A$1001=A626)*Calc!$G$2:$G$1001*(((K626-(L626+Calc!$J$2:$J$1001))&gt;0)*((K626-(L626+Calc!$J$2:$J$1001))&lt;Calc!$F$2:$F$1001)*(K626-(L626+Calc!$J$2:$J$1001))+((K626-(L626+Calc!$J$2:$J$1001))&gt;=Calc!$F$2:$F$1001)*Calc!$F$2:$F$1001))))</f>
        <v/>
      </c>
      <c r="Q626">
        <f>IF(I626=0,0,(MIN(MAX((K626+M626),0),L626)*W626+SUMPRODUCT((Calc!$A$2:$A$1001=A626)*Calc!$G$2:$G$1001*((((K626+M626)-(L626+Calc!$J$2:$J$1001))&gt;0)*(((K626+M626)-(L626+Calc!$J$2:$J$1001))&lt;Calc!$F$2:$F$1001)*((K626+M626)-(L626+Calc!$J$2:$J$1001))+(((K626+M626)-(L626+Calc!$J$2:$J$1001))&gt;=Calc!$F$2:$F$1001)*Calc!$F$2:$F$1001))))</f>
        <v/>
      </c>
      <c r="R626">
        <f>IF(I626=0,0,(MIN(MAX((K626+N626),0),L626)*W626+SUMPRODUCT((Calc!$A$2:$A$1001=A626)*Calc!$G$2:$G$1001*((((K626+N626)-(L626+Calc!$J$2:$J$1001))&gt;0)*(((K626+N626)-(L626+Calc!$J$2:$J$1001))&lt;Calc!$F$2:$F$1001)*((K626+N626)-(L626+Calc!$J$2:$J$1001))+(((K626+N626)-(L626+Calc!$J$2:$J$1001))&gt;=Calc!$F$2:$F$1001)*Calc!$F$2:$F$1001))))</f>
        <v/>
      </c>
      <c r="S626">
        <f>IF(I626=0,0,(MIN(MAX((K626+O626),0),L626)*W626+SUMPRODUCT((Calc!$A$2:$A$1001=A626)*Calc!$G$2:$G$1001*((((K626+O626)-(L626+Calc!$J$2:$J$1001))&gt;0)*(((K626+O626)-(L626+Calc!$J$2:$J$1001))&lt;Calc!$F$2:$F$1001)*((K626+O626)-(L626+Calc!$J$2:$J$1001))+(((K626+O626)-(L626+Calc!$J$2:$J$1001))&gt;=Calc!$F$2:$F$1001)*Calc!$F$2:$F$1001))))</f>
        <v/>
      </c>
      <c r="T626">
        <f>IF(AND(E626=1,B626="RETURN"),Transactions!E626*Transactions!G626,0)</f>
        <v/>
      </c>
      <c r="U626">
        <f>IF(AND(E626=1,B626="EXPENSE"),Transactions!J626,0)</f>
        <v/>
      </c>
      <c r="V626">
        <f>IF(AND(Transactions!A626&lt;&gt;"",E626=0),ROW(),"")</f>
        <v/>
      </c>
      <c r="W626">
        <f>IFERROR(VLOOKUP(A626,Opening!$A:$D,4,0),0)</f>
        <v/>
      </c>
    </row>
    <row r="627">
      <c r="A627">
        <f>IF(Transactions!D627="","",UPPER(TRIM(Transactions!D627)))</f>
        <v/>
      </c>
      <c r="B627">
        <f>IF(Transactions!C627="","",UPPER(TRIM(Transactions!C627)))</f>
        <v/>
      </c>
      <c r="C627">
        <f>IF(Transactions!B627="",0,YEAR(Transactions!B627)*100+MONTH(Transactions!B627))</f>
        <v/>
      </c>
      <c r="D627">
        <f>IF(Transactions!A627="",1,IF(COUNTIF(Transactions!$A$1:A626,Transactions!A627)&gt;0,1,0))</f>
        <v/>
      </c>
      <c r="E627">
        <f>IF(D627=1,0,IF(B627="RETURN",IF(COUNTIFS($A$1:A626,A627,$B$1:B626,"SALE",$E$1:E626,1)&gt;0,1,0),1))</f>
        <v/>
      </c>
      <c r="F627">
        <f>IF(E627=1,IF(B627="RECEIPT",Transactions!E627,IF(AND(B627="RETURN",LOWER(TRIM(Transactions!H627))="resellable"),Transactions!E627,0)),0)</f>
        <v/>
      </c>
      <c r="G627">
        <f>IF(F627&gt;0,IF(B627="RECEIPT",Transactions!F627,IF(_xlfn.MAXIFS($H$2:H627,$A$2:A627,A627)&gt;0,INDEX(Transactions!$F:$F,_xlfn.MAXIFS($H$2:H627,$A$2:A627,A627)),W627)),0)</f>
        <v/>
      </c>
      <c r="H627">
        <f>IF(AND(E627=1,B627="RECEIPT"),ROW(),0)</f>
        <v/>
      </c>
      <c r="I627">
        <f>IF(E627=1,IF(OR(B627="SALE",B627="WRITEOFF"),Transactions!E627,0),0)</f>
        <v/>
      </c>
      <c r="J627">
        <f>SUMIFS($F$1:F626,$A$1:A626,A627)</f>
        <v/>
      </c>
      <c r="K627">
        <f>SUMIFS($I$1:I626,$A$1:A626,A627)</f>
        <v/>
      </c>
      <c r="L627">
        <f>IFERROR(VLOOKUP(A627,Opening!$A:$C,3,0),0)</f>
        <v/>
      </c>
      <c r="M627">
        <f>IF(I627=0,0,MAX(0,MIN(INDEX(Month!H$2:H$13,MATCH($A627,Month!$A$2:$A$13,0))-K627,I627)))</f>
        <v/>
      </c>
      <c r="N627">
        <f>IF(I627=0,0,MAX(0,MIN(INDEX(Month!I$2:I$13,MATCH($A627,Month!$A$2:$A$13,0))-K627,I627)))</f>
        <v/>
      </c>
      <c r="O627">
        <f>IF(I627=0,0,MAX(0,MIN(INDEX(Month!J$2:J$13,MATCH($A627,Month!$A$2:$A$13,0))-K627,I627)))</f>
        <v/>
      </c>
      <c r="P627">
        <f>IF(I627=0,0,(MIN(MAX(K627,0),L627)*W627+SUMPRODUCT((Calc!$A$2:$A$1001=A627)*Calc!$G$2:$G$1001*(((K627-(L627+Calc!$J$2:$J$1001))&gt;0)*((K627-(L627+Calc!$J$2:$J$1001))&lt;Calc!$F$2:$F$1001)*(K627-(L627+Calc!$J$2:$J$1001))+((K627-(L627+Calc!$J$2:$J$1001))&gt;=Calc!$F$2:$F$1001)*Calc!$F$2:$F$1001))))</f>
        <v/>
      </c>
      <c r="Q627">
        <f>IF(I627=0,0,(MIN(MAX((K627+M627),0),L627)*W627+SUMPRODUCT((Calc!$A$2:$A$1001=A627)*Calc!$G$2:$G$1001*((((K627+M627)-(L627+Calc!$J$2:$J$1001))&gt;0)*(((K627+M627)-(L627+Calc!$J$2:$J$1001))&lt;Calc!$F$2:$F$1001)*((K627+M627)-(L627+Calc!$J$2:$J$1001))+(((K627+M627)-(L627+Calc!$J$2:$J$1001))&gt;=Calc!$F$2:$F$1001)*Calc!$F$2:$F$1001))))</f>
        <v/>
      </c>
      <c r="R627">
        <f>IF(I627=0,0,(MIN(MAX((K627+N627),0),L627)*W627+SUMPRODUCT((Calc!$A$2:$A$1001=A627)*Calc!$G$2:$G$1001*((((K627+N627)-(L627+Calc!$J$2:$J$1001))&gt;0)*(((K627+N627)-(L627+Calc!$J$2:$J$1001))&lt;Calc!$F$2:$F$1001)*((K627+N627)-(L627+Calc!$J$2:$J$1001))+(((K627+N627)-(L627+Calc!$J$2:$J$1001))&gt;=Calc!$F$2:$F$1001)*Calc!$F$2:$F$1001))))</f>
        <v/>
      </c>
      <c r="S627">
        <f>IF(I627=0,0,(MIN(MAX((K627+O627),0),L627)*W627+SUMPRODUCT((Calc!$A$2:$A$1001=A627)*Calc!$G$2:$G$1001*((((K627+O627)-(L627+Calc!$J$2:$J$1001))&gt;0)*(((K627+O627)-(L627+Calc!$J$2:$J$1001))&lt;Calc!$F$2:$F$1001)*((K627+O627)-(L627+Calc!$J$2:$J$1001))+(((K627+O627)-(L627+Calc!$J$2:$J$1001))&gt;=Calc!$F$2:$F$1001)*Calc!$F$2:$F$1001))))</f>
        <v/>
      </c>
      <c r="T627">
        <f>IF(AND(E627=1,B627="RETURN"),Transactions!E627*Transactions!G627,0)</f>
        <v/>
      </c>
      <c r="U627">
        <f>IF(AND(E627=1,B627="EXPENSE"),Transactions!J627,0)</f>
        <v/>
      </c>
      <c r="V627">
        <f>IF(AND(Transactions!A627&lt;&gt;"",E627=0),ROW(),"")</f>
        <v/>
      </c>
      <c r="W627">
        <f>IFERROR(VLOOKUP(A627,Opening!$A:$D,4,0),0)</f>
        <v/>
      </c>
    </row>
    <row r="628">
      <c r="A628">
        <f>IF(Transactions!D628="","",UPPER(TRIM(Transactions!D628)))</f>
        <v/>
      </c>
      <c r="B628">
        <f>IF(Transactions!C628="","",UPPER(TRIM(Transactions!C628)))</f>
        <v/>
      </c>
      <c r="C628">
        <f>IF(Transactions!B628="",0,YEAR(Transactions!B628)*100+MONTH(Transactions!B628))</f>
        <v/>
      </c>
      <c r="D628">
        <f>IF(Transactions!A628="",1,IF(COUNTIF(Transactions!$A$1:A627,Transactions!A628)&gt;0,1,0))</f>
        <v/>
      </c>
      <c r="E628">
        <f>IF(D628=1,0,IF(B628="RETURN",IF(COUNTIFS($A$1:A627,A628,$B$1:B627,"SALE",$E$1:E627,1)&gt;0,1,0),1))</f>
        <v/>
      </c>
      <c r="F628">
        <f>IF(E628=1,IF(B628="RECEIPT",Transactions!E628,IF(AND(B628="RETURN",LOWER(TRIM(Transactions!H628))="resellable"),Transactions!E628,0)),0)</f>
        <v/>
      </c>
      <c r="G628">
        <f>IF(F628&gt;0,IF(B628="RECEIPT",Transactions!F628,IF(_xlfn.MAXIFS($H$2:H628,$A$2:A628,A628)&gt;0,INDEX(Transactions!$F:$F,_xlfn.MAXIFS($H$2:H628,$A$2:A628,A628)),W628)),0)</f>
        <v/>
      </c>
      <c r="H628">
        <f>IF(AND(E628=1,B628="RECEIPT"),ROW(),0)</f>
        <v/>
      </c>
      <c r="I628">
        <f>IF(E628=1,IF(OR(B628="SALE",B628="WRITEOFF"),Transactions!E628,0),0)</f>
        <v/>
      </c>
      <c r="J628">
        <f>SUMIFS($F$1:F627,$A$1:A627,A628)</f>
        <v/>
      </c>
      <c r="K628">
        <f>SUMIFS($I$1:I627,$A$1:A627,A628)</f>
        <v/>
      </c>
      <c r="L628">
        <f>IFERROR(VLOOKUP(A628,Opening!$A:$C,3,0),0)</f>
        <v/>
      </c>
      <c r="M628">
        <f>IF(I628=0,0,MAX(0,MIN(INDEX(Month!H$2:H$13,MATCH($A628,Month!$A$2:$A$13,0))-K628,I628)))</f>
        <v/>
      </c>
      <c r="N628">
        <f>IF(I628=0,0,MAX(0,MIN(INDEX(Month!I$2:I$13,MATCH($A628,Month!$A$2:$A$13,0))-K628,I628)))</f>
        <v/>
      </c>
      <c r="O628">
        <f>IF(I628=0,0,MAX(0,MIN(INDEX(Month!J$2:J$13,MATCH($A628,Month!$A$2:$A$13,0))-K628,I628)))</f>
        <v/>
      </c>
      <c r="P628">
        <f>IF(I628=0,0,(MIN(MAX(K628,0),L628)*W628+SUMPRODUCT((Calc!$A$2:$A$1001=A628)*Calc!$G$2:$G$1001*(((K628-(L628+Calc!$J$2:$J$1001))&gt;0)*((K628-(L628+Calc!$J$2:$J$1001))&lt;Calc!$F$2:$F$1001)*(K628-(L628+Calc!$J$2:$J$1001))+((K628-(L628+Calc!$J$2:$J$1001))&gt;=Calc!$F$2:$F$1001)*Calc!$F$2:$F$1001))))</f>
        <v/>
      </c>
      <c r="Q628">
        <f>IF(I628=0,0,(MIN(MAX((K628+M628),0),L628)*W628+SUMPRODUCT((Calc!$A$2:$A$1001=A628)*Calc!$G$2:$G$1001*((((K628+M628)-(L628+Calc!$J$2:$J$1001))&gt;0)*(((K628+M628)-(L628+Calc!$J$2:$J$1001))&lt;Calc!$F$2:$F$1001)*((K628+M628)-(L628+Calc!$J$2:$J$1001))+(((K628+M628)-(L628+Calc!$J$2:$J$1001))&gt;=Calc!$F$2:$F$1001)*Calc!$F$2:$F$1001))))</f>
        <v/>
      </c>
      <c r="R628">
        <f>IF(I628=0,0,(MIN(MAX((K628+N628),0),L628)*W628+SUMPRODUCT((Calc!$A$2:$A$1001=A628)*Calc!$G$2:$G$1001*((((K628+N628)-(L628+Calc!$J$2:$J$1001))&gt;0)*(((K628+N628)-(L628+Calc!$J$2:$J$1001))&lt;Calc!$F$2:$F$1001)*((K628+N628)-(L628+Calc!$J$2:$J$1001))+(((K628+N628)-(L628+Calc!$J$2:$J$1001))&gt;=Calc!$F$2:$F$1001)*Calc!$F$2:$F$1001))))</f>
        <v/>
      </c>
      <c r="S628">
        <f>IF(I628=0,0,(MIN(MAX((K628+O628),0),L628)*W628+SUMPRODUCT((Calc!$A$2:$A$1001=A628)*Calc!$G$2:$G$1001*((((K628+O628)-(L628+Calc!$J$2:$J$1001))&gt;0)*(((K628+O628)-(L628+Calc!$J$2:$J$1001))&lt;Calc!$F$2:$F$1001)*((K628+O628)-(L628+Calc!$J$2:$J$1001))+(((K628+O628)-(L628+Calc!$J$2:$J$1001))&gt;=Calc!$F$2:$F$1001)*Calc!$F$2:$F$1001))))</f>
        <v/>
      </c>
      <c r="T628">
        <f>IF(AND(E628=1,B628="RETURN"),Transactions!E628*Transactions!G628,0)</f>
        <v/>
      </c>
      <c r="U628">
        <f>IF(AND(E628=1,B628="EXPENSE"),Transactions!J628,0)</f>
        <v/>
      </c>
      <c r="V628">
        <f>IF(AND(Transactions!A628&lt;&gt;"",E628=0),ROW(),"")</f>
        <v/>
      </c>
      <c r="W628">
        <f>IFERROR(VLOOKUP(A628,Opening!$A:$D,4,0),0)</f>
        <v/>
      </c>
    </row>
    <row r="629">
      <c r="A629">
        <f>IF(Transactions!D629="","",UPPER(TRIM(Transactions!D629)))</f>
        <v/>
      </c>
      <c r="B629">
        <f>IF(Transactions!C629="","",UPPER(TRIM(Transactions!C629)))</f>
        <v/>
      </c>
      <c r="C629">
        <f>IF(Transactions!B629="",0,YEAR(Transactions!B629)*100+MONTH(Transactions!B629))</f>
        <v/>
      </c>
      <c r="D629">
        <f>IF(Transactions!A629="",1,IF(COUNTIF(Transactions!$A$1:A628,Transactions!A629)&gt;0,1,0))</f>
        <v/>
      </c>
      <c r="E629">
        <f>IF(D629=1,0,IF(B629="RETURN",IF(COUNTIFS($A$1:A628,A629,$B$1:B628,"SALE",$E$1:E628,1)&gt;0,1,0),1))</f>
        <v/>
      </c>
      <c r="F629">
        <f>IF(E629=1,IF(B629="RECEIPT",Transactions!E629,IF(AND(B629="RETURN",LOWER(TRIM(Transactions!H629))="resellable"),Transactions!E629,0)),0)</f>
        <v/>
      </c>
      <c r="G629">
        <f>IF(F629&gt;0,IF(B629="RECEIPT",Transactions!F629,IF(_xlfn.MAXIFS($H$2:H629,$A$2:A629,A629)&gt;0,INDEX(Transactions!$F:$F,_xlfn.MAXIFS($H$2:H629,$A$2:A629,A629)),W629)),0)</f>
        <v/>
      </c>
      <c r="H629">
        <f>IF(AND(E629=1,B629="RECEIPT"),ROW(),0)</f>
        <v/>
      </c>
      <c r="I629">
        <f>IF(E629=1,IF(OR(B629="SALE",B629="WRITEOFF"),Transactions!E629,0),0)</f>
        <v/>
      </c>
      <c r="J629">
        <f>SUMIFS($F$1:F628,$A$1:A628,A629)</f>
        <v/>
      </c>
      <c r="K629">
        <f>SUMIFS($I$1:I628,$A$1:A628,A629)</f>
        <v/>
      </c>
      <c r="L629">
        <f>IFERROR(VLOOKUP(A629,Opening!$A:$C,3,0),0)</f>
        <v/>
      </c>
      <c r="M629">
        <f>IF(I629=0,0,MAX(0,MIN(INDEX(Month!H$2:H$13,MATCH($A629,Month!$A$2:$A$13,0))-K629,I629)))</f>
        <v/>
      </c>
      <c r="N629">
        <f>IF(I629=0,0,MAX(0,MIN(INDEX(Month!I$2:I$13,MATCH($A629,Month!$A$2:$A$13,0))-K629,I629)))</f>
        <v/>
      </c>
      <c r="O629">
        <f>IF(I629=0,0,MAX(0,MIN(INDEX(Month!J$2:J$13,MATCH($A629,Month!$A$2:$A$13,0))-K629,I629)))</f>
        <v/>
      </c>
      <c r="P629">
        <f>IF(I629=0,0,(MIN(MAX(K629,0),L629)*W629+SUMPRODUCT((Calc!$A$2:$A$1001=A629)*Calc!$G$2:$G$1001*(((K629-(L629+Calc!$J$2:$J$1001))&gt;0)*((K629-(L629+Calc!$J$2:$J$1001))&lt;Calc!$F$2:$F$1001)*(K629-(L629+Calc!$J$2:$J$1001))+((K629-(L629+Calc!$J$2:$J$1001))&gt;=Calc!$F$2:$F$1001)*Calc!$F$2:$F$1001))))</f>
        <v/>
      </c>
      <c r="Q629">
        <f>IF(I629=0,0,(MIN(MAX((K629+M629),0),L629)*W629+SUMPRODUCT((Calc!$A$2:$A$1001=A629)*Calc!$G$2:$G$1001*((((K629+M629)-(L629+Calc!$J$2:$J$1001))&gt;0)*(((K629+M629)-(L629+Calc!$J$2:$J$1001))&lt;Calc!$F$2:$F$1001)*((K629+M629)-(L629+Calc!$J$2:$J$1001))+(((K629+M629)-(L629+Calc!$J$2:$J$1001))&gt;=Calc!$F$2:$F$1001)*Calc!$F$2:$F$1001))))</f>
        <v/>
      </c>
      <c r="R629">
        <f>IF(I629=0,0,(MIN(MAX((K629+N629),0),L629)*W629+SUMPRODUCT((Calc!$A$2:$A$1001=A629)*Calc!$G$2:$G$1001*((((K629+N629)-(L629+Calc!$J$2:$J$1001))&gt;0)*(((K629+N629)-(L629+Calc!$J$2:$J$1001))&lt;Calc!$F$2:$F$1001)*((K629+N629)-(L629+Calc!$J$2:$J$1001))+(((K629+N629)-(L629+Calc!$J$2:$J$1001))&gt;=Calc!$F$2:$F$1001)*Calc!$F$2:$F$1001))))</f>
        <v/>
      </c>
      <c r="S629">
        <f>IF(I629=0,0,(MIN(MAX((K629+O629),0),L629)*W629+SUMPRODUCT((Calc!$A$2:$A$1001=A629)*Calc!$G$2:$G$1001*((((K629+O629)-(L629+Calc!$J$2:$J$1001))&gt;0)*(((K629+O629)-(L629+Calc!$J$2:$J$1001))&lt;Calc!$F$2:$F$1001)*((K629+O629)-(L629+Calc!$J$2:$J$1001))+(((K629+O629)-(L629+Calc!$J$2:$J$1001))&gt;=Calc!$F$2:$F$1001)*Calc!$F$2:$F$1001))))</f>
        <v/>
      </c>
      <c r="T629">
        <f>IF(AND(E629=1,B629="RETURN"),Transactions!E629*Transactions!G629,0)</f>
        <v/>
      </c>
      <c r="U629">
        <f>IF(AND(E629=1,B629="EXPENSE"),Transactions!J629,0)</f>
        <v/>
      </c>
      <c r="V629">
        <f>IF(AND(Transactions!A629&lt;&gt;"",E629=0),ROW(),"")</f>
        <v/>
      </c>
      <c r="W629">
        <f>IFERROR(VLOOKUP(A629,Opening!$A:$D,4,0),0)</f>
        <v/>
      </c>
    </row>
    <row r="630">
      <c r="A630">
        <f>IF(Transactions!D630="","",UPPER(TRIM(Transactions!D630)))</f>
        <v/>
      </c>
      <c r="B630">
        <f>IF(Transactions!C630="","",UPPER(TRIM(Transactions!C630)))</f>
        <v/>
      </c>
      <c r="C630">
        <f>IF(Transactions!B630="",0,YEAR(Transactions!B630)*100+MONTH(Transactions!B630))</f>
        <v/>
      </c>
      <c r="D630">
        <f>IF(Transactions!A630="",1,IF(COUNTIF(Transactions!$A$1:A629,Transactions!A630)&gt;0,1,0))</f>
        <v/>
      </c>
      <c r="E630">
        <f>IF(D630=1,0,IF(B630="RETURN",IF(COUNTIFS($A$1:A629,A630,$B$1:B629,"SALE",$E$1:E629,1)&gt;0,1,0),1))</f>
        <v/>
      </c>
      <c r="F630">
        <f>IF(E630=1,IF(B630="RECEIPT",Transactions!E630,IF(AND(B630="RETURN",LOWER(TRIM(Transactions!H630))="resellable"),Transactions!E630,0)),0)</f>
        <v/>
      </c>
      <c r="G630">
        <f>IF(F630&gt;0,IF(B630="RECEIPT",Transactions!F630,IF(_xlfn.MAXIFS($H$2:H630,$A$2:A630,A630)&gt;0,INDEX(Transactions!$F:$F,_xlfn.MAXIFS($H$2:H630,$A$2:A630,A630)),W630)),0)</f>
        <v/>
      </c>
      <c r="H630">
        <f>IF(AND(E630=1,B630="RECEIPT"),ROW(),0)</f>
        <v/>
      </c>
      <c r="I630">
        <f>IF(E630=1,IF(OR(B630="SALE",B630="WRITEOFF"),Transactions!E630,0),0)</f>
        <v/>
      </c>
      <c r="J630">
        <f>SUMIFS($F$1:F629,$A$1:A629,A630)</f>
        <v/>
      </c>
      <c r="K630">
        <f>SUMIFS($I$1:I629,$A$1:A629,A630)</f>
        <v/>
      </c>
      <c r="L630">
        <f>IFERROR(VLOOKUP(A630,Opening!$A:$C,3,0),0)</f>
        <v/>
      </c>
      <c r="M630">
        <f>IF(I630=0,0,MAX(0,MIN(INDEX(Month!H$2:H$13,MATCH($A630,Month!$A$2:$A$13,0))-K630,I630)))</f>
        <v/>
      </c>
      <c r="N630">
        <f>IF(I630=0,0,MAX(0,MIN(INDEX(Month!I$2:I$13,MATCH($A630,Month!$A$2:$A$13,0))-K630,I630)))</f>
        <v/>
      </c>
      <c r="O630">
        <f>IF(I630=0,0,MAX(0,MIN(INDEX(Month!J$2:J$13,MATCH($A630,Month!$A$2:$A$13,0))-K630,I630)))</f>
        <v/>
      </c>
      <c r="P630">
        <f>IF(I630=0,0,(MIN(MAX(K630,0),L630)*W630+SUMPRODUCT((Calc!$A$2:$A$1001=A630)*Calc!$G$2:$G$1001*(((K630-(L630+Calc!$J$2:$J$1001))&gt;0)*((K630-(L630+Calc!$J$2:$J$1001))&lt;Calc!$F$2:$F$1001)*(K630-(L630+Calc!$J$2:$J$1001))+((K630-(L630+Calc!$J$2:$J$1001))&gt;=Calc!$F$2:$F$1001)*Calc!$F$2:$F$1001))))</f>
        <v/>
      </c>
      <c r="Q630">
        <f>IF(I630=0,0,(MIN(MAX((K630+M630),0),L630)*W630+SUMPRODUCT((Calc!$A$2:$A$1001=A630)*Calc!$G$2:$G$1001*((((K630+M630)-(L630+Calc!$J$2:$J$1001))&gt;0)*(((K630+M630)-(L630+Calc!$J$2:$J$1001))&lt;Calc!$F$2:$F$1001)*((K630+M630)-(L630+Calc!$J$2:$J$1001))+(((K630+M630)-(L630+Calc!$J$2:$J$1001))&gt;=Calc!$F$2:$F$1001)*Calc!$F$2:$F$1001))))</f>
        <v/>
      </c>
      <c r="R630">
        <f>IF(I630=0,0,(MIN(MAX((K630+N630),0),L630)*W630+SUMPRODUCT((Calc!$A$2:$A$1001=A630)*Calc!$G$2:$G$1001*((((K630+N630)-(L630+Calc!$J$2:$J$1001))&gt;0)*(((K630+N630)-(L630+Calc!$J$2:$J$1001))&lt;Calc!$F$2:$F$1001)*((K630+N630)-(L630+Calc!$J$2:$J$1001))+(((K630+N630)-(L630+Calc!$J$2:$J$1001))&gt;=Calc!$F$2:$F$1001)*Calc!$F$2:$F$1001))))</f>
        <v/>
      </c>
      <c r="S630">
        <f>IF(I630=0,0,(MIN(MAX((K630+O630),0),L630)*W630+SUMPRODUCT((Calc!$A$2:$A$1001=A630)*Calc!$G$2:$G$1001*((((K630+O630)-(L630+Calc!$J$2:$J$1001))&gt;0)*(((K630+O630)-(L630+Calc!$J$2:$J$1001))&lt;Calc!$F$2:$F$1001)*((K630+O630)-(L630+Calc!$J$2:$J$1001))+(((K630+O630)-(L630+Calc!$J$2:$J$1001))&gt;=Calc!$F$2:$F$1001)*Calc!$F$2:$F$1001))))</f>
        <v/>
      </c>
      <c r="T630">
        <f>IF(AND(E630=1,B630="RETURN"),Transactions!E630*Transactions!G630,0)</f>
        <v/>
      </c>
      <c r="U630">
        <f>IF(AND(E630=1,B630="EXPENSE"),Transactions!J630,0)</f>
        <v/>
      </c>
      <c r="V630">
        <f>IF(AND(Transactions!A630&lt;&gt;"",E630=0),ROW(),"")</f>
        <v/>
      </c>
      <c r="W630">
        <f>IFERROR(VLOOKUP(A630,Opening!$A:$D,4,0),0)</f>
        <v/>
      </c>
    </row>
    <row r="631">
      <c r="A631">
        <f>IF(Transactions!D631="","",UPPER(TRIM(Transactions!D631)))</f>
        <v/>
      </c>
      <c r="B631">
        <f>IF(Transactions!C631="","",UPPER(TRIM(Transactions!C631)))</f>
        <v/>
      </c>
      <c r="C631">
        <f>IF(Transactions!B631="",0,YEAR(Transactions!B631)*100+MONTH(Transactions!B631))</f>
        <v/>
      </c>
      <c r="D631">
        <f>IF(Transactions!A631="",1,IF(COUNTIF(Transactions!$A$1:A630,Transactions!A631)&gt;0,1,0))</f>
        <v/>
      </c>
      <c r="E631">
        <f>IF(D631=1,0,IF(B631="RETURN",IF(COUNTIFS($A$1:A630,A631,$B$1:B630,"SALE",$E$1:E630,1)&gt;0,1,0),1))</f>
        <v/>
      </c>
      <c r="F631">
        <f>IF(E631=1,IF(B631="RECEIPT",Transactions!E631,IF(AND(B631="RETURN",LOWER(TRIM(Transactions!H631))="resellable"),Transactions!E631,0)),0)</f>
        <v/>
      </c>
      <c r="G631">
        <f>IF(F631&gt;0,IF(B631="RECEIPT",Transactions!F631,IF(_xlfn.MAXIFS($H$2:H631,$A$2:A631,A631)&gt;0,INDEX(Transactions!$F:$F,_xlfn.MAXIFS($H$2:H631,$A$2:A631,A631)),W631)),0)</f>
        <v/>
      </c>
      <c r="H631">
        <f>IF(AND(E631=1,B631="RECEIPT"),ROW(),0)</f>
        <v/>
      </c>
      <c r="I631">
        <f>IF(E631=1,IF(OR(B631="SALE",B631="WRITEOFF"),Transactions!E631,0),0)</f>
        <v/>
      </c>
      <c r="J631">
        <f>SUMIFS($F$1:F630,$A$1:A630,A631)</f>
        <v/>
      </c>
      <c r="K631">
        <f>SUMIFS($I$1:I630,$A$1:A630,A631)</f>
        <v/>
      </c>
      <c r="L631">
        <f>IFERROR(VLOOKUP(A631,Opening!$A:$C,3,0),0)</f>
        <v/>
      </c>
      <c r="M631">
        <f>IF(I631=0,0,MAX(0,MIN(INDEX(Month!H$2:H$13,MATCH($A631,Month!$A$2:$A$13,0))-K631,I631)))</f>
        <v/>
      </c>
      <c r="N631">
        <f>IF(I631=0,0,MAX(0,MIN(INDEX(Month!I$2:I$13,MATCH($A631,Month!$A$2:$A$13,0))-K631,I631)))</f>
        <v/>
      </c>
      <c r="O631">
        <f>IF(I631=0,0,MAX(0,MIN(INDEX(Month!J$2:J$13,MATCH($A631,Month!$A$2:$A$13,0))-K631,I631)))</f>
        <v/>
      </c>
      <c r="P631">
        <f>IF(I631=0,0,(MIN(MAX(K631,0),L631)*W631+SUMPRODUCT((Calc!$A$2:$A$1001=A631)*Calc!$G$2:$G$1001*(((K631-(L631+Calc!$J$2:$J$1001))&gt;0)*((K631-(L631+Calc!$J$2:$J$1001))&lt;Calc!$F$2:$F$1001)*(K631-(L631+Calc!$J$2:$J$1001))+((K631-(L631+Calc!$J$2:$J$1001))&gt;=Calc!$F$2:$F$1001)*Calc!$F$2:$F$1001))))</f>
        <v/>
      </c>
      <c r="Q631">
        <f>IF(I631=0,0,(MIN(MAX((K631+M631),0),L631)*W631+SUMPRODUCT((Calc!$A$2:$A$1001=A631)*Calc!$G$2:$G$1001*((((K631+M631)-(L631+Calc!$J$2:$J$1001))&gt;0)*(((K631+M631)-(L631+Calc!$J$2:$J$1001))&lt;Calc!$F$2:$F$1001)*((K631+M631)-(L631+Calc!$J$2:$J$1001))+(((K631+M631)-(L631+Calc!$J$2:$J$1001))&gt;=Calc!$F$2:$F$1001)*Calc!$F$2:$F$1001))))</f>
        <v/>
      </c>
      <c r="R631">
        <f>IF(I631=0,0,(MIN(MAX((K631+N631),0),L631)*W631+SUMPRODUCT((Calc!$A$2:$A$1001=A631)*Calc!$G$2:$G$1001*((((K631+N631)-(L631+Calc!$J$2:$J$1001))&gt;0)*(((K631+N631)-(L631+Calc!$J$2:$J$1001))&lt;Calc!$F$2:$F$1001)*((K631+N631)-(L631+Calc!$J$2:$J$1001))+(((K631+N631)-(L631+Calc!$J$2:$J$1001))&gt;=Calc!$F$2:$F$1001)*Calc!$F$2:$F$1001))))</f>
        <v/>
      </c>
      <c r="S631">
        <f>IF(I631=0,0,(MIN(MAX((K631+O631),0),L631)*W631+SUMPRODUCT((Calc!$A$2:$A$1001=A631)*Calc!$G$2:$G$1001*((((K631+O631)-(L631+Calc!$J$2:$J$1001))&gt;0)*(((K631+O631)-(L631+Calc!$J$2:$J$1001))&lt;Calc!$F$2:$F$1001)*((K631+O631)-(L631+Calc!$J$2:$J$1001))+(((K631+O631)-(L631+Calc!$J$2:$J$1001))&gt;=Calc!$F$2:$F$1001)*Calc!$F$2:$F$1001))))</f>
        <v/>
      </c>
      <c r="T631">
        <f>IF(AND(E631=1,B631="RETURN"),Transactions!E631*Transactions!G631,0)</f>
        <v/>
      </c>
      <c r="U631">
        <f>IF(AND(E631=1,B631="EXPENSE"),Transactions!J631,0)</f>
        <v/>
      </c>
      <c r="V631">
        <f>IF(AND(Transactions!A631&lt;&gt;"",E631=0),ROW(),"")</f>
        <v/>
      </c>
      <c r="W631">
        <f>IFERROR(VLOOKUP(A631,Opening!$A:$D,4,0),0)</f>
        <v/>
      </c>
    </row>
    <row r="632">
      <c r="A632">
        <f>IF(Transactions!D632="","",UPPER(TRIM(Transactions!D632)))</f>
        <v/>
      </c>
      <c r="B632">
        <f>IF(Transactions!C632="","",UPPER(TRIM(Transactions!C632)))</f>
        <v/>
      </c>
      <c r="C632">
        <f>IF(Transactions!B632="",0,YEAR(Transactions!B632)*100+MONTH(Transactions!B632))</f>
        <v/>
      </c>
      <c r="D632">
        <f>IF(Transactions!A632="",1,IF(COUNTIF(Transactions!$A$1:A631,Transactions!A632)&gt;0,1,0))</f>
        <v/>
      </c>
      <c r="E632">
        <f>IF(D632=1,0,IF(B632="RETURN",IF(COUNTIFS($A$1:A631,A632,$B$1:B631,"SALE",$E$1:E631,1)&gt;0,1,0),1))</f>
        <v/>
      </c>
      <c r="F632">
        <f>IF(E632=1,IF(B632="RECEIPT",Transactions!E632,IF(AND(B632="RETURN",LOWER(TRIM(Transactions!H632))="resellable"),Transactions!E632,0)),0)</f>
        <v/>
      </c>
      <c r="G632">
        <f>IF(F632&gt;0,IF(B632="RECEIPT",Transactions!F632,IF(_xlfn.MAXIFS($H$2:H632,$A$2:A632,A632)&gt;0,INDEX(Transactions!$F:$F,_xlfn.MAXIFS($H$2:H632,$A$2:A632,A632)),W632)),0)</f>
        <v/>
      </c>
      <c r="H632">
        <f>IF(AND(E632=1,B632="RECEIPT"),ROW(),0)</f>
        <v/>
      </c>
      <c r="I632">
        <f>IF(E632=1,IF(OR(B632="SALE",B632="WRITEOFF"),Transactions!E632,0),0)</f>
        <v/>
      </c>
      <c r="J632">
        <f>SUMIFS($F$1:F631,$A$1:A631,A632)</f>
        <v/>
      </c>
      <c r="K632">
        <f>SUMIFS($I$1:I631,$A$1:A631,A632)</f>
        <v/>
      </c>
      <c r="L632">
        <f>IFERROR(VLOOKUP(A632,Opening!$A:$C,3,0),0)</f>
        <v/>
      </c>
      <c r="M632">
        <f>IF(I632=0,0,MAX(0,MIN(INDEX(Month!H$2:H$13,MATCH($A632,Month!$A$2:$A$13,0))-K632,I632)))</f>
        <v/>
      </c>
      <c r="N632">
        <f>IF(I632=0,0,MAX(0,MIN(INDEX(Month!I$2:I$13,MATCH($A632,Month!$A$2:$A$13,0))-K632,I632)))</f>
        <v/>
      </c>
      <c r="O632">
        <f>IF(I632=0,0,MAX(0,MIN(INDEX(Month!J$2:J$13,MATCH($A632,Month!$A$2:$A$13,0))-K632,I632)))</f>
        <v/>
      </c>
      <c r="P632">
        <f>IF(I632=0,0,(MIN(MAX(K632,0),L632)*W632+SUMPRODUCT((Calc!$A$2:$A$1001=A632)*Calc!$G$2:$G$1001*(((K632-(L632+Calc!$J$2:$J$1001))&gt;0)*((K632-(L632+Calc!$J$2:$J$1001))&lt;Calc!$F$2:$F$1001)*(K632-(L632+Calc!$J$2:$J$1001))+((K632-(L632+Calc!$J$2:$J$1001))&gt;=Calc!$F$2:$F$1001)*Calc!$F$2:$F$1001))))</f>
        <v/>
      </c>
      <c r="Q632">
        <f>IF(I632=0,0,(MIN(MAX((K632+M632),0),L632)*W632+SUMPRODUCT((Calc!$A$2:$A$1001=A632)*Calc!$G$2:$G$1001*((((K632+M632)-(L632+Calc!$J$2:$J$1001))&gt;0)*(((K632+M632)-(L632+Calc!$J$2:$J$1001))&lt;Calc!$F$2:$F$1001)*((K632+M632)-(L632+Calc!$J$2:$J$1001))+(((K632+M632)-(L632+Calc!$J$2:$J$1001))&gt;=Calc!$F$2:$F$1001)*Calc!$F$2:$F$1001))))</f>
        <v/>
      </c>
      <c r="R632">
        <f>IF(I632=0,0,(MIN(MAX((K632+N632),0),L632)*W632+SUMPRODUCT((Calc!$A$2:$A$1001=A632)*Calc!$G$2:$G$1001*((((K632+N632)-(L632+Calc!$J$2:$J$1001))&gt;0)*(((K632+N632)-(L632+Calc!$J$2:$J$1001))&lt;Calc!$F$2:$F$1001)*((K632+N632)-(L632+Calc!$J$2:$J$1001))+(((K632+N632)-(L632+Calc!$J$2:$J$1001))&gt;=Calc!$F$2:$F$1001)*Calc!$F$2:$F$1001))))</f>
        <v/>
      </c>
      <c r="S632">
        <f>IF(I632=0,0,(MIN(MAX((K632+O632),0),L632)*W632+SUMPRODUCT((Calc!$A$2:$A$1001=A632)*Calc!$G$2:$G$1001*((((K632+O632)-(L632+Calc!$J$2:$J$1001))&gt;0)*(((K632+O632)-(L632+Calc!$J$2:$J$1001))&lt;Calc!$F$2:$F$1001)*((K632+O632)-(L632+Calc!$J$2:$J$1001))+(((K632+O632)-(L632+Calc!$J$2:$J$1001))&gt;=Calc!$F$2:$F$1001)*Calc!$F$2:$F$1001))))</f>
        <v/>
      </c>
      <c r="T632">
        <f>IF(AND(E632=1,B632="RETURN"),Transactions!E632*Transactions!G632,0)</f>
        <v/>
      </c>
      <c r="U632">
        <f>IF(AND(E632=1,B632="EXPENSE"),Transactions!J632,0)</f>
        <v/>
      </c>
      <c r="V632">
        <f>IF(AND(Transactions!A632&lt;&gt;"",E632=0),ROW(),"")</f>
        <v/>
      </c>
      <c r="W632">
        <f>IFERROR(VLOOKUP(A632,Opening!$A:$D,4,0),0)</f>
        <v/>
      </c>
    </row>
    <row r="633">
      <c r="A633">
        <f>IF(Transactions!D633="","",UPPER(TRIM(Transactions!D633)))</f>
        <v/>
      </c>
      <c r="B633">
        <f>IF(Transactions!C633="","",UPPER(TRIM(Transactions!C633)))</f>
        <v/>
      </c>
      <c r="C633">
        <f>IF(Transactions!B633="",0,YEAR(Transactions!B633)*100+MONTH(Transactions!B633))</f>
        <v/>
      </c>
      <c r="D633">
        <f>IF(Transactions!A633="",1,IF(COUNTIF(Transactions!$A$1:A632,Transactions!A633)&gt;0,1,0))</f>
        <v/>
      </c>
      <c r="E633">
        <f>IF(D633=1,0,IF(B633="RETURN",IF(COUNTIFS($A$1:A632,A633,$B$1:B632,"SALE",$E$1:E632,1)&gt;0,1,0),1))</f>
        <v/>
      </c>
      <c r="F633">
        <f>IF(E633=1,IF(B633="RECEIPT",Transactions!E633,IF(AND(B633="RETURN",LOWER(TRIM(Transactions!H633))="resellable"),Transactions!E633,0)),0)</f>
        <v/>
      </c>
      <c r="G633">
        <f>IF(F633&gt;0,IF(B633="RECEIPT",Transactions!F633,IF(_xlfn.MAXIFS($H$2:H633,$A$2:A633,A633)&gt;0,INDEX(Transactions!$F:$F,_xlfn.MAXIFS($H$2:H633,$A$2:A633,A633)),W633)),0)</f>
        <v/>
      </c>
      <c r="H633">
        <f>IF(AND(E633=1,B633="RECEIPT"),ROW(),0)</f>
        <v/>
      </c>
      <c r="I633">
        <f>IF(E633=1,IF(OR(B633="SALE",B633="WRITEOFF"),Transactions!E633,0),0)</f>
        <v/>
      </c>
      <c r="J633">
        <f>SUMIFS($F$1:F632,$A$1:A632,A633)</f>
        <v/>
      </c>
      <c r="K633">
        <f>SUMIFS($I$1:I632,$A$1:A632,A633)</f>
        <v/>
      </c>
      <c r="L633">
        <f>IFERROR(VLOOKUP(A633,Opening!$A:$C,3,0),0)</f>
        <v/>
      </c>
      <c r="M633">
        <f>IF(I633=0,0,MAX(0,MIN(INDEX(Month!H$2:H$13,MATCH($A633,Month!$A$2:$A$13,0))-K633,I633)))</f>
        <v/>
      </c>
      <c r="N633">
        <f>IF(I633=0,0,MAX(0,MIN(INDEX(Month!I$2:I$13,MATCH($A633,Month!$A$2:$A$13,0))-K633,I633)))</f>
        <v/>
      </c>
      <c r="O633">
        <f>IF(I633=0,0,MAX(0,MIN(INDEX(Month!J$2:J$13,MATCH($A633,Month!$A$2:$A$13,0))-K633,I633)))</f>
        <v/>
      </c>
      <c r="P633">
        <f>IF(I633=0,0,(MIN(MAX(K633,0),L633)*W633+SUMPRODUCT((Calc!$A$2:$A$1001=A633)*Calc!$G$2:$G$1001*(((K633-(L633+Calc!$J$2:$J$1001))&gt;0)*((K633-(L633+Calc!$J$2:$J$1001))&lt;Calc!$F$2:$F$1001)*(K633-(L633+Calc!$J$2:$J$1001))+((K633-(L633+Calc!$J$2:$J$1001))&gt;=Calc!$F$2:$F$1001)*Calc!$F$2:$F$1001))))</f>
        <v/>
      </c>
      <c r="Q633">
        <f>IF(I633=0,0,(MIN(MAX((K633+M633),0),L633)*W633+SUMPRODUCT((Calc!$A$2:$A$1001=A633)*Calc!$G$2:$G$1001*((((K633+M633)-(L633+Calc!$J$2:$J$1001))&gt;0)*(((K633+M633)-(L633+Calc!$J$2:$J$1001))&lt;Calc!$F$2:$F$1001)*((K633+M633)-(L633+Calc!$J$2:$J$1001))+(((K633+M633)-(L633+Calc!$J$2:$J$1001))&gt;=Calc!$F$2:$F$1001)*Calc!$F$2:$F$1001))))</f>
        <v/>
      </c>
      <c r="R633">
        <f>IF(I633=0,0,(MIN(MAX((K633+N633),0),L633)*W633+SUMPRODUCT((Calc!$A$2:$A$1001=A633)*Calc!$G$2:$G$1001*((((K633+N633)-(L633+Calc!$J$2:$J$1001))&gt;0)*(((K633+N633)-(L633+Calc!$J$2:$J$1001))&lt;Calc!$F$2:$F$1001)*((K633+N633)-(L633+Calc!$J$2:$J$1001))+(((K633+N633)-(L633+Calc!$J$2:$J$1001))&gt;=Calc!$F$2:$F$1001)*Calc!$F$2:$F$1001))))</f>
        <v/>
      </c>
      <c r="S633">
        <f>IF(I633=0,0,(MIN(MAX((K633+O633),0),L633)*W633+SUMPRODUCT((Calc!$A$2:$A$1001=A633)*Calc!$G$2:$G$1001*((((K633+O633)-(L633+Calc!$J$2:$J$1001))&gt;0)*(((K633+O633)-(L633+Calc!$J$2:$J$1001))&lt;Calc!$F$2:$F$1001)*((K633+O633)-(L633+Calc!$J$2:$J$1001))+(((K633+O633)-(L633+Calc!$J$2:$J$1001))&gt;=Calc!$F$2:$F$1001)*Calc!$F$2:$F$1001))))</f>
        <v/>
      </c>
      <c r="T633">
        <f>IF(AND(E633=1,B633="RETURN"),Transactions!E633*Transactions!G633,0)</f>
        <v/>
      </c>
      <c r="U633">
        <f>IF(AND(E633=1,B633="EXPENSE"),Transactions!J633,0)</f>
        <v/>
      </c>
      <c r="V633">
        <f>IF(AND(Transactions!A633&lt;&gt;"",E633=0),ROW(),"")</f>
        <v/>
      </c>
      <c r="W633">
        <f>IFERROR(VLOOKUP(A633,Opening!$A:$D,4,0),0)</f>
        <v/>
      </c>
    </row>
    <row r="634">
      <c r="A634">
        <f>IF(Transactions!D634="","",UPPER(TRIM(Transactions!D634)))</f>
        <v/>
      </c>
      <c r="B634">
        <f>IF(Transactions!C634="","",UPPER(TRIM(Transactions!C634)))</f>
        <v/>
      </c>
      <c r="C634">
        <f>IF(Transactions!B634="",0,YEAR(Transactions!B634)*100+MONTH(Transactions!B634))</f>
        <v/>
      </c>
      <c r="D634">
        <f>IF(Transactions!A634="",1,IF(COUNTIF(Transactions!$A$1:A633,Transactions!A634)&gt;0,1,0))</f>
        <v/>
      </c>
      <c r="E634">
        <f>IF(D634=1,0,IF(B634="RETURN",IF(COUNTIFS($A$1:A633,A634,$B$1:B633,"SALE",$E$1:E633,1)&gt;0,1,0),1))</f>
        <v/>
      </c>
      <c r="F634">
        <f>IF(E634=1,IF(B634="RECEIPT",Transactions!E634,IF(AND(B634="RETURN",LOWER(TRIM(Transactions!H634))="resellable"),Transactions!E634,0)),0)</f>
        <v/>
      </c>
      <c r="G634">
        <f>IF(F634&gt;0,IF(B634="RECEIPT",Transactions!F634,IF(_xlfn.MAXIFS($H$2:H634,$A$2:A634,A634)&gt;0,INDEX(Transactions!$F:$F,_xlfn.MAXIFS($H$2:H634,$A$2:A634,A634)),W634)),0)</f>
        <v/>
      </c>
      <c r="H634">
        <f>IF(AND(E634=1,B634="RECEIPT"),ROW(),0)</f>
        <v/>
      </c>
      <c r="I634">
        <f>IF(E634=1,IF(OR(B634="SALE",B634="WRITEOFF"),Transactions!E634,0),0)</f>
        <v/>
      </c>
      <c r="J634">
        <f>SUMIFS($F$1:F633,$A$1:A633,A634)</f>
        <v/>
      </c>
      <c r="K634">
        <f>SUMIFS($I$1:I633,$A$1:A633,A634)</f>
        <v/>
      </c>
      <c r="L634">
        <f>IFERROR(VLOOKUP(A634,Opening!$A:$C,3,0),0)</f>
        <v/>
      </c>
      <c r="M634">
        <f>IF(I634=0,0,MAX(0,MIN(INDEX(Month!H$2:H$13,MATCH($A634,Month!$A$2:$A$13,0))-K634,I634)))</f>
        <v/>
      </c>
      <c r="N634">
        <f>IF(I634=0,0,MAX(0,MIN(INDEX(Month!I$2:I$13,MATCH($A634,Month!$A$2:$A$13,0))-K634,I634)))</f>
        <v/>
      </c>
      <c r="O634">
        <f>IF(I634=0,0,MAX(0,MIN(INDEX(Month!J$2:J$13,MATCH($A634,Month!$A$2:$A$13,0))-K634,I634)))</f>
        <v/>
      </c>
      <c r="P634">
        <f>IF(I634=0,0,(MIN(MAX(K634,0),L634)*W634+SUMPRODUCT((Calc!$A$2:$A$1001=A634)*Calc!$G$2:$G$1001*(((K634-(L634+Calc!$J$2:$J$1001))&gt;0)*((K634-(L634+Calc!$J$2:$J$1001))&lt;Calc!$F$2:$F$1001)*(K634-(L634+Calc!$J$2:$J$1001))+((K634-(L634+Calc!$J$2:$J$1001))&gt;=Calc!$F$2:$F$1001)*Calc!$F$2:$F$1001))))</f>
        <v/>
      </c>
      <c r="Q634">
        <f>IF(I634=0,0,(MIN(MAX((K634+M634),0),L634)*W634+SUMPRODUCT((Calc!$A$2:$A$1001=A634)*Calc!$G$2:$G$1001*((((K634+M634)-(L634+Calc!$J$2:$J$1001))&gt;0)*(((K634+M634)-(L634+Calc!$J$2:$J$1001))&lt;Calc!$F$2:$F$1001)*((K634+M634)-(L634+Calc!$J$2:$J$1001))+(((K634+M634)-(L634+Calc!$J$2:$J$1001))&gt;=Calc!$F$2:$F$1001)*Calc!$F$2:$F$1001))))</f>
        <v/>
      </c>
      <c r="R634">
        <f>IF(I634=0,0,(MIN(MAX((K634+N634),0),L634)*W634+SUMPRODUCT((Calc!$A$2:$A$1001=A634)*Calc!$G$2:$G$1001*((((K634+N634)-(L634+Calc!$J$2:$J$1001))&gt;0)*(((K634+N634)-(L634+Calc!$J$2:$J$1001))&lt;Calc!$F$2:$F$1001)*((K634+N634)-(L634+Calc!$J$2:$J$1001))+(((K634+N634)-(L634+Calc!$J$2:$J$1001))&gt;=Calc!$F$2:$F$1001)*Calc!$F$2:$F$1001))))</f>
        <v/>
      </c>
      <c r="S634">
        <f>IF(I634=0,0,(MIN(MAX((K634+O634),0),L634)*W634+SUMPRODUCT((Calc!$A$2:$A$1001=A634)*Calc!$G$2:$G$1001*((((K634+O634)-(L634+Calc!$J$2:$J$1001))&gt;0)*(((K634+O634)-(L634+Calc!$J$2:$J$1001))&lt;Calc!$F$2:$F$1001)*((K634+O634)-(L634+Calc!$J$2:$J$1001))+(((K634+O634)-(L634+Calc!$J$2:$J$1001))&gt;=Calc!$F$2:$F$1001)*Calc!$F$2:$F$1001))))</f>
        <v/>
      </c>
      <c r="T634">
        <f>IF(AND(E634=1,B634="RETURN"),Transactions!E634*Transactions!G634,0)</f>
        <v/>
      </c>
      <c r="U634">
        <f>IF(AND(E634=1,B634="EXPENSE"),Transactions!J634,0)</f>
        <v/>
      </c>
      <c r="V634">
        <f>IF(AND(Transactions!A634&lt;&gt;"",E634=0),ROW(),"")</f>
        <v/>
      </c>
      <c r="W634">
        <f>IFERROR(VLOOKUP(A634,Opening!$A:$D,4,0),0)</f>
        <v/>
      </c>
    </row>
    <row r="635">
      <c r="A635">
        <f>IF(Transactions!D635="","",UPPER(TRIM(Transactions!D635)))</f>
        <v/>
      </c>
      <c r="B635">
        <f>IF(Transactions!C635="","",UPPER(TRIM(Transactions!C635)))</f>
        <v/>
      </c>
      <c r="C635">
        <f>IF(Transactions!B635="",0,YEAR(Transactions!B635)*100+MONTH(Transactions!B635))</f>
        <v/>
      </c>
      <c r="D635">
        <f>IF(Transactions!A635="",1,IF(COUNTIF(Transactions!$A$1:A634,Transactions!A635)&gt;0,1,0))</f>
        <v/>
      </c>
      <c r="E635">
        <f>IF(D635=1,0,IF(B635="RETURN",IF(COUNTIFS($A$1:A634,A635,$B$1:B634,"SALE",$E$1:E634,1)&gt;0,1,0),1))</f>
        <v/>
      </c>
      <c r="F635">
        <f>IF(E635=1,IF(B635="RECEIPT",Transactions!E635,IF(AND(B635="RETURN",LOWER(TRIM(Transactions!H635))="resellable"),Transactions!E635,0)),0)</f>
        <v/>
      </c>
      <c r="G635">
        <f>IF(F635&gt;0,IF(B635="RECEIPT",Transactions!F635,IF(_xlfn.MAXIFS($H$2:H635,$A$2:A635,A635)&gt;0,INDEX(Transactions!$F:$F,_xlfn.MAXIFS($H$2:H635,$A$2:A635,A635)),W635)),0)</f>
        <v/>
      </c>
      <c r="H635">
        <f>IF(AND(E635=1,B635="RECEIPT"),ROW(),0)</f>
        <v/>
      </c>
      <c r="I635">
        <f>IF(E635=1,IF(OR(B635="SALE",B635="WRITEOFF"),Transactions!E635,0),0)</f>
        <v/>
      </c>
      <c r="J635">
        <f>SUMIFS($F$1:F634,$A$1:A634,A635)</f>
        <v/>
      </c>
      <c r="K635">
        <f>SUMIFS($I$1:I634,$A$1:A634,A635)</f>
        <v/>
      </c>
      <c r="L635">
        <f>IFERROR(VLOOKUP(A635,Opening!$A:$C,3,0),0)</f>
        <v/>
      </c>
      <c r="M635">
        <f>IF(I635=0,0,MAX(0,MIN(INDEX(Month!H$2:H$13,MATCH($A635,Month!$A$2:$A$13,0))-K635,I635)))</f>
        <v/>
      </c>
      <c r="N635">
        <f>IF(I635=0,0,MAX(0,MIN(INDEX(Month!I$2:I$13,MATCH($A635,Month!$A$2:$A$13,0))-K635,I635)))</f>
        <v/>
      </c>
      <c r="O635">
        <f>IF(I635=0,0,MAX(0,MIN(INDEX(Month!J$2:J$13,MATCH($A635,Month!$A$2:$A$13,0))-K635,I635)))</f>
        <v/>
      </c>
      <c r="P635">
        <f>IF(I635=0,0,(MIN(MAX(K635,0),L635)*W635+SUMPRODUCT((Calc!$A$2:$A$1001=A635)*Calc!$G$2:$G$1001*(((K635-(L635+Calc!$J$2:$J$1001))&gt;0)*((K635-(L635+Calc!$J$2:$J$1001))&lt;Calc!$F$2:$F$1001)*(K635-(L635+Calc!$J$2:$J$1001))+((K635-(L635+Calc!$J$2:$J$1001))&gt;=Calc!$F$2:$F$1001)*Calc!$F$2:$F$1001))))</f>
        <v/>
      </c>
      <c r="Q635">
        <f>IF(I635=0,0,(MIN(MAX((K635+M635),0),L635)*W635+SUMPRODUCT((Calc!$A$2:$A$1001=A635)*Calc!$G$2:$G$1001*((((K635+M635)-(L635+Calc!$J$2:$J$1001))&gt;0)*(((K635+M635)-(L635+Calc!$J$2:$J$1001))&lt;Calc!$F$2:$F$1001)*((K635+M635)-(L635+Calc!$J$2:$J$1001))+(((K635+M635)-(L635+Calc!$J$2:$J$1001))&gt;=Calc!$F$2:$F$1001)*Calc!$F$2:$F$1001))))</f>
        <v/>
      </c>
      <c r="R635">
        <f>IF(I635=0,0,(MIN(MAX((K635+N635),0),L635)*W635+SUMPRODUCT((Calc!$A$2:$A$1001=A635)*Calc!$G$2:$G$1001*((((K635+N635)-(L635+Calc!$J$2:$J$1001))&gt;0)*(((K635+N635)-(L635+Calc!$J$2:$J$1001))&lt;Calc!$F$2:$F$1001)*((K635+N635)-(L635+Calc!$J$2:$J$1001))+(((K635+N635)-(L635+Calc!$J$2:$J$1001))&gt;=Calc!$F$2:$F$1001)*Calc!$F$2:$F$1001))))</f>
        <v/>
      </c>
      <c r="S635">
        <f>IF(I635=0,0,(MIN(MAX((K635+O635),0),L635)*W635+SUMPRODUCT((Calc!$A$2:$A$1001=A635)*Calc!$G$2:$G$1001*((((K635+O635)-(L635+Calc!$J$2:$J$1001))&gt;0)*(((K635+O635)-(L635+Calc!$J$2:$J$1001))&lt;Calc!$F$2:$F$1001)*((K635+O635)-(L635+Calc!$J$2:$J$1001))+(((K635+O635)-(L635+Calc!$J$2:$J$1001))&gt;=Calc!$F$2:$F$1001)*Calc!$F$2:$F$1001))))</f>
        <v/>
      </c>
      <c r="T635">
        <f>IF(AND(E635=1,B635="RETURN"),Transactions!E635*Transactions!G635,0)</f>
        <v/>
      </c>
      <c r="U635">
        <f>IF(AND(E635=1,B635="EXPENSE"),Transactions!J635,0)</f>
        <v/>
      </c>
      <c r="V635">
        <f>IF(AND(Transactions!A635&lt;&gt;"",E635=0),ROW(),"")</f>
        <v/>
      </c>
      <c r="W635">
        <f>IFERROR(VLOOKUP(A635,Opening!$A:$D,4,0),0)</f>
        <v/>
      </c>
    </row>
    <row r="636">
      <c r="A636">
        <f>IF(Transactions!D636="","",UPPER(TRIM(Transactions!D636)))</f>
        <v/>
      </c>
      <c r="B636">
        <f>IF(Transactions!C636="","",UPPER(TRIM(Transactions!C636)))</f>
        <v/>
      </c>
      <c r="C636">
        <f>IF(Transactions!B636="",0,YEAR(Transactions!B636)*100+MONTH(Transactions!B636))</f>
        <v/>
      </c>
      <c r="D636">
        <f>IF(Transactions!A636="",1,IF(COUNTIF(Transactions!$A$1:A635,Transactions!A636)&gt;0,1,0))</f>
        <v/>
      </c>
      <c r="E636">
        <f>IF(D636=1,0,IF(B636="RETURN",IF(COUNTIFS($A$1:A635,A636,$B$1:B635,"SALE",$E$1:E635,1)&gt;0,1,0),1))</f>
        <v/>
      </c>
      <c r="F636">
        <f>IF(E636=1,IF(B636="RECEIPT",Transactions!E636,IF(AND(B636="RETURN",LOWER(TRIM(Transactions!H636))="resellable"),Transactions!E636,0)),0)</f>
        <v/>
      </c>
      <c r="G636">
        <f>IF(F636&gt;0,IF(B636="RECEIPT",Transactions!F636,IF(_xlfn.MAXIFS($H$2:H636,$A$2:A636,A636)&gt;0,INDEX(Transactions!$F:$F,_xlfn.MAXIFS($H$2:H636,$A$2:A636,A636)),W636)),0)</f>
        <v/>
      </c>
      <c r="H636">
        <f>IF(AND(E636=1,B636="RECEIPT"),ROW(),0)</f>
        <v/>
      </c>
      <c r="I636">
        <f>IF(E636=1,IF(OR(B636="SALE",B636="WRITEOFF"),Transactions!E636,0),0)</f>
        <v/>
      </c>
      <c r="J636">
        <f>SUMIFS($F$1:F635,$A$1:A635,A636)</f>
        <v/>
      </c>
      <c r="K636">
        <f>SUMIFS($I$1:I635,$A$1:A635,A636)</f>
        <v/>
      </c>
      <c r="L636">
        <f>IFERROR(VLOOKUP(A636,Opening!$A:$C,3,0),0)</f>
        <v/>
      </c>
      <c r="M636">
        <f>IF(I636=0,0,MAX(0,MIN(INDEX(Month!H$2:H$13,MATCH($A636,Month!$A$2:$A$13,0))-K636,I636)))</f>
        <v/>
      </c>
      <c r="N636">
        <f>IF(I636=0,0,MAX(0,MIN(INDEX(Month!I$2:I$13,MATCH($A636,Month!$A$2:$A$13,0))-K636,I636)))</f>
        <v/>
      </c>
      <c r="O636">
        <f>IF(I636=0,0,MAX(0,MIN(INDEX(Month!J$2:J$13,MATCH($A636,Month!$A$2:$A$13,0))-K636,I636)))</f>
        <v/>
      </c>
      <c r="P636">
        <f>IF(I636=0,0,(MIN(MAX(K636,0),L636)*W636+SUMPRODUCT((Calc!$A$2:$A$1001=A636)*Calc!$G$2:$G$1001*(((K636-(L636+Calc!$J$2:$J$1001))&gt;0)*((K636-(L636+Calc!$J$2:$J$1001))&lt;Calc!$F$2:$F$1001)*(K636-(L636+Calc!$J$2:$J$1001))+((K636-(L636+Calc!$J$2:$J$1001))&gt;=Calc!$F$2:$F$1001)*Calc!$F$2:$F$1001))))</f>
        <v/>
      </c>
      <c r="Q636">
        <f>IF(I636=0,0,(MIN(MAX((K636+M636),0),L636)*W636+SUMPRODUCT((Calc!$A$2:$A$1001=A636)*Calc!$G$2:$G$1001*((((K636+M636)-(L636+Calc!$J$2:$J$1001))&gt;0)*(((K636+M636)-(L636+Calc!$J$2:$J$1001))&lt;Calc!$F$2:$F$1001)*((K636+M636)-(L636+Calc!$J$2:$J$1001))+(((K636+M636)-(L636+Calc!$J$2:$J$1001))&gt;=Calc!$F$2:$F$1001)*Calc!$F$2:$F$1001))))</f>
        <v/>
      </c>
      <c r="R636">
        <f>IF(I636=0,0,(MIN(MAX((K636+N636),0),L636)*W636+SUMPRODUCT((Calc!$A$2:$A$1001=A636)*Calc!$G$2:$G$1001*((((K636+N636)-(L636+Calc!$J$2:$J$1001))&gt;0)*(((K636+N636)-(L636+Calc!$J$2:$J$1001))&lt;Calc!$F$2:$F$1001)*((K636+N636)-(L636+Calc!$J$2:$J$1001))+(((K636+N636)-(L636+Calc!$J$2:$J$1001))&gt;=Calc!$F$2:$F$1001)*Calc!$F$2:$F$1001))))</f>
        <v/>
      </c>
      <c r="S636">
        <f>IF(I636=0,0,(MIN(MAX((K636+O636),0),L636)*W636+SUMPRODUCT((Calc!$A$2:$A$1001=A636)*Calc!$G$2:$G$1001*((((K636+O636)-(L636+Calc!$J$2:$J$1001))&gt;0)*(((K636+O636)-(L636+Calc!$J$2:$J$1001))&lt;Calc!$F$2:$F$1001)*((K636+O636)-(L636+Calc!$J$2:$J$1001))+(((K636+O636)-(L636+Calc!$J$2:$J$1001))&gt;=Calc!$F$2:$F$1001)*Calc!$F$2:$F$1001))))</f>
        <v/>
      </c>
      <c r="T636">
        <f>IF(AND(E636=1,B636="RETURN"),Transactions!E636*Transactions!G636,0)</f>
        <v/>
      </c>
      <c r="U636">
        <f>IF(AND(E636=1,B636="EXPENSE"),Transactions!J636,0)</f>
        <v/>
      </c>
      <c r="V636">
        <f>IF(AND(Transactions!A636&lt;&gt;"",E636=0),ROW(),"")</f>
        <v/>
      </c>
      <c r="W636">
        <f>IFERROR(VLOOKUP(A636,Opening!$A:$D,4,0),0)</f>
        <v/>
      </c>
    </row>
    <row r="637">
      <c r="A637">
        <f>IF(Transactions!D637="","",UPPER(TRIM(Transactions!D637)))</f>
        <v/>
      </c>
      <c r="B637">
        <f>IF(Transactions!C637="","",UPPER(TRIM(Transactions!C637)))</f>
        <v/>
      </c>
      <c r="C637">
        <f>IF(Transactions!B637="",0,YEAR(Transactions!B637)*100+MONTH(Transactions!B637))</f>
        <v/>
      </c>
      <c r="D637">
        <f>IF(Transactions!A637="",1,IF(COUNTIF(Transactions!$A$1:A636,Transactions!A637)&gt;0,1,0))</f>
        <v/>
      </c>
      <c r="E637">
        <f>IF(D637=1,0,IF(B637="RETURN",IF(COUNTIFS($A$1:A636,A637,$B$1:B636,"SALE",$E$1:E636,1)&gt;0,1,0),1))</f>
        <v/>
      </c>
      <c r="F637">
        <f>IF(E637=1,IF(B637="RECEIPT",Transactions!E637,IF(AND(B637="RETURN",LOWER(TRIM(Transactions!H637))="resellable"),Transactions!E637,0)),0)</f>
        <v/>
      </c>
      <c r="G637">
        <f>IF(F637&gt;0,IF(B637="RECEIPT",Transactions!F637,IF(_xlfn.MAXIFS($H$2:H637,$A$2:A637,A637)&gt;0,INDEX(Transactions!$F:$F,_xlfn.MAXIFS($H$2:H637,$A$2:A637,A637)),W637)),0)</f>
        <v/>
      </c>
      <c r="H637">
        <f>IF(AND(E637=1,B637="RECEIPT"),ROW(),0)</f>
        <v/>
      </c>
      <c r="I637">
        <f>IF(E637=1,IF(OR(B637="SALE",B637="WRITEOFF"),Transactions!E637,0),0)</f>
        <v/>
      </c>
      <c r="J637">
        <f>SUMIFS($F$1:F636,$A$1:A636,A637)</f>
        <v/>
      </c>
      <c r="K637">
        <f>SUMIFS($I$1:I636,$A$1:A636,A637)</f>
        <v/>
      </c>
      <c r="L637">
        <f>IFERROR(VLOOKUP(A637,Opening!$A:$C,3,0),0)</f>
        <v/>
      </c>
      <c r="M637">
        <f>IF(I637=0,0,MAX(0,MIN(INDEX(Month!H$2:H$13,MATCH($A637,Month!$A$2:$A$13,0))-K637,I637)))</f>
        <v/>
      </c>
      <c r="N637">
        <f>IF(I637=0,0,MAX(0,MIN(INDEX(Month!I$2:I$13,MATCH($A637,Month!$A$2:$A$13,0))-K637,I637)))</f>
        <v/>
      </c>
      <c r="O637">
        <f>IF(I637=0,0,MAX(0,MIN(INDEX(Month!J$2:J$13,MATCH($A637,Month!$A$2:$A$13,0))-K637,I637)))</f>
        <v/>
      </c>
      <c r="P637">
        <f>IF(I637=0,0,(MIN(MAX(K637,0),L637)*W637+SUMPRODUCT((Calc!$A$2:$A$1001=A637)*Calc!$G$2:$G$1001*(((K637-(L637+Calc!$J$2:$J$1001))&gt;0)*((K637-(L637+Calc!$J$2:$J$1001))&lt;Calc!$F$2:$F$1001)*(K637-(L637+Calc!$J$2:$J$1001))+((K637-(L637+Calc!$J$2:$J$1001))&gt;=Calc!$F$2:$F$1001)*Calc!$F$2:$F$1001))))</f>
        <v/>
      </c>
      <c r="Q637">
        <f>IF(I637=0,0,(MIN(MAX((K637+M637),0),L637)*W637+SUMPRODUCT((Calc!$A$2:$A$1001=A637)*Calc!$G$2:$G$1001*((((K637+M637)-(L637+Calc!$J$2:$J$1001))&gt;0)*(((K637+M637)-(L637+Calc!$J$2:$J$1001))&lt;Calc!$F$2:$F$1001)*((K637+M637)-(L637+Calc!$J$2:$J$1001))+(((K637+M637)-(L637+Calc!$J$2:$J$1001))&gt;=Calc!$F$2:$F$1001)*Calc!$F$2:$F$1001))))</f>
        <v/>
      </c>
      <c r="R637">
        <f>IF(I637=0,0,(MIN(MAX((K637+N637),0),L637)*W637+SUMPRODUCT((Calc!$A$2:$A$1001=A637)*Calc!$G$2:$G$1001*((((K637+N637)-(L637+Calc!$J$2:$J$1001))&gt;0)*(((K637+N637)-(L637+Calc!$J$2:$J$1001))&lt;Calc!$F$2:$F$1001)*((K637+N637)-(L637+Calc!$J$2:$J$1001))+(((K637+N637)-(L637+Calc!$J$2:$J$1001))&gt;=Calc!$F$2:$F$1001)*Calc!$F$2:$F$1001))))</f>
        <v/>
      </c>
      <c r="S637">
        <f>IF(I637=0,0,(MIN(MAX((K637+O637),0),L637)*W637+SUMPRODUCT((Calc!$A$2:$A$1001=A637)*Calc!$G$2:$G$1001*((((K637+O637)-(L637+Calc!$J$2:$J$1001))&gt;0)*(((K637+O637)-(L637+Calc!$J$2:$J$1001))&lt;Calc!$F$2:$F$1001)*((K637+O637)-(L637+Calc!$J$2:$J$1001))+(((K637+O637)-(L637+Calc!$J$2:$J$1001))&gt;=Calc!$F$2:$F$1001)*Calc!$F$2:$F$1001))))</f>
        <v/>
      </c>
      <c r="T637">
        <f>IF(AND(E637=1,B637="RETURN"),Transactions!E637*Transactions!G637,0)</f>
        <v/>
      </c>
      <c r="U637">
        <f>IF(AND(E637=1,B637="EXPENSE"),Transactions!J637,0)</f>
        <v/>
      </c>
      <c r="V637">
        <f>IF(AND(Transactions!A637&lt;&gt;"",E637=0),ROW(),"")</f>
        <v/>
      </c>
      <c r="W637">
        <f>IFERROR(VLOOKUP(A637,Opening!$A:$D,4,0),0)</f>
        <v/>
      </c>
    </row>
    <row r="638">
      <c r="A638">
        <f>IF(Transactions!D638="","",UPPER(TRIM(Transactions!D638)))</f>
        <v/>
      </c>
      <c r="B638">
        <f>IF(Transactions!C638="","",UPPER(TRIM(Transactions!C638)))</f>
        <v/>
      </c>
      <c r="C638">
        <f>IF(Transactions!B638="",0,YEAR(Transactions!B638)*100+MONTH(Transactions!B638))</f>
        <v/>
      </c>
      <c r="D638">
        <f>IF(Transactions!A638="",1,IF(COUNTIF(Transactions!$A$1:A637,Transactions!A638)&gt;0,1,0))</f>
        <v/>
      </c>
      <c r="E638">
        <f>IF(D638=1,0,IF(B638="RETURN",IF(COUNTIFS($A$1:A637,A638,$B$1:B637,"SALE",$E$1:E637,1)&gt;0,1,0),1))</f>
        <v/>
      </c>
      <c r="F638">
        <f>IF(E638=1,IF(B638="RECEIPT",Transactions!E638,IF(AND(B638="RETURN",LOWER(TRIM(Transactions!H638))="resellable"),Transactions!E638,0)),0)</f>
        <v/>
      </c>
      <c r="G638">
        <f>IF(F638&gt;0,IF(B638="RECEIPT",Transactions!F638,IF(_xlfn.MAXIFS($H$2:H638,$A$2:A638,A638)&gt;0,INDEX(Transactions!$F:$F,_xlfn.MAXIFS($H$2:H638,$A$2:A638,A638)),W638)),0)</f>
        <v/>
      </c>
      <c r="H638">
        <f>IF(AND(E638=1,B638="RECEIPT"),ROW(),0)</f>
        <v/>
      </c>
      <c r="I638">
        <f>IF(E638=1,IF(OR(B638="SALE",B638="WRITEOFF"),Transactions!E638,0),0)</f>
        <v/>
      </c>
      <c r="J638">
        <f>SUMIFS($F$1:F637,$A$1:A637,A638)</f>
        <v/>
      </c>
      <c r="K638">
        <f>SUMIFS($I$1:I637,$A$1:A637,A638)</f>
        <v/>
      </c>
      <c r="L638">
        <f>IFERROR(VLOOKUP(A638,Opening!$A:$C,3,0),0)</f>
        <v/>
      </c>
      <c r="M638">
        <f>IF(I638=0,0,MAX(0,MIN(INDEX(Month!H$2:H$13,MATCH($A638,Month!$A$2:$A$13,0))-K638,I638)))</f>
        <v/>
      </c>
      <c r="N638">
        <f>IF(I638=0,0,MAX(0,MIN(INDEX(Month!I$2:I$13,MATCH($A638,Month!$A$2:$A$13,0))-K638,I638)))</f>
        <v/>
      </c>
      <c r="O638">
        <f>IF(I638=0,0,MAX(0,MIN(INDEX(Month!J$2:J$13,MATCH($A638,Month!$A$2:$A$13,0))-K638,I638)))</f>
        <v/>
      </c>
      <c r="P638">
        <f>IF(I638=0,0,(MIN(MAX(K638,0),L638)*W638+SUMPRODUCT((Calc!$A$2:$A$1001=A638)*Calc!$G$2:$G$1001*(((K638-(L638+Calc!$J$2:$J$1001))&gt;0)*((K638-(L638+Calc!$J$2:$J$1001))&lt;Calc!$F$2:$F$1001)*(K638-(L638+Calc!$J$2:$J$1001))+((K638-(L638+Calc!$J$2:$J$1001))&gt;=Calc!$F$2:$F$1001)*Calc!$F$2:$F$1001))))</f>
        <v/>
      </c>
      <c r="Q638">
        <f>IF(I638=0,0,(MIN(MAX((K638+M638),0),L638)*W638+SUMPRODUCT((Calc!$A$2:$A$1001=A638)*Calc!$G$2:$G$1001*((((K638+M638)-(L638+Calc!$J$2:$J$1001))&gt;0)*(((K638+M638)-(L638+Calc!$J$2:$J$1001))&lt;Calc!$F$2:$F$1001)*((K638+M638)-(L638+Calc!$J$2:$J$1001))+(((K638+M638)-(L638+Calc!$J$2:$J$1001))&gt;=Calc!$F$2:$F$1001)*Calc!$F$2:$F$1001))))</f>
        <v/>
      </c>
      <c r="R638">
        <f>IF(I638=0,0,(MIN(MAX((K638+N638),0),L638)*W638+SUMPRODUCT((Calc!$A$2:$A$1001=A638)*Calc!$G$2:$G$1001*((((K638+N638)-(L638+Calc!$J$2:$J$1001))&gt;0)*(((K638+N638)-(L638+Calc!$J$2:$J$1001))&lt;Calc!$F$2:$F$1001)*((K638+N638)-(L638+Calc!$J$2:$J$1001))+(((K638+N638)-(L638+Calc!$J$2:$J$1001))&gt;=Calc!$F$2:$F$1001)*Calc!$F$2:$F$1001))))</f>
        <v/>
      </c>
      <c r="S638">
        <f>IF(I638=0,0,(MIN(MAX((K638+O638),0),L638)*W638+SUMPRODUCT((Calc!$A$2:$A$1001=A638)*Calc!$G$2:$G$1001*((((K638+O638)-(L638+Calc!$J$2:$J$1001))&gt;0)*(((K638+O638)-(L638+Calc!$J$2:$J$1001))&lt;Calc!$F$2:$F$1001)*((K638+O638)-(L638+Calc!$J$2:$J$1001))+(((K638+O638)-(L638+Calc!$J$2:$J$1001))&gt;=Calc!$F$2:$F$1001)*Calc!$F$2:$F$1001))))</f>
        <v/>
      </c>
      <c r="T638">
        <f>IF(AND(E638=1,B638="RETURN"),Transactions!E638*Transactions!G638,0)</f>
        <v/>
      </c>
      <c r="U638">
        <f>IF(AND(E638=1,B638="EXPENSE"),Transactions!J638,0)</f>
        <v/>
      </c>
      <c r="V638">
        <f>IF(AND(Transactions!A638&lt;&gt;"",E638=0),ROW(),"")</f>
        <v/>
      </c>
      <c r="W638">
        <f>IFERROR(VLOOKUP(A638,Opening!$A:$D,4,0),0)</f>
        <v/>
      </c>
    </row>
    <row r="639">
      <c r="A639">
        <f>IF(Transactions!D639="","",UPPER(TRIM(Transactions!D639)))</f>
        <v/>
      </c>
      <c r="B639">
        <f>IF(Transactions!C639="","",UPPER(TRIM(Transactions!C639)))</f>
        <v/>
      </c>
      <c r="C639">
        <f>IF(Transactions!B639="",0,YEAR(Transactions!B639)*100+MONTH(Transactions!B639))</f>
        <v/>
      </c>
      <c r="D639">
        <f>IF(Transactions!A639="",1,IF(COUNTIF(Transactions!$A$1:A638,Transactions!A639)&gt;0,1,0))</f>
        <v/>
      </c>
      <c r="E639">
        <f>IF(D639=1,0,IF(B639="RETURN",IF(COUNTIFS($A$1:A638,A639,$B$1:B638,"SALE",$E$1:E638,1)&gt;0,1,0),1))</f>
        <v/>
      </c>
      <c r="F639">
        <f>IF(E639=1,IF(B639="RECEIPT",Transactions!E639,IF(AND(B639="RETURN",LOWER(TRIM(Transactions!H639))="resellable"),Transactions!E639,0)),0)</f>
        <v/>
      </c>
      <c r="G639">
        <f>IF(F639&gt;0,IF(B639="RECEIPT",Transactions!F639,IF(_xlfn.MAXIFS($H$2:H639,$A$2:A639,A639)&gt;0,INDEX(Transactions!$F:$F,_xlfn.MAXIFS($H$2:H639,$A$2:A639,A639)),W639)),0)</f>
        <v/>
      </c>
      <c r="H639">
        <f>IF(AND(E639=1,B639="RECEIPT"),ROW(),0)</f>
        <v/>
      </c>
      <c r="I639">
        <f>IF(E639=1,IF(OR(B639="SALE",B639="WRITEOFF"),Transactions!E639,0),0)</f>
        <v/>
      </c>
      <c r="J639">
        <f>SUMIFS($F$1:F638,$A$1:A638,A639)</f>
        <v/>
      </c>
      <c r="K639">
        <f>SUMIFS($I$1:I638,$A$1:A638,A639)</f>
        <v/>
      </c>
      <c r="L639">
        <f>IFERROR(VLOOKUP(A639,Opening!$A:$C,3,0),0)</f>
        <v/>
      </c>
      <c r="M639">
        <f>IF(I639=0,0,MAX(0,MIN(INDEX(Month!H$2:H$13,MATCH($A639,Month!$A$2:$A$13,0))-K639,I639)))</f>
        <v/>
      </c>
      <c r="N639">
        <f>IF(I639=0,0,MAX(0,MIN(INDEX(Month!I$2:I$13,MATCH($A639,Month!$A$2:$A$13,0))-K639,I639)))</f>
        <v/>
      </c>
      <c r="O639">
        <f>IF(I639=0,0,MAX(0,MIN(INDEX(Month!J$2:J$13,MATCH($A639,Month!$A$2:$A$13,0))-K639,I639)))</f>
        <v/>
      </c>
      <c r="P639">
        <f>IF(I639=0,0,(MIN(MAX(K639,0),L639)*W639+SUMPRODUCT((Calc!$A$2:$A$1001=A639)*Calc!$G$2:$G$1001*(((K639-(L639+Calc!$J$2:$J$1001))&gt;0)*((K639-(L639+Calc!$J$2:$J$1001))&lt;Calc!$F$2:$F$1001)*(K639-(L639+Calc!$J$2:$J$1001))+((K639-(L639+Calc!$J$2:$J$1001))&gt;=Calc!$F$2:$F$1001)*Calc!$F$2:$F$1001))))</f>
        <v/>
      </c>
      <c r="Q639">
        <f>IF(I639=0,0,(MIN(MAX((K639+M639),0),L639)*W639+SUMPRODUCT((Calc!$A$2:$A$1001=A639)*Calc!$G$2:$G$1001*((((K639+M639)-(L639+Calc!$J$2:$J$1001))&gt;0)*(((K639+M639)-(L639+Calc!$J$2:$J$1001))&lt;Calc!$F$2:$F$1001)*((K639+M639)-(L639+Calc!$J$2:$J$1001))+(((K639+M639)-(L639+Calc!$J$2:$J$1001))&gt;=Calc!$F$2:$F$1001)*Calc!$F$2:$F$1001))))</f>
        <v/>
      </c>
      <c r="R639">
        <f>IF(I639=0,0,(MIN(MAX((K639+N639),0),L639)*W639+SUMPRODUCT((Calc!$A$2:$A$1001=A639)*Calc!$G$2:$G$1001*((((K639+N639)-(L639+Calc!$J$2:$J$1001))&gt;0)*(((K639+N639)-(L639+Calc!$J$2:$J$1001))&lt;Calc!$F$2:$F$1001)*((K639+N639)-(L639+Calc!$J$2:$J$1001))+(((K639+N639)-(L639+Calc!$J$2:$J$1001))&gt;=Calc!$F$2:$F$1001)*Calc!$F$2:$F$1001))))</f>
        <v/>
      </c>
      <c r="S639">
        <f>IF(I639=0,0,(MIN(MAX((K639+O639),0),L639)*W639+SUMPRODUCT((Calc!$A$2:$A$1001=A639)*Calc!$G$2:$G$1001*((((K639+O639)-(L639+Calc!$J$2:$J$1001))&gt;0)*(((K639+O639)-(L639+Calc!$J$2:$J$1001))&lt;Calc!$F$2:$F$1001)*((K639+O639)-(L639+Calc!$J$2:$J$1001))+(((K639+O639)-(L639+Calc!$J$2:$J$1001))&gt;=Calc!$F$2:$F$1001)*Calc!$F$2:$F$1001))))</f>
        <v/>
      </c>
      <c r="T639">
        <f>IF(AND(E639=1,B639="RETURN"),Transactions!E639*Transactions!G639,0)</f>
        <v/>
      </c>
      <c r="U639">
        <f>IF(AND(E639=1,B639="EXPENSE"),Transactions!J639,0)</f>
        <v/>
      </c>
      <c r="V639">
        <f>IF(AND(Transactions!A639&lt;&gt;"",E639=0),ROW(),"")</f>
        <v/>
      </c>
      <c r="W639">
        <f>IFERROR(VLOOKUP(A639,Opening!$A:$D,4,0),0)</f>
        <v/>
      </c>
    </row>
    <row r="640">
      <c r="A640">
        <f>IF(Transactions!D640="","",UPPER(TRIM(Transactions!D640)))</f>
        <v/>
      </c>
      <c r="B640">
        <f>IF(Transactions!C640="","",UPPER(TRIM(Transactions!C640)))</f>
        <v/>
      </c>
      <c r="C640">
        <f>IF(Transactions!B640="",0,YEAR(Transactions!B640)*100+MONTH(Transactions!B640))</f>
        <v/>
      </c>
      <c r="D640">
        <f>IF(Transactions!A640="",1,IF(COUNTIF(Transactions!$A$1:A639,Transactions!A640)&gt;0,1,0))</f>
        <v/>
      </c>
      <c r="E640">
        <f>IF(D640=1,0,IF(B640="RETURN",IF(COUNTIFS($A$1:A639,A640,$B$1:B639,"SALE",$E$1:E639,1)&gt;0,1,0),1))</f>
        <v/>
      </c>
      <c r="F640">
        <f>IF(E640=1,IF(B640="RECEIPT",Transactions!E640,IF(AND(B640="RETURN",LOWER(TRIM(Transactions!H640))="resellable"),Transactions!E640,0)),0)</f>
        <v/>
      </c>
      <c r="G640">
        <f>IF(F640&gt;0,IF(B640="RECEIPT",Transactions!F640,IF(_xlfn.MAXIFS($H$2:H640,$A$2:A640,A640)&gt;0,INDEX(Transactions!$F:$F,_xlfn.MAXIFS($H$2:H640,$A$2:A640,A640)),W640)),0)</f>
        <v/>
      </c>
      <c r="H640">
        <f>IF(AND(E640=1,B640="RECEIPT"),ROW(),0)</f>
        <v/>
      </c>
      <c r="I640">
        <f>IF(E640=1,IF(OR(B640="SALE",B640="WRITEOFF"),Transactions!E640,0),0)</f>
        <v/>
      </c>
      <c r="J640">
        <f>SUMIFS($F$1:F639,$A$1:A639,A640)</f>
        <v/>
      </c>
      <c r="K640">
        <f>SUMIFS($I$1:I639,$A$1:A639,A640)</f>
        <v/>
      </c>
      <c r="L640">
        <f>IFERROR(VLOOKUP(A640,Opening!$A:$C,3,0),0)</f>
        <v/>
      </c>
      <c r="M640">
        <f>IF(I640=0,0,MAX(0,MIN(INDEX(Month!H$2:H$13,MATCH($A640,Month!$A$2:$A$13,0))-K640,I640)))</f>
        <v/>
      </c>
      <c r="N640">
        <f>IF(I640=0,0,MAX(0,MIN(INDEX(Month!I$2:I$13,MATCH($A640,Month!$A$2:$A$13,0))-K640,I640)))</f>
        <v/>
      </c>
      <c r="O640">
        <f>IF(I640=0,0,MAX(0,MIN(INDEX(Month!J$2:J$13,MATCH($A640,Month!$A$2:$A$13,0))-K640,I640)))</f>
        <v/>
      </c>
      <c r="P640">
        <f>IF(I640=0,0,(MIN(MAX(K640,0),L640)*W640+SUMPRODUCT((Calc!$A$2:$A$1001=A640)*Calc!$G$2:$G$1001*(((K640-(L640+Calc!$J$2:$J$1001))&gt;0)*((K640-(L640+Calc!$J$2:$J$1001))&lt;Calc!$F$2:$F$1001)*(K640-(L640+Calc!$J$2:$J$1001))+((K640-(L640+Calc!$J$2:$J$1001))&gt;=Calc!$F$2:$F$1001)*Calc!$F$2:$F$1001))))</f>
        <v/>
      </c>
      <c r="Q640">
        <f>IF(I640=0,0,(MIN(MAX((K640+M640),0),L640)*W640+SUMPRODUCT((Calc!$A$2:$A$1001=A640)*Calc!$G$2:$G$1001*((((K640+M640)-(L640+Calc!$J$2:$J$1001))&gt;0)*(((K640+M640)-(L640+Calc!$J$2:$J$1001))&lt;Calc!$F$2:$F$1001)*((K640+M640)-(L640+Calc!$J$2:$J$1001))+(((K640+M640)-(L640+Calc!$J$2:$J$1001))&gt;=Calc!$F$2:$F$1001)*Calc!$F$2:$F$1001))))</f>
        <v/>
      </c>
      <c r="R640">
        <f>IF(I640=0,0,(MIN(MAX((K640+N640),0),L640)*W640+SUMPRODUCT((Calc!$A$2:$A$1001=A640)*Calc!$G$2:$G$1001*((((K640+N640)-(L640+Calc!$J$2:$J$1001))&gt;0)*(((K640+N640)-(L640+Calc!$J$2:$J$1001))&lt;Calc!$F$2:$F$1001)*((K640+N640)-(L640+Calc!$J$2:$J$1001))+(((K640+N640)-(L640+Calc!$J$2:$J$1001))&gt;=Calc!$F$2:$F$1001)*Calc!$F$2:$F$1001))))</f>
        <v/>
      </c>
      <c r="S640">
        <f>IF(I640=0,0,(MIN(MAX((K640+O640),0),L640)*W640+SUMPRODUCT((Calc!$A$2:$A$1001=A640)*Calc!$G$2:$G$1001*((((K640+O640)-(L640+Calc!$J$2:$J$1001))&gt;0)*(((K640+O640)-(L640+Calc!$J$2:$J$1001))&lt;Calc!$F$2:$F$1001)*((K640+O640)-(L640+Calc!$J$2:$J$1001))+(((K640+O640)-(L640+Calc!$J$2:$J$1001))&gt;=Calc!$F$2:$F$1001)*Calc!$F$2:$F$1001))))</f>
        <v/>
      </c>
      <c r="T640">
        <f>IF(AND(E640=1,B640="RETURN"),Transactions!E640*Transactions!G640,0)</f>
        <v/>
      </c>
      <c r="U640">
        <f>IF(AND(E640=1,B640="EXPENSE"),Transactions!J640,0)</f>
        <v/>
      </c>
      <c r="V640">
        <f>IF(AND(Transactions!A640&lt;&gt;"",E640=0),ROW(),"")</f>
        <v/>
      </c>
      <c r="W640">
        <f>IFERROR(VLOOKUP(A640,Opening!$A:$D,4,0),0)</f>
        <v/>
      </c>
    </row>
    <row r="641">
      <c r="A641">
        <f>IF(Transactions!D641="","",UPPER(TRIM(Transactions!D641)))</f>
        <v/>
      </c>
      <c r="B641">
        <f>IF(Transactions!C641="","",UPPER(TRIM(Transactions!C641)))</f>
        <v/>
      </c>
      <c r="C641">
        <f>IF(Transactions!B641="",0,YEAR(Transactions!B641)*100+MONTH(Transactions!B641))</f>
        <v/>
      </c>
      <c r="D641">
        <f>IF(Transactions!A641="",1,IF(COUNTIF(Transactions!$A$1:A640,Transactions!A641)&gt;0,1,0))</f>
        <v/>
      </c>
      <c r="E641">
        <f>IF(D641=1,0,IF(B641="RETURN",IF(COUNTIFS($A$1:A640,A641,$B$1:B640,"SALE",$E$1:E640,1)&gt;0,1,0),1))</f>
        <v/>
      </c>
      <c r="F641">
        <f>IF(E641=1,IF(B641="RECEIPT",Transactions!E641,IF(AND(B641="RETURN",LOWER(TRIM(Transactions!H641))="resellable"),Transactions!E641,0)),0)</f>
        <v/>
      </c>
      <c r="G641">
        <f>IF(F641&gt;0,IF(B641="RECEIPT",Transactions!F641,IF(_xlfn.MAXIFS($H$2:H641,$A$2:A641,A641)&gt;0,INDEX(Transactions!$F:$F,_xlfn.MAXIFS($H$2:H641,$A$2:A641,A641)),W641)),0)</f>
        <v/>
      </c>
      <c r="H641">
        <f>IF(AND(E641=1,B641="RECEIPT"),ROW(),0)</f>
        <v/>
      </c>
      <c r="I641">
        <f>IF(E641=1,IF(OR(B641="SALE",B641="WRITEOFF"),Transactions!E641,0),0)</f>
        <v/>
      </c>
      <c r="J641">
        <f>SUMIFS($F$1:F640,$A$1:A640,A641)</f>
        <v/>
      </c>
      <c r="K641">
        <f>SUMIFS($I$1:I640,$A$1:A640,A641)</f>
        <v/>
      </c>
      <c r="L641">
        <f>IFERROR(VLOOKUP(A641,Opening!$A:$C,3,0),0)</f>
        <v/>
      </c>
      <c r="M641">
        <f>IF(I641=0,0,MAX(0,MIN(INDEX(Month!H$2:H$13,MATCH($A641,Month!$A$2:$A$13,0))-K641,I641)))</f>
        <v/>
      </c>
      <c r="N641">
        <f>IF(I641=0,0,MAX(0,MIN(INDEX(Month!I$2:I$13,MATCH($A641,Month!$A$2:$A$13,0))-K641,I641)))</f>
        <v/>
      </c>
      <c r="O641">
        <f>IF(I641=0,0,MAX(0,MIN(INDEX(Month!J$2:J$13,MATCH($A641,Month!$A$2:$A$13,0))-K641,I641)))</f>
        <v/>
      </c>
      <c r="P641">
        <f>IF(I641=0,0,(MIN(MAX(K641,0),L641)*W641+SUMPRODUCT((Calc!$A$2:$A$1001=A641)*Calc!$G$2:$G$1001*(((K641-(L641+Calc!$J$2:$J$1001))&gt;0)*((K641-(L641+Calc!$J$2:$J$1001))&lt;Calc!$F$2:$F$1001)*(K641-(L641+Calc!$J$2:$J$1001))+((K641-(L641+Calc!$J$2:$J$1001))&gt;=Calc!$F$2:$F$1001)*Calc!$F$2:$F$1001))))</f>
        <v/>
      </c>
      <c r="Q641">
        <f>IF(I641=0,0,(MIN(MAX((K641+M641),0),L641)*W641+SUMPRODUCT((Calc!$A$2:$A$1001=A641)*Calc!$G$2:$G$1001*((((K641+M641)-(L641+Calc!$J$2:$J$1001))&gt;0)*(((K641+M641)-(L641+Calc!$J$2:$J$1001))&lt;Calc!$F$2:$F$1001)*((K641+M641)-(L641+Calc!$J$2:$J$1001))+(((K641+M641)-(L641+Calc!$J$2:$J$1001))&gt;=Calc!$F$2:$F$1001)*Calc!$F$2:$F$1001))))</f>
        <v/>
      </c>
      <c r="R641">
        <f>IF(I641=0,0,(MIN(MAX((K641+N641),0),L641)*W641+SUMPRODUCT((Calc!$A$2:$A$1001=A641)*Calc!$G$2:$G$1001*((((K641+N641)-(L641+Calc!$J$2:$J$1001))&gt;0)*(((K641+N641)-(L641+Calc!$J$2:$J$1001))&lt;Calc!$F$2:$F$1001)*((K641+N641)-(L641+Calc!$J$2:$J$1001))+(((K641+N641)-(L641+Calc!$J$2:$J$1001))&gt;=Calc!$F$2:$F$1001)*Calc!$F$2:$F$1001))))</f>
        <v/>
      </c>
      <c r="S641">
        <f>IF(I641=0,0,(MIN(MAX((K641+O641),0),L641)*W641+SUMPRODUCT((Calc!$A$2:$A$1001=A641)*Calc!$G$2:$G$1001*((((K641+O641)-(L641+Calc!$J$2:$J$1001))&gt;0)*(((K641+O641)-(L641+Calc!$J$2:$J$1001))&lt;Calc!$F$2:$F$1001)*((K641+O641)-(L641+Calc!$J$2:$J$1001))+(((K641+O641)-(L641+Calc!$J$2:$J$1001))&gt;=Calc!$F$2:$F$1001)*Calc!$F$2:$F$1001))))</f>
        <v/>
      </c>
      <c r="T641">
        <f>IF(AND(E641=1,B641="RETURN"),Transactions!E641*Transactions!G641,0)</f>
        <v/>
      </c>
      <c r="U641">
        <f>IF(AND(E641=1,B641="EXPENSE"),Transactions!J641,0)</f>
        <v/>
      </c>
      <c r="V641">
        <f>IF(AND(Transactions!A641&lt;&gt;"",E641=0),ROW(),"")</f>
        <v/>
      </c>
      <c r="W641">
        <f>IFERROR(VLOOKUP(A641,Opening!$A:$D,4,0),0)</f>
        <v/>
      </c>
    </row>
    <row r="642">
      <c r="A642">
        <f>IF(Transactions!D642="","",UPPER(TRIM(Transactions!D642)))</f>
        <v/>
      </c>
      <c r="B642">
        <f>IF(Transactions!C642="","",UPPER(TRIM(Transactions!C642)))</f>
        <v/>
      </c>
      <c r="C642">
        <f>IF(Transactions!B642="",0,YEAR(Transactions!B642)*100+MONTH(Transactions!B642))</f>
        <v/>
      </c>
      <c r="D642">
        <f>IF(Transactions!A642="",1,IF(COUNTIF(Transactions!$A$1:A641,Transactions!A642)&gt;0,1,0))</f>
        <v/>
      </c>
      <c r="E642">
        <f>IF(D642=1,0,IF(B642="RETURN",IF(COUNTIFS($A$1:A641,A642,$B$1:B641,"SALE",$E$1:E641,1)&gt;0,1,0),1))</f>
        <v/>
      </c>
      <c r="F642">
        <f>IF(E642=1,IF(B642="RECEIPT",Transactions!E642,IF(AND(B642="RETURN",LOWER(TRIM(Transactions!H642))="resellable"),Transactions!E642,0)),0)</f>
        <v/>
      </c>
      <c r="G642">
        <f>IF(F642&gt;0,IF(B642="RECEIPT",Transactions!F642,IF(_xlfn.MAXIFS($H$2:H642,$A$2:A642,A642)&gt;0,INDEX(Transactions!$F:$F,_xlfn.MAXIFS($H$2:H642,$A$2:A642,A642)),W642)),0)</f>
        <v/>
      </c>
      <c r="H642">
        <f>IF(AND(E642=1,B642="RECEIPT"),ROW(),0)</f>
        <v/>
      </c>
      <c r="I642">
        <f>IF(E642=1,IF(OR(B642="SALE",B642="WRITEOFF"),Transactions!E642,0),0)</f>
        <v/>
      </c>
      <c r="J642">
        <f>SUMIFS($F$1:F641,$A$1:A641,A642)</f>
        <v/>
      </c>
      <c r="K642">
        <f>SUMIFS($I$1:I641,$A$1:A641,A642)</f>
        <v/>
      </c>
      <c r="L642">
        <f>IFERROR(VLOOKUP(A642,Opening!$A:$C,3,0),0)</f>
        <v/>
      </c>
      <c r="M642">
        <f>IF(I642=0,0,MAX(0,MIN(INDEX(Month!H$2:H$13,MATCH($A642,Month!$A$2:$A$13,0))-K642,I642)))</f>
        <v/>
      </c>
      <c r="N642">
        <f>IF(I642=0,0,MAX(0,MIN(INDEX(Month!I$2:I$13,MATCH($A642,Month!$A$2:$A$13,0))-K642,I642)))</f>
        <v/>
      </c>
      <c r="O642">
        <f>IF(I642=0,0,MAX(0,MIN(INDEX(Month!J$2:J$13,MATCH($A642,Month!$A$2:$A$13,0))-K642,I642)))</f>
        <v/>
      </c>
      <c r="P642">
        <f>IF(I642=0,0,(MIN(MAX(K642,0),L642)*W642+SUMPRODUCT((Calc!$A$2:$A$1001=A642)*Calc!$G$2:$G$1001*(((K642-(L642+Calc!$J$2:$J$1001))&gt;0)*((K642-(L642+Calc!$J$2:$J$1001))&lt;Calc!$F$2:$F$1001)*(K642-(L642+Calc!$J$2:$J$1001))+((K642-(L642+Calc!$J$2:$J$1001))&gt;=Calc!$F$2:$F$1001)*Calc!$F$2:$F$1001))))</f>
        <v/>
      </c>
      <c r="Q642">
        <f>IF(I642=0,0,(MIN(MAX((K642+M642),0),L642)*W642+SUMPRODUCT((Calc!$A$2:$A$1001=A642)*Calc!$G$2:$G$1001*((((K642+M642)-(L642+Calc!$J$2:$J$1001))&gt;0)*(((K642+M642)-(L642+Calc!$J$2:$J$1001))&lt;Calc!$F$2:$F$1001)*((K642+M642)-(L642+Calc!$J$2:$J$1001))+(((K642+M642)-(L642+Calc!$J$2:$J$1001))&gt;=Calc!$F$2:$F$1001)*Calc!$F$2:$F$1001))))</f>
        <v/>
      </c>
      <c r="R642">
        <f>IF(I642=0,0,(MIN(MAX((K642+N642),0),L642)*W642+SUMPRODUCT((Calc!$A$2:$A$1001=A642)*Calc!$G$2:$G$1001*((((K642+N642)-(L642+Calc!$J$2:$J$1001))&gt;0)*(((K642+N642)-(L642+Calc!$J$2:$J$1001))&lt;Calc!$F$2:$F$1001)*((K642+N642)-(L642+Calc!$J$2:$J$1001))+(((K642+N642)-(L642+Calc!$J$2:$J$1001))&gt;=Calc!$F$2:$F$1001)*Calc!$F$2:$F$1001))))</f>
        <v/>
      </c>
      <c r="S642">
        <f>IF(I642=0,0,(MIN(MAX((K642+O642),0),L642)*W642+SUMPRODUCT((Calc!$A$2:$A$1001=A642)*Calc!$G$2:$G$1001*((((K642+O642)-(L642+Calc!$J$2:$J$1001))&gt;0)*(((K642+O642)-(L642+Calc!$J$2:$J$1001))&lt;Calc!$F$2:$F$1001)*((K642+O642)-(L642+Calc!$J$2:$J$1001))+(((K642+O642)-(L642+Calc!$J$2:$J$1001))&gt;=Calc!$F$2:$F$1001)*Calc!$F$2:$F$1001))))</f>
        <v/>
      </c>
      <c r="T642">
        <f>IF(AND(E642=1,B642="RETURN"),Transactions!E642*Transactions!G642,0)</f>
        <v/>
      </c>
      <c r="U642">
        <f>IF(AND(E642=1,B642="EXPENSE"),Transactions!J642,0)</f>
        <v/>
      </c>
      <c r="V642">
        <f>IF(AND(Transactions!A642&lt;&gt;"",E642=0),ROW(),"")</f>
        <v/>
      </c>
      <c r="W642">
        <f>IFERROR(VLOOKUP(A642,Opening!$A:$D,4,0),0)</f>
        <v/>
      </c>
    </row>
    <row r="643">
      <c r="A643">
        <f>IF(Transactions!D643="","",UPPER(TRIM(Transactions!D643)))</f>
        <v/>
      </c>
      <c r="B643">
        <f>IF(Transactions!C643="","",UPPER(TRIM(Transactions!C643)))</f>
        <v/>
      </c>
      <c r="C643">
        <f>IF(Transactions!B643="",0,YEAR(Transactions!B643)*100+MONTH(Transactions!B643))</f>
        <v/>
      </c>
      <c r="D643">
        <f>IF(Transactions!A643="",1,IF(COUNTIF(Transactions!$A$1:A642,Transactions!A643)&gt;0,1,0))</f>
        <v/>
      </c>
      <c r="E643">
        <f>IF(D643=1,0,IF(B643="RETURN",IF(COUNTIFS($A$1:A642,A643,$B$1:B642,"SALE",$E$1:E642,1)&gt;0,1,0),1))</f>
        <v/>
      </c>
      <c r="F643">
        <f>IF(E643=1,IF(B643="RECEIPT",Transactions!E643,IF(AND(B643="RETURN",LOWER(TRIM(Transactions!H643))="resellable"),Transactions!E643,0)),0)</f>
        <v/>
      </c>
      <c r="G643">
        <f>IF(F643&gt;0,IF(B643="RECEIPT",Transactions!F643,IF(_xlfn.MAXIFS($H$2:H643,$A$2:A643,A643)&gt;0,INDEX(Transactions!$F:$F,_xlfn.MAXIFS($H$2:H643,$A$2:A643,A643)),W643)),0)</f>
        <v/>
      </c>
      <c r="H643">
        <f>IF(AND(E643=1,B643="RECEIPT"),ROW(),0)</f>
        <v/>
      </c>
      <c r="I643">
        <f>IF(E643=1,IF(OR(B643="SALE",B643="WRITEOFF"),Transactions!E643,0),0)</f>
        <v/>
      </c>
      <c r="J643">
        <f>SUMIFS($F$1:F642,$A$1:A642,A643)</f>
        <v/>
      </c>
      <c r="K643">
        <f>SUMIFS($I$1:I642,$A$1:A642,A643)</f>
        <v/>
      </c>
      <c r="L643">
        <f>IFERROR(VLOOKUP(A643,Opening!$A:$C,3,0),0)</f>
        <v/>
      </c>
      <c r="M643">
        <f>IF(I643=0,0,MAX(0,MIN(INDEX(Month!H$2:H$13,MATCH($A643,Month!$A$2:$A$13,0))-K643,I643)))</f>
        <v/>
      </c>
      <c r="N643">
        <f>IF(I643=0,0,MAX(0,MIN(INDEX(Month!I$2:I$13,MATCH($A643,Month!$A$2:$A$13,0))-K643,I643)))</f>
        <v/>
      </c>
      <c r="O643">
        <f>IF(I643=0,0,MAX(0,MIN(INDEX(Month!J$2:J$13,MATCH($A643,Month!$A$2:$A$13,0))-K643,I643)))</f>
        <v/>
      </c>
      <c r="P643">
        <f>IF(I643=0,0,(MIN(MAX(K643,0),L643)*W643+SUMPRODUCT((Calc!$A$2:$A$1001=A643)*Calc!$G$2:$G$1001*(((K643-(L643+Calc!$J$2:$J$1001))&gt;0)*((K643-(L643+Calc!$J$2:$J$1001))&lt;Calc!$F$2:$F$1001)*(K643-(L643+Calc!$J$2:$J$1001))+((K643-(L643+Calc!$J$2:$J$1001))&gt;=Calc!$F$2:$F$1001)*Calc!$F$2:$F$1001))))</f>
        <v/>
      </c>
      <c r="Q643">
        <f>IF(I643=0,0,(MIN(MAX((K643+M643),0),L643)*W643+SUMPRODUCT((Calc!$A$2:$A$1001=A643)*Calc!$G$2:$G$1001*((((K643+M643)-(L643+Calc!$J$2:$J$1001))&gt;0)*(((K643+M643)-(L643+Calc!$J$2:$J$1001))&lt;Calc!$F$2:$F$1001)*((K643+M643)-(L643+Calc!$J$2:$J$1001))+(((K643+M643)-(L643+Calc!$J$2:$J$1001))&gt;=Calc!$F$2:$F$1001)*Calc!$F$2:$F$1001))))</f>
        <v/>
      </c>
      <c r="R643">
        <f>IF(I643=0,0,(MIN(MAX((K643+N643),0),L643)*W643+SUMPRODUCT((Calc!$A$2:$A$1001=A643)*Calc!$G$2:$G$1001*((((K643+N643)-(L643+Calc!$J$2:$J$1001))&gt;0)*(((K643+N643)-(L643+Calc!$J$2:$J$1001))&lt;Calc!$F$2:$F$1001)*((K643+N643)-(L643+Calc!$J$2:$J$1001))+(((K643+N643)-(L643+Calc!$J$2:$J$1001))&gt;=Calc!$F$2:$F$1001)*Calc!$F$2:$F$1001))))</f>
        <v/>
      </c>
      <c r="S643">
        <f>IF(I643=0,0,(MIN(MAX((K643+O643),0),L643)*W643+SUMPRODUCT((Calc!$A$2:$A$1001=A643)*Calc!$G$2:$G$1001*((((K643+O643)-(L643+Calc!$J$2:$J$1001))&gt;0)*(((K643+O643)-(L643+Calc!$J$2:$J$1001))&lt;Calc!$F$2:$F$1001)*((K643+O643)-(L643+Calc!$J$2:$J$1001))+(((K643+O643)-(L643+Calc!$J$2:$J$1001))&gt;=Calc!$F$2:$F$1001)*Calc!$F$2:$F$1001))))</f>
        <v/>
      </c>
      <c r="T643">
        <f>IF(AND(E643=1,B643="RETURN"),Transactions!E643*Transactions!G643,0)</f>
        <v/>
      </c>
      <c r="U643">
        <f>IF(AND(E643=1,B643="EXPENSE"),Transactions!J643,0)</f>
        <v/>
      </c>
      <c r="V643">
        <f>IF(AND(Transactions!A643&lt;&gt;"",E643=0),ROW(),"")</f>
        <v/>
      </c>
      <c r="W643">
        <f>IFERROR(VLOOKUP(A643,Opening!$A:$D,4,0),0)</f>
        <v/>
      </c>
    </row>
    <row r="644">
      <c r="A644">
        <f>IF(Transactions!D644="","",UPPER(TRIM(Transactions!D644)))</f>
        <v/>
      </c>
      <c r="B644">
        <f>IF(Transactions!C644="","",UPPER(TRIM(Transactions!C644)))</f>
        <v/>
      </c>
      <c r="C644">
        <f>IF(Transactions!B644="",0,YEAR(Transactions!B644)*100+MONTH(Transactions!B644))</f>
        <v/>
      </c>
      <c r="D644">
        <f>IF(Transactions!A644="",1,IF(COUNTIF(Transactions!$A$1:A643,Transactions!A644)&gt;0,1,0))</f>
        <v/>
      </c>
      <c r="E644">
        <f>IF(D644=1,0,IF(B644="RETURN",IF(COUNTIFS($A$1:A643,A644,$B$1:B643,"SALE",$E$1:E643,1)&gt;0,1,0),1))</f>
        <v/>
      </c>
      <c r="F644">
        <f>IF(E644=1,IF(B644="RECEIPT",Transactions!E644,IF(AND(B644="RETURN",LOWER(TRIM(Transactions!H644))="resellable"),Transactions!E644,0)),0)</f>
        <v/>
      </c>
      <c r="G644">
        <f>IF(F644&gt;0,IF(B644="RECEIPT",Transactions!F644,IF(_xlfn.MAXIFS($H$2:H644,$A$2:A644,A644)&gt;0,INDEX(Transactions!$F:$F,_xlfn.MAXIFS($H$2:H644,$A$2:A644,A644)),W644)),0)</f>
        <v/>
      </c>
      <c r="H644">
        <f>IF(AND(E644=1,B644="RECEIPT"),ROW(),0)</f>
        <v/>
      </c>
      <c r="I644">
        <f>IF(E644=1,IF(OR(B644="SALE",B644="WRITEOFF"),Transactions!E644,0),0)</f>
        <v/>
      </c>
      <c r="J644">
        <f>SUMIFS($F$1:F643,$A$1:A643,A644)</f>
        <v/>
      </c>
      <c r="K644">
        <f>SUMIFS($I$1:I643,$A$1:A643,A644)</f>
        <v/>
      </c>
      <c r="L644">
        <f>IFERROR(VLOOKUP(A644,Opening!$A:$C,3,0),0)</f>
        <v/>
      </c>
      <c r="M644">
        <f>IF(I644=0,0,MAX(0,MIN(INDEX(Month!H$2:H$13,MATCH($A644,Month!$A$2:$A$13,0))-K644,I644)))</f>
        <v/>
      </c>
      <c r="N644">
        <f>IF(I644=0,0,MAX(0,MIN(INDEX(Month!I$2:I$13,MATCH($A644,Month!$A$2:$A$13,0))-K644,I644)))</f>
        <v/>
      </c>
      <c r="O644">
        <f>IF(I644=0,0,MAX(0,MIN(INDEX(Month!J$2:J$13,MATCH($A644,Month!$A$2:$A$13,0))-K644,I644)))</f>
        <v/>
      </c>
      <c r="P644">
        <f>IF(I644=0,0,(MIN(MAX(K644,0),L644)*W644+SUMPRODUCT((Calc!$A$2:$A$1001=A644)*Calc!$G$2:$G$1001*(((K644-(L644+Calc!$J$2:$J$1001))&gt;0)*((K644-(L644+Calc!$J$2:$J$1001))&lt;Calc!$F$2:$F$1001)*(K644-(L644+Calc!$J$2:$J$1001))+((K644-(L644+Calc!$J$2:$J$1001))&gt;=Calc!$F$2:$F$1001)*Calc!$F$2:$F$1001))))</f>
        <v/>
      </c>
      <c r="Q644">
        <f>IF(I644=0,0,(MIN(MAX((K644+M644),0),L644)*W644+SUMPRODUCT((Calc!$A$2:$A$1001=A644)*Calc!$G$2:$G$1001*((((K644+M644)-(L644+Calc!$J$2:$J$1001))&gt;0)*(((K644+M644)-(L644+Calc!$J$2:$J$1001))&lt;Calc!$F$2:$F$1001)*((K644+M644)-(L644+Calc!$J$2:$J$1001))+(((K644+M644)-(L644+Calc!$J$2:$J$1001))&gt;=Calc!$F$2:$F$1001)*Calc!$F$2:$F$1001))))</f>
        <v/>
      </c>
      <c r="R644">
        <f>IF(I644=0,0,(MIN(MAX((K644+N644),0),L644)*W644+SUMPRODUCT((Calc!$A$2:$A$1001=A644)*Calc!$G$2:$G$1001*((((K644+N644)-(L644+Calc!$J$2:$J$1001))&gt;0)*(((K644+N644)-(L644+Calc!$J$2:$J$1001))&lt;Calc!$F$2:$F$1001)*((K644+N644)-(L644+Calc!$J$2:$J$1001))+(((K644+N644)-(L644+Calc!$J$2:$J$1001))&gt;=Calc!$F$2:$F$1001)*Calc!$F$2:$F$1001))))</f>
        <v/>
      </c>
      <c r="S644">
        <f>IF(I644=0,0,(MIN(MAX((K644+O644),0),L644)*W644+SUMPRODUCT((Calc!$A$2:$A$1001=A644)*Calc!$G$2:$G$1001*((((K644+O644)-(L644+Calc!$J$2:$J$1001))&gt;0)*(((K644+O644)-(L644+Calc!$J$2:$J$1001))&lt;Calc!$F$2:$F$1001)*((K644+O644)-(L644+Calc!$J$2:$J$1001))+(((K644+O644)-(L644+Calc!$J$2:$J$1001))&gt;=Calc!$F$2:$F$1001)*Calc!$F$2:$F$1001))))</f>
        <v/>
      </c>
      <c r="T644">
        <f>IF(AND(E644=1,B644="RETURN"),Transactions!E644*Transactions!G644,0)</f>
        <v/>
      </c>
      <c r="U644">
        <f>IF(AND(E644=1,B644="EXPENSE"),Transactions!J644,0)</f>
        <v/>
      </c>
      <c r="V644">
        <f>IF(AND(Transactions!A644&lt;&gt;"",E644=0),ROW(),"")</f>
        <v/>
      </c>
      <c r="W644">
        <f>IFERROR(VLOOKUP(A644,Opening!$A:$D,4,0),0)</f>
        <v/>
      </c>
    </row>
    <row r="645">
      <c r="A645">
        <f>IF(Transactions!D645="","",UPPER(TRIM(Transactions!D645)))</f>
        <v/>
      </c>
      <c r="B645">
        <f>IF(Transactions!C645="","",UPPER(TRIM(Transactions!C645)))</f>
        <v/>
      </c>
      <c r="C645">
        <f>IF(Transactions!B645="",0,YEAR(Transactions!B645)*100+MONTH(Transactions!B645))</f>
        <v/>
      </c>
      <c r="D645">
        <f>IF(Transactions!A645="",1,IF(COUNTIF(Transactions!$A$1:A644,Transactions!A645)&gt;0,1,0))</f>
        <v/>
      </c>
      <c r="E645">
        <f>IF(D645=1,0,IF(B645="RETURN",IF(COUNTIFS($A$1:A644,A645,$B$1:B644,"SALE",$E$1:E644,1)&gt;0,1,0),1))</f>
        <v/>
      </c>
      <c r="F645">
        <f>IF(E645=1,IF(B645="RECEIPT",Transactions!E645,IF(AND(B645="RETURN",LOWER(TRIM(Transactions!H645))="resellable"),Transactions!E645,0)),0)</f>
        <v/>
      </c>
      <c r="G645">
        <f>IF(F645&gt;0,IF(B645="RECEIPT",Transactions!F645,IF(_xlfn.MAXIFS($H$2:H645,$A$2:A645,A645)&gt;0,INDEX(Transactions!$F:$F,_xlfn.MAXIFS($H$2:H645,$A$2:A645,A645)),W645)),0)</f>
        <v/>
      </c>
      <c r="H645">
        <f>IF(AND(E645=1,B645="RECEIPT"),ROW(),0)</f>
        <v/>
      </c>
      <c r="I645">
        <f>IF(E645=1,IF(OR(B645="SALE",B645="WRITEOFF"),Transactions!E645,0),0)</f>
        <v/>
      </c>
      <c r="J645">
        <f>SUMIFS($F$1:F644,$A$1:A644,A645)</f>
        <v/>
      </c>
      <c r="K645">
        <f>SUMIFS($I$1:I644,$A$1:A644,A645)</f>
        <v/>
      </c>
      <c r="L645">
        <f>IFERROR(VLOOKUP(A645,Opening!$A:$C,3,0),0)</f>
        <v/>
      </c>
      <c r="M645">
        <f>IF(I645=0,0,MAX(0,MIN(INDEX(Month!H$2:H$13,MATCH($A645,Month!$A$2:$A$13,0))-K645,I645)))</f>
        <v/>
      </c>
      <c r="N645">
        <f>IF(I645=0,0,MAX(0,MIN(INDEX(Month!I$2:I$13,MATCH($A645,Month!$A$2:$A$13,0))-K645,I645)))</f>
        <v/>
      </c>
      <c r="O645">
        <f>IF(I645=0,0,MAX(0,MIN(INDEX(Month!J$2:J$13,MATCH($A645,Month!$A$2:$A$13,0))-K645,I645)))</f>
        <v/>
      </c>
      <c r="P645">
        <f>IF(I645=0,0,(MIN(MAX(K645,0),L645)*W645+SUMPRODUCT((Calc!$A$2:$A$1001=A645)*Calc!$G$2:$G$1001*(((K645-(L645+Calc!$J$2:$J$1001))&gt;0)*((K645-(L645+Calc!$J$2:$J$1001))&lt;Calc!$F$2:$F$1001)*(K645-(L645+Calc!$J$2:$J$1001))+((K645-(L645+Calc!$J$2:$J$1001))&gt;=Calc!$F$2:$F$1001)*Calc!$F$2:$F$1001))))</f>
        <v/>
      </c>
      <c r="Q645">
        <f>IF(I645=0,0,(MIN(MAX((K645+M645),0),L645)*W645+SUMPRODUCT((Calc!$A$2:$A$1001=A645)*Calc!$G$2:$G$1001*((((K645+M645)-(L645+Calc!$J$2:$J$1001))&gt;0)*(((K645+M645)-(L645+Calc!$J$2:$J$1001))&lt;Calc!$F$2:$F$1001)*((K645+M645)-(L645+Calc!$J$2:$J$1001))+(((K645+M645)-(L645+Calc!$J$2:$J$1001))&gt;=Calc!$F$2:$F$1001)*Calc!$F$2:$F$1001))))</f>
        <v/>
      </c>
      <c r="R645">
        <f>IF(I645=0,0,(MIN(MAX((K645+N645),0),L645)*W645+SUMPRODUCT((Calc!$A$2:$A$1001=A645)*Calc!$G$2:$G$1001*((((K645+N645)-(L645+Calc!$J$2:$J$1001))&gt;0)*(((K645+N645)-(L645+Calc!$J$2:$J$1001))&lt;Calc!$F$2:$F$1001)*((K645+N645)-(L645+Calc!$J$2:$J$1001))+(((K645+N645)-(L645+Calc!$J$2:$J$1001))&gt;=Calc!$F$2:$F$1001)*Calc!$F$2:$F$1001))))</f>
        <v/>
      </c>
      <c r="S645">
        <f>IF(I645=0,0,(MIN(MAX((K645+O645),0),L645)*W645+SUMPRODUCT((Calc!$A$2:$A$1001=A645)*Calc!$G$2:$G$1001*((((K645+O645)-(L645+Calc!$J$2:$J$1001))&gt;0)*(((K645+O645)-(L645+Calc!$J$2:$J$1001))&lt;Calc!$F$2:$F$1001)*((K645+O645)-(L645+Calc!$J$2:$J$1001))+(((K645+O645)-(L645+Calc!$J$2:$J$1001))&gt;=Calc!$F$2:$F$1001)*Calc!$F$2:$F$1001))))</f>
        <v/>
      </c>
      <c r="T645">
        <f>IF(AND(E645=1,B645="RETURN"),Transactions!E645*Transactions!G645,0)</f>
        <v/>
      </c>
      <c r="U645">
        <f>IF(AND(E645=1,B645="EXPENSE"),Transactions!J645,0)</f>
        <v/>
      </c>
      <c r="V645">
        <f>IF(AND(Transactions!A645&lt;&gt;"",E645=0),ROW(),"")</f>
        <v/>
      </c>
      <c r="W645">
        <f>IFERROR(VLOOKUP(A645,Opening!$A:$D,4,0),0)</f>
        <v/>
      </c>
    </row>
    <row r="646">
      <c r="A646">
        <f>IF(Transactions!D646="","",UPPER(TRIM(Transactions!D646)))</f>
        <v/>
      </c>
      <c r="B646">
        <f>IF(Transactions!C646="","",UPPER(TRIM(Transactions!C646)))</f>
        <v/>
      </c>
      <c r="C646">
        <f>IF(Transactions!B646="",0,YEAR(Transactions!B646)*100+MONTH(Transactions!B646))</f>
        <v/>
      </c>
      <c r="D646">
        <f>IF(Transactions!A646="",1,IF(COUNTIF(Transactions!$A$1:A645,Transactions!A646)&gt;0,1,0))</f>
        <v/>
      </c>
      <c r="E646">
        <f>IF(D646=1,0,IF(B646="RETURN",IF(COUNTIFS($A$1:A645,A646,$B$1:B645,"SALE",$E$1:E645,1)&gt;0,1,0),1))</f>
        <v/>
      </c>
      <c r="F646">
        <f>IF(E646=1,IF(B646="RECEIPT",Transactions!E646,IF(AND(B646="RETURN",LOWER(TRIM(Transactions!H646))="resellable"),Transactions!E646,0)),0)</f>
        <v/>
      </c>
      <c r="G646">
        <f>IF(F646&gt;0,IF(B646="RECEIPT",Transactions!F646,IF(_xlfn.MAXIFS($H$2:H646,$A$2:A646,A646)&gt;0,INDEX(Transactions!$F:$F,_xlfn.MAXIFS($H$2:H646,$A$2:A646,A646)),W646)),0)</f>
        <v/>
      </c>
      <c r="H646">
        <f>IF(AND(E646=1,B646="RECEIPT"),ROW(),0)</f>
        <v/>
      </c>
      <c r="I646">
        <f>IF(E646=1,IF(OR(B646="SALE",B646="WRITEOFF"),Transactions!E646,0),0)</f>
        <v/>
      </c>
      <c r="J646">
        <f>SUMIFS($F$1:F645,$A$1:A645,A646)</f>
        <v/>
      </c>
      <c r="K646">
        <f>SUMIFS($I$1:I645,$A$1:A645,A646)</f>
        <v/>
      </c>
      <c r="L646">
        <f>IFERROR(VLOOKUP(A646,Opening!$A:$C,3,0),0)</f>
        <v/>
      </c>
      <c r="M646">
        <f>IF(I646=0,0,MAX(0,MIN(INDEX(Month!H$2:H$13,MATCH($A646,Month!$A$2:$A$13,0))-K646,I646)))</f>
        <v/>
      </c>
      <c r="N646">
        <f>IF(I646=0,0,MAX(0,MIN(INDEX(Month!I$2:I$13,MATCH($A646,Month!$A$2:$A$13,0))-K646,I646)))</f>
        <v/>
      </c>
      <c r="O646">
        <f>IF(I646=0,0,MAX(0,MIN(INDEX(Month!J$2:J$13,MATCH($A646,Month!$A$2:$A$13,0))-K646,I646)))</f>
        <v/>
      </c>
      <c r="P646">
        <f>IF(I646=0,0,(MIN(MAX(K646,0),L646)*W646+SUMPRODUCT((Calc!$A$2:$A$1001=A646)*Calc!$G$2:$G$1001*(((K646-(L646+Calc!$J$2:$J$1001))&gt;0)*((K646-(L646+Calc!$J$2:$J$1001))&lt;Calc!$F$2:$F$1001)*(K646-(L646+Calc!$J$2:$J$1001))+((K646-(L646+Calc!$J$2:$J$1001))&gt;=Calc!$F$2:$F$1001)*Calc!$F$2:$F$1001))))</f>
        <v/>
      </c>
      <c r="Q646">
        <f>IF(I646=0,0,(MIN(MAX((K646+M646),0),L646)*W646+SUMPRODUCT((Calc!$A$2:$A$1001=A646)*Calc!$G$2:$G$1001*((((K646+M646)-(L646+Calc!$J$2:$J$1001))&gt;0)*(((K646+M646)-(L646+Calc!$J$2:$J$1001))&lt;Calc!$F$2:$F$1001)*((K646+M646)-(L646+Calc!$J$2:$J$1001))+(((K646+M646)-(L646+Calc!$J$2:$J$1001))&gt;=Calc!$F$2:$F$1001)*Calc!$F$2:$F$1001))))</f>
        <v/>
      </c>
      <c r="R646">
        <f>IF(I646=0,0,(MIN(MAX((K646+N646),0),L646)*W646+SUMPRODUCT((Calc!$A$2:$A$1001=A646)*Calc!$G$2:$G$1001*((((K646+N646)-(L646+Calc!$J$2:$J$1001))&gt;0)*(((K646+N646)-(L646+Calc!$J$2:$J$1001))&lt;Calc!$F$2:$F$1001)*((K646+N646)-(L646+Calc!$J$2:$J$1001))+(((K646+N646)-(L646+Calc!$J$2:$J$1001))&gt;=Calc!$F$2:$F$1001)*Calc!$F$2:$F$1001))))</f>
        <v/>
      </c>
      <c r="S646">
        <f>IF(I646=0,0,(MIN(MAX((K646+O646),0),L646)*W646+SUMPRODUCT((Calc!$A$2:$A$1001=A646)*Calc!$G$2:$G$1001*((((K646+O646)-(L646+Calc!$J$2:$J$1001))&gt;0)*(((K646+O646)-(L646+Calc!$J$2:$J$1001))&lt;Calc!$F$2:$F$1001)*((K646+O646)-(L646+Calc!$J$2:$J$1001))+(((K646+O646)-(L646+Calc!$J$2:$J$1001))&gt;=Calc!$F$2:$F$1001)*Calc!$F$2:$F$1001))))</f>
        <v/>
      </c>
      <c r="T646">
        <f>IF(AND(E646=1,B646="RETURN"),Transactions!E646*Transactions!G646,0)</f>
        <v/>
      </c>
      <c r="U646">
        <f>IF(AND(E646=1,B646="EXPENSE"),Transactions!J646,0)</f>
        <v/>
      </c>
      <c r="V646">
        <f>IF(AND(Transactions!A646&lt;&gt;"",E646=0),ROW(),"")</f>
        <v/>
      </c>
      <c r="W646">
        <f>IFERROR(VLOOKUP(A646,Opening!$A:$D,4,0),0)</f>
        <v/>
      </c>
    </row>
    <row r="647">
      <c r="A647">
        <f>IF(Transactions!D647="","",UPPER(TRIM(Transactions!D647)))</f>
        <v/>
      </c>
      <c r="B647">
        <f>IF(Transactions!C647="","",UPPER(TRIM(Transactions!C647)))</f>
        <v/>
      </c>
      <c r="C647">
        <f>IF(Transactions!B647="",0,YEAR(Transactions!B647)*100+MONTH(Transactions!B647))</f>
        <v/>
      </c>
      <c r="D647">
        <f>IF(Transactions!A647="",1,IF(COUNTIF(Transactions!$A$1:A646,Transactions!A647)&gt;0,1,0))</f>
        <v/>
      </c>
      <c r="E647">
        <f>IF(D647=1,0,IF(B647="RETURN",IF(COUNTIFS($A$1:A646,A647,$B$1:B646,"SALE",$E$1:E646,1)&gt;0,1,0),1))</f>
        <v/>
      </c>
      <c r="F647">
        <f>IF(E647=1,IF(B647="RECEIPT",Transactions!E647,IF(AND(B647="RETURN",LOWER(TRIM(Transactions!H647))="resellable"),Transactions!E647,0)),0)</f>
        <v/>
      </c>
      <c r="G647">
        <f>IF(F647&gt;0,IF(B647="RECEIPT",Transactions!F647,IF(_xlfn.MAXIFS($H$2:H647,$A$2:A647,A647)&gt;0,INDEX(Transactions!$F:$F,_xlfn.MAXIFS($H$2:H647,$A$2:A647,A647)),W647)),0)</f>
        <v/>
      </c>
      <c r="H647">
        <f>IF(AND(E647=1,B647="RECEIPT"),ROW(),0)</f>
        <v/>
      </c>
      <c r="I647">
        <f>IF(E647=1,IF(OR(B647="SALE",B647="WRITEOFF"),Transactions!E647,0),0)</f>
        <v/>
      </c>
      <c r="J647">
        <f>SUMIFS($F$1:F646,$A$1:A646,A647)</f>
        <v/>
      </c>
      <c r="K647">
        <f>SUMIFS($I$1:I646,$A$1:A646,A647)</f>
        <v/>
      </c>
      <c r="L647">
        <f>IFERROR(VLOOKUP(A647,Opening!$A:$C,3,0),0)</f>
        <v/>
      </c>
      <c r="M647">
        <f>IF(I647=0,0,MAX(0,MIN(INDEX(Month!H$2:H$13,MATCH($A647,Month!$A$2:$A$13,0))-K647,I647)))</f>
        <v/>
      </c>
      <c r="N647">
        <f>IF(I647=0,0,MAX(0,MIN(INDEX(Month!I$2:I$13,MATCH($A647,Month!$A$2:$A$13,0))-K647,I647)))</f>
        <v/>
      </c>
      <c r="O647">
        <f>IF(I647=0,0,MAX(0,MIN(INDEX(Month!J$2:J$13,MATCH($A647,Month!$A$2:$A$13,0))-K647,I647)))</f>
        <v/>
      </c>
      <c r="P647">
        <f>IF(I647=0,0,(MIN(MAX(K647,0),L647)*W647+SUMPRODUCT((Calc!$A$2:$A$1001=A647)*Calc!$G$2:$G$1001*(((K647-(L647+Calc!$J$2:$J$1001))&gt;0)*((K647-(L647+Calc!$J$2:$J$1001))&lt;Calc!$F$2:$F$1001)*(K647-(L647+Calc!$J$2:$J$1001))+((K647-(L647+Calc!$J$2:$J$1001))&gt;=Calc!$F$2:$F$1001)*Calc!$F$2:$F$1001))))</f>
        <v/>
      </c>
      <c r="Q647">
        <f>IF(I647=0,0,(MIN(MAX((K647+M647),0),L647)*W647+SUMPRODUCT((Calc!$A$2:$A$1001=A647)*Calc!$G$2:$G$1001*((((K647+M647)-(L647+Calc!$J$2:$J$1001))&gt;0)*(((K647+M647)-(L647+Calc!$J$2:$J$1001))&lt;Calc!$F$2:$F$1001)*((K647+M647)-(L647+Calc!$J$2:$J$1001))+(((K647+M647)-(L647+Calc!$J$2:$J$1001))&gt;=Calc!$F$2:$F$1001)*Calc!$F$2:$F$1001))))</f>
        <v/>
      </c>
      <c r="R647">
        <f>IF(I647=0,0,(MIN(MAX((K647+N647),0),L647)*W647+SUMPRODUCT((Calc!$A$2:$A$1001=A647)*Calc!$G$2:$G$1001*((((K647+N647)-(L647+Calc!$J$2:$J$1001))&gt;0)*(((K647+N647)-(L647+Calc!$J$2:$J$1001))&lt;Calc!$F$2:$F$1001)*((K647+N647)-(L647+Calc!$J$2:$J$1001))+(((K647+N647)-(L647+Calc!$J$2:$J$1001))&gt;=Calc!$F$2:$F$1001)*Calc!$F$2:$F$1001))))</f>
        <v/>
      </c>
      <c r="S647">
        <f>IF(I647=0,0,(MIN(MAX((K647+O647),0),L647)*W647+SUMPRODUCT((Calc!$A$2:$A$1001=A647)*Calc!$G$2:$G$1001*((((K647+O647)-(L647+Calc!$J$2:$J$1001))&gt;0)*(((K647+O647)-(L647+Calc!$J$2:$J$1001))&lt;Calc!$F$2:$F$1001)*((K647+O647)-(L647+Calc!$J$2:$J$1001))+(((K647+O647)-(L647+Calc!$J$2:$J$1001))&gt;=Calc!$F$2:$F$1001)*Calc!$F$2:$F$1001))))</f>
        <v/>
      </c>
      <c r="T647">
        <f>IF(AND(E647=1,B647="RETURN"),Transactions!E647*Transactions!G647,0)</f>
        <v/>
      </c>
      <c r="U647">
        <f>IF(AND(E647=1,B647="EXPENSE"),Transactions!J647,0)</f>
        <v/>
      </c>
      <c r="V647">
        <f>IF(AND(Transactions!A647&lt;&gt;"",E647=0),ROW(),"")</f>
        <v/>
      </c>
      <c r="W647">
        <f>IFERROR(VLOOKUP(A647,Opening!$A:$D,4,0),0)</f>
        <v/>
      </c>
    </row>
    <row r="648">
      <c r="A648">
        <f>IF(Transactions!D648="","",UPPER(TRIM(Transactions!D648)))</f>
        <v/>
      </c>
      <c r="B648">
        <f>IF(Transactions!C648="","",UPPER(TRIM(Transactions!C648)))</f>
        <v/>
      </c>
      <c r="C648">
        <f>IF(Transactions!B648="",0,YEAR(Transactions!B648)*100+MONTH(Transactions!B648))</f>
        <v/>
      </c>
      <c r="D648">
        <f>IF(Transactions!A648="",1,IF(COUNTIF(Transactions!$A$1:A647,Transactions!A648)&gt;0,1,0))</f>
        <v/>
      </c>
      <c r="E648">
        <f>IF(D648=1,0,IF(B648="RETURN",IF(COUNTIFS($A$1:A647,A648,$B$1:B647,"SALE",$E$1:E647,1)&gt;0,1,0),1))</f>
        <v/>
      </c>
      <c r="F648">
        <f>IF(E648=1,IF(B648="RECEIPT",Transactions!E648,IF(AND(B648="RETURN",LOWER(TRIM(Transactions!H648))="resellable"),Transactions!E648,0)),0)</f>
        <v/>
      </c>
      <c r="G648">
        <f>IF(F648&gt;0,IF(B648="RECEIPT",Transactions!F648,IF(_xlfn.MAXIFS($H$2:H648,$A$2:A648,A648)&gt;0,INDEX(Transactions!$F:$F,_xlfn.MAXIFS($H$2:H648,$A$2:A648,A648)),W648)),0)</f>
        <v/>
      </c>
      <c r="H648">
        <f>IF(AND(E648=1,B648="RECEIPT"),ROW(),0)</f>
        <v/>
      </c>
      <c r="I648">
        <f>IF(E648=1,IF(OR(B648="SALE",B648="WRITEOFF"),Transactions!E648,0),0)</f>
        <v/>
      </c>
      <c r="J648">
        <f>SUMIFS($F$1:F647,$A$1:A647,A648)</f>
        <v/>
      </c>
      <c r="K648">
        <f>SUMIFS($I$1:I647,$A$1:A647,A648)</f>
        <v/>
      </c>
      <c r="L648">
        <f>IFERROR(VLOOKUP(A648,Opening!$A:$C,3,0),0)</f>
        <v/>
      </c>
      <c r="M648">
        <f>IF(I648=0,0,MAX(0,MIN(INDEX(Month!H$2:H$13,MATCH($A648,Month!$A$2:$A$13,0))-K648,I648)))</f>
        <v/>
      </c>
      <c r="N648">
        <f>IF(I648=0,0,MAX(0,MIN(INDEX(Month!I$2:I$13,MATCH($A648,Month!$A$2:$A$13,0))-K648,I648)))</f>
        <v/>
      </c>
      <c r="O648">
        <f>IF(I648=0,0,MAX(0,MIN(INDEX(Month!J$2:J$13,MATCH($A648,Month!$A$2:$A$13,0))-K648,I648)))</f>
        <v/>
      </c>
      <c r="P648">
        <f>IF(I648=0,0,(MIN(MAX(K648,0),L648)*W648+SUMPRODUCT((Calc!$A$2:$A$1001=A648)*Calc!$G$2:$G$1001*(((K648-(L648+Calc!$J$2:$J$1001))&gt;0)*((K648-(L648+Calc!$J$2:$J$1001))&lt;Calc!$F$2:$F$1001)*(K648-(L648+Calc!$J$2:$J$1001))+((K648-(L648+Calc!$J$2:$J$1001))&gt;=Calc!$F$2:$F$1001)*Calc!$F$2:$F$1001))))</f>
        <v/>
      </c>
      <c r="Q648">
        <f>IF(I648=0,0,(MIN(MAX((K648+M648),0),L648)*W648+SUMPRODUCT((Calc!$A$2:$A$1001=A648)*Calc!$G$2:$G$1001*((((K648+M648)-(L648+Calc!$J$2:$J$1001))&gt;0)*(((K648+M648)-(L648+Calc!$J$2:$J$1001))&lt;Calc!$F$2:$F$1001)*((K648+M648)-(L648+Calc!$J$2:$J$1001))+(((K648+M648)-(L648+Calc!$J$2:$J$1001))&gt;=Calc!$F$2:$F$1001)*Calc!$F$2:$F$1001))))</f>
        <v/>
      </c>
      <c r="R648">
        <f>IF(I648=0,0,(MIN(MAX((K648+N648),0),L648)*W648+SUMPRODUCT((Calc!$A$2:$A$1001=A648)*Calc!$G$2:$G$1001*((((K648+N648)-(L648+Calc!$J$2:$J$1001))&gt;0)*(((K648+N648)-(L648+Calc!$J$2:$J$1001))&lt;Calc!$F$2:$F$1001)*((K648+N648)-(L648+Calc!$J$2:$J$1001))+(((K648+N648)-(L648+Calc!$J$2:$J$1001))&gt;=Calc!$F$2:$F$1001)*Calc!$F$2:$F$1001))))</f>
        <v/>
      </c>
      <c r="S648">
        <f>IF(I648=0,0,(MIN(MAX((K648+O648),0),L648)*W648+SUMPRODUCT((Calc!$A$2:$A$1001=A648)*Calc!$G$2:$G$1001*((((K648+O648)-(L648+Calc!$J$2:$J$1001))&gt;0)*(((K648+O648)-(L648+Calc!$J$2:$J$1001))&lt;Calc!$F$2:$F$1001)*((K648+O648)-(L648+Calc!$J$2:$J$1001))+(((K648+O648)-(L648+Calc!$J$2:$J$1001))&gt;=Calc!$F$2:$F$1001)*Calc!$F$2:$F$1001))))</f>
        <v/>
      </c>
      <c r="T648">
        <f>IF(AND(E648=1,B648="RETURN"),Transactions!E648*Transactions!G648,0)</f>
        <v/>
      </c>
      <c r="U648">
        <f>IF(AND(E648=1,B648="EXPENSE"),Transactions!J648,0)</f>
        <v/>
      </c>
      <c r="V648">
        <f>IF(AND(Transactions!A648&lt;&gt;"",E648=0),ROW(),"")</f>
        <v/>
      </c>
      <c r="W648">
        <f>IFERROR(VLOOKUP(A648,Opening!$A:$D,4,0),0)</f>
        <v/>
      </c>
    </row>
    <row r="649">
      <c r="A649">
        <f>IF(Transactions!D649="","",UPPER(TRIM(Transactions!D649)))</f>
        <v/>
      </c>
      <c r="B649">
        <f>IF(Transactions!C649="","",UPPER(TRIM(Transactions!C649)))</f>
        <v/>
      </c>
      <c r="C649">
        <f>IF(Transactions!B649="",0,YEAR(Transactions!B649)*100+MONTH(Transactions!B649))</f>
        <v/>
      </c>
      <c r="D649">
        <f>IF(Transactions!A649="",1,IF(COUNTIF(Transactions!$A$1:A648,Transactions!A649)&gt;0,1,0))</f>
        <v/>
      </c>
      <c r="E649">
        <f>IF(D649=1,0,IF(B649="RETURN",IF(COUNTIFS($A$1:A648,A649,$B$1:B648,"SALE",$E$1:E648,1)&gt;0,1,0),1))</f>
        <v/>
      </c>
      <c r="F649">
        <f>IF(E649=1,IF(B649="RECEIPT",Transactions!E649,IF(AND(B649="RETURN",LOWER(TRIM(Transactions!H649))="resellable"),Transactions!E649,0)),0)</f>
        <v/>
      </c>
      <c r="G649">
        <f>IF(F649&gt;0,IF(B649="RECEIPT",Transactions!F649,IF(_xlfn.MAXIFS($H$2:H649,$A$2:A649,A649)&gt;0,INDEX(Transactions!$F:$F,_xlfn.MAXIFS($H$2:H649,$A$2:A649,A649)),W649)),0)</f>
        <v/>
      </c>
      <c r="H649">
        <f>IF(AND(E649=1,B649="RECEIPT"),ROW(),0)</f>
        <v/>
      </c>
      <c r="I649">
        <f>IF(E649=1,IF(OR(B649="SALE",B649="WRITEOFF"),Transactions!E649,0),0)</f>
        <v/>
      </c>
      <c r="J649">
        <f>SUMIFS($F$1:F648,$A$1:A648,A649)</f>
        <v/>
      </c>
      <c r="K649">
        <f>SUMIFS($I$1:I648,$A$1:A648,A649)</f>
        <v/>
      </c>
      <c r="L649">
        <f>IFERROR(VLOOKUP(A649,Opening!$A:$C,3,0),0)</f>
        <v/>
      </c>
      <c r="M649">
        <f>IF(I649=0,0,MAX(0,MIN(INDEX(Month!H$2:H$13,MATCH($A649,Month!$A$2:$A$13,0))-K649,I649)))</f>
        <v/>
      </c>
      <c r="N649">
        <f>IF(I649=0,0,MAX(0,MIN(INDEX(Month!I$2:I$13,MATCH($A649,Month!$A$2:$A$13,0))-K649,I649)))</f>
        <v/>
      </c>
      <c r="O649">
        <f>IF(I649=0,0,MAX(0,MIN(INDEX(Month!J$2:J$13,MATCH($A649,Month!$A$2:$A$13,0))-K649,I649)))</f>
        <v/>
      </c>
      <c r="P649">
        <f>IF(I649=0,0,(MIN(MAX(K649,0),L649)*W649+SUMPRODUCT((Calc!$A$2:$A$1001=A649)*Calc!$G$2:$G$1001*(((K649-(L649+Calc!$J$2:$J$1001))&gt;0)*((K649-(L649+Calc!$J$2:$J$1001))&lt;Calc!$F$2:$F$1001)*(K649-(L649+Calc!$J$2:$J$1001))+((K649-(L649+Calc!$J$2:$J$1001))&gt;=Calc!$F$2:$F$1001)*Calc!$F$2:$F$1001))))</f>
        <v/>
      </c>
      <c r="Q649">
        <f>IF(I649=0,0,(MIN(MAX((K649+M649),0),L649)*W649+SUMPRODUCT((Calc!$A$2:$A$1001=A649)*Calc!$G$2:$G$1001*((((K649+M649)-(L649+Calc!$J$2:$J$1001))&gt;0)*(((K649+M649)-(L649+Calc!$J$2:$J$1001))&lt;Calc!$F$2:$F$1001)*((K649+M649)-(L649+Calc!$J$2:$J$1001))+(((K649+M649)-(L649+Calc!$J$2:$J$1001))&gt;=Calc!$F$2:$F$1001)*Calc!$F$2:$F$1001))))</f>
        <v/>
      </c>
      <c r="R649">
        <f>IF(I649=0,0,(MIN(MAX((K649+N649),0),L649)*W649+SUMPRODUCT((Calc!$A$2:$A$1001=A649)*Calc!$G$2:$G$1001*((((K649+N649)-(L649+Calc!$J$2:$J$1001))&gt;0)*(((K649+N649)-(L649+Calc!$J$2:$J$1001))&lt;Calc!$F$2:$F$1001)*((K649+N649)-(L649+Calc!$J$2:$J$1001))+(((K649+N649)-(L649+Calc!$J$2:$J$1001))&gt;=Calc!$F$2:$F$1001)*Calc!$F$2:$F$1001))))</f>
        <v/>
      </c>
      <c r="S649">
        <f>IF(I649=0,0,(MIN(MAX((K649+O649),0),L649)*W649+SUMPRODUCT((Calc!$A$2:$A$1001=A649)*Calc!$G$2:$G$1001*((((K649+O649)-(L649+Calc!$J$2:$J$1001))&gt;0)*(((K649+O649)-(L649+Calc!$J$2:$J$1001))&lt;Calc!$F$2:$F$1001)*((K649+O649)-(L649+Calc!$J$2:$J$1001))+(((K649+O649)-(L649+Calc!$J$2:$J$1001))&gt;=Calc!$F$2:$F$1001)*Calc!$F$2:$F$1001))))</f>
        <v/>
      </c>
      <c r="T649">
        <f>IF(AND(E649=1,B649="RETURN"),Transactions!E649*Transactions!G649,0)</f>
        <v/>
      </c>
      <c r="U649">
        <f>IF(AND(E649=1,B649="EXPENSE"),Transactions!J649,0)</f>
        <v/>
      </c>
      <c r="V649">
        <f>IF(AND(Transactions!A649&lt;&gt;"",E649=0),ROW(),"")</f>
        <v/>
      </c>
      <c r="W649">
        <f>IFERROR(VLOOKUP(A649,Opening!$A:$D,4,0),0)</f>
        <v/>
      </c>
    </row>
    <row r="650">
      <c r="A650">
        <f>IF(Transactions!D650="","",UPPER(TRIM(Transactions!D650)))</f>
        <v/>
      </c>
      <c r="B650">
        <f>IF(Transactions!C650="","",UPPER(TRIM(Transactions!C650)))</f>
        <v/>
      </c>
      <c r="C650">
        <f>IF(Transactions!B650="",0,YEAR(Transactions!B650)*100+MONTH(Transactions!B650))</f>
        <v/>
      </c>
      <c r="D650">
        <f>IF(Transactions!A650="",1,IF(COUNTIF(Transactions!$A$1:A649,Transactions!A650)&gt;0,1,0))</f>
        <v/>
      </c>
      <c r="E650">
        <f>IF(D650=1,0,IF(B650="RETURN",IF(COUNTIFS($A$1:A649,A650,$B$1:B649,"SALE",$E$1:E649,1)&gt;0,1,0),1))</f>
        <v/>
      </c>
      <c r="F650">
        <f>IF(E650=1,IF(B650="RECEIPT",Transactions!E650,IF(AND(B650="RETURN",LOWER(TRIM(Transactions!H650))="resellable"),Transactions!E650,0)),0)</f>
        <v/>
      </c>
      <c r="G650">
        <f>IF(F650&gt;0,IF(B650="RECEIPT",Transactions!F650,IF(_xlfn.MAXIFS($H$2:H650,$A$2:A650,A650)&gt;0,INDEX(Transactions!$F:$F,_xlfn.MAXIFS($H$2:H650,$A$2:A650,A650)),W650)),0)</f>
        <v/>
      </c>
      <c r="H650">
        <f>IF(AND(E650=1,B650="RECEIPT"),ROW(),0)</f>
        <v/>
      </c>
      <c r="I650">
        <f>IF(E650=1,IF(OR(B650="SALE",B650="WRITEOFF"),Transactions!E650,0),0)</f>
        <v/>
      </c>
      <c r="J650">
        <f>SUMIFS($F$1:F649,$A$1:A649,A650)</f>
        <v/>
      </c>
      <c r="K650">
        <f>SUMIFS($I$1:I649,$A$1:A649,A650)</f>
        <v/>
      </c>
      <c r="L650">
        <f>IFERROR(VLOOKUP(A650,Opening!$A:$C,3,0),0)</f>
        <v/>
      </c>
      <c r="M650">
        <f>IF(I650=0,0,MAX(0,MIN(INDEX(Month!H$2:H$13,MATCH($A650,Month!$A$2:$A$13,0))-K650,I650)))</f>
        <v/>
      </c>
      <c r="N650">
        <f>IF(I650=0,0,MAX(0,MIN(INDEX(Month!I$2:I$13,MATCH($A650,Month!$A$2:$A$13,0))-K650,I650)))</f>
        <v/>
      </c>
      <c r="O650">
        <f>IF(I650=0,0,MAX(0,MIN(INDEX(Month!J$2:J$13,MATCH($A650,Month!$A$2:$A$13,0))-K650,I650)))</f>
        <v/>
      </c>
      <c r="P650">
        <f>IF(I650=0,0,(MIN(MAX(K650,0),L650)*W650+SUMPRODUCT((Calc!$A$2:$A$1001=A650)*Calc!$G$2:$G$1001*(((K650-(L650+Calc!$J$2:$J$1001))&gt;0)*((K650-(L650+Calc!$J$2:$J$1001))&lt;Calc!$F$2:$F$1001)*(K650-(L650+Calc!$J$2:$J$1001))+((K650-(L650+Calc!$J$2:$J$1001))&gt;=Calc!$F$2:$F$1001)*Calc!$F$2:$F$1001))))</f>
        <v/>
      </c>
      <c r="Q650">
        <f>IF(I650=0,0,(MIN(MAX((K650+M650),0),L650)*W650+SUMPRODUCT((Calc!$A$2:$A$1001=A650)*Calc!$G$2:$G$1001*((((K650+M650)-(L650+Calc!$J$2:$J$1001))&gt;0)*(((K650+M650)-(L650+Calc!$J$2:$J$1001))&lt;Calc!$F$2:$F$1001)*((K650+M650)-(L650+Calc!$J$2:$J$1001))+(((K650+M650)-(L650+Calc!$J$2:$J$1001))&gt;=Calc!$F$2:$F$1001)*Calc!$F$2:$F$1001))))</f>
        <v/>
      </c>
      <c r="R650">
        <f>IF(I650=0,0,(MIN(MAX((K650+N650),0),L650)*W650+SUMPRODUCT((Calc!$A$2:$A$1001=A650)*Calc!$G$2:$G$1001*((((K650+N650)-(L650+Calc!$J$2:$J$1001))&gt;0)*(((K650+N650)-(L650+Calc!$J$2:$J$1001))&lt;Calc!$F$2:$F$1001)*((K650+N650)-(L650+Calc!$J$2:$J$1001))+(((K650+N650)-(L650+Calc!$J$2:$J$1001))&gt;=Calc!$F$2:$F$1001)*Calc!$F$2:$F$1001))))</f>
        <v/>
      </c>
      <c r="S650">
        <f>IF(I650=0,0,(MIN(MAX((K650+O650),0),L650)*W650+SUMPRODUCT((Calc!$A$2:$A$1001=A650)*Calc!$G$2:$G$1001*((((K650+O650)-(L650+Calc!$J$2:$J$1001))&gt;0)*(((K650+O650)-(L650+Calc!$J$2:$J$1001))&lt;Calc!$F$2:$F$1001)*((K650+O650)-(L650+Calc!$J$2:$J$1001))+(((K650+O650)-(L650+Calc!$J$2:$J$1001))&gt;=Calc!$F$2:$F$1001)*Calc!$F$2:$F$1001))))</f>
        <v/>
      </c>
      <c r="T650">
        <f>IF(AND(E650=1,B650="RETURN"),Transactions!E650*Transactions!G650,0)</f>
        <v/>
      </c>
      <c r="U650">
        <f>IF(AND(E650=1,B650="EXPENSE"),Transactions!J650,0)</f>
        <v/>
      </c>
      <c r="V650">
        <f>IF(AND(Transactions!A650&lt;&gt;"",E650=0),ROW(),"")</f>
        <v/>
      </c>
      <c r="W650">
        <f>IFERROR(VLOOKUP(A650,Opening!$A:$D,4,0),0)</f>
        <v/>
      </c>
    </row>
    <row r="651">
      <c r="A651">
        <f>IF(Transactions!D651="","",UPPER(TRIM(Transactions!D651)))</f>
        <v/>
      </c>
      <c r="B651">
        <f>IF(Transactions!C651="","",UPPER(TRIM(Transactions!C651)))</f>
        <v/>
      </c>
      <c r="C651">
        <f>IF(Transactions!B651="",0,YEAR(Transactions!B651)*100+MONTH(Transactions!B651))</f>
        <v/>
      </c>
      <c r="D651">
        <f>IF(Transactions!A651="",1,IF(COUNTIF(Transactions!$A$1:A650,Transactions!A651)&gt;0,1,0))</f>
        <v/>
      </c>
      <c r="E651">
        <f>IF(D651=1,0,IF(B651="RETURN",IF(COUNTIFS($A$1:A650,A651,$B$1:B650,"SALE",$E$1:E650,1)&gt;0,1,0),1))</f>
        <v/>
      </c>
      <c r="F651">
        <f>IF(E651=1,IF(B651="RECEIPT",Transactions!E651,IF(AND(B651="RETURN",LOWER(TRIM(Transactions!H651))="resellable"),Transactions!E651,0)),0)</f>
        <v/>
      </c>
      <c r="G651">
        <f>IF(F651&gt;0,IF(B651="RECEIPT",Transactions!F651,IF(_xlfn.MAXIFS($H$2:H651,$A$2:A651,A651)&gt;0,INDEX(Transactions!$F:$F,_xlfn.MAXIFS($H$2:H651,$A$2:A651,A651)),W651)),0)</f>
        <v/>
      </c>
      <c r="H651">
        <f>IF(AND(E651=1,B651="RECEIPT"),ROW(),0)</f>
        <v/>
      </c>
      <c r="I651">
        <f>IF(E651=1,IF(OR(B651="SALE",B651="WRITEOFF"),Transactions!E651,0),0)</f>
        <v/>
      </c>
      <c r="J651">
        <f>SUMIFS($F$1:F650,$A$1:A650,A651)</f>
        <v/>
      </c>
      <c r="K651">
        <f>SUMIFS($I$1:I650,$A$1:A650,A651)</f>
        <v/>
      </c>
      <c r="L651">
        <f>IFERROR(VLOOKUP(A651,Opening!$A:$C,3,0),0)</f>
        <v/>
      </c>
      <c r="M651">
        <f>IF(I651=0,0,MAX(0,MIN(INDEX(Month!H$2:H$13,MATCH($A651,Month!$A$2:$A$13,0))-K651,I651)))</f>
        <v/>
      </c>
      <c r="N651">
        <f>IF(I651=0,0,MAX(0,MIN(INDEX(Month!I$2:I$13,MATCH($A651,Month!$A$2:$A$13,0))-K651,I651)))</f>
        <v/>
      </c>
      <c r="O651">
        <f>IF(I651=0,0,MAX(0,MIN(INDEX(Month!J$2:J$13,MATCH($A651,Month!$A$2:$A$13,0))-K651,I651)))</f>
        <v/>
      </c>
      <c r="P651">
        <f>IF(I651=0,0,(MIN(MAX(K651,0),L651)*W651+SUMPRODUCT((Calc!$A$2:$A$1001=A651)*Calc!$G$2:$G$1001*(((K651-(L651+Calc!$J$2:$J$1001))&gt;0)*((K651-(L651+Calc!$J$2:$J$1001))&lt;Calc!$F$2:$F$1001)*(K651-(L651+Calc!$J$2:$J$1001))+((K651-(L651+Calc!$J$2:$J$1001))&gt;=Calc!$F$2:$F$1001)*Calc!$F$2:$F$1001))))</f>
        <v/>
      </c>
      <c r="Q651">
        <f>IF(I651=0,0,(MIN(MAX((K651+M651),0),L651)*W651+SUMPRODUCT((Calc!$A$2:$A$1001=A651)*Calc!$G$2:$G$1001*((((K651+M651)-(L651+Calc!$J$2:$J$1001))&gt;0)*(((K651+M651)-(L651+Calc!$J$2:$J$1001))&lt;Calc!$F$2:$F$1001)*((K651+M651)-(L651+Calc!$J$2:$J$1001))+(((K651+M651)-(L651+Calc!$J$2:$J$1001))&gt;=Calc!$F$2:$F$1001)*Calc!$F$2:$F$1001))))</f>
        <v/>
      </c>
      <c r="R651">
        <f>IF(I651=0,0,(MIN(MAX((K651+N651),0),L651)*W651+SUMPRODUCT((Calc!$A$2:$A$1001=A651)*Calc!$G$2:$G$1001*((((K651+N651)-(L651+Calc!$J$2:$J$1001))&gt;0)*(((K651+N651)-(L651+Calc!$J$2:$J$1001))&lt;Calc!$F$2:$F$1001)*((K651+N651)-(L651+Calc!$J$2:$J$1001))+(((K651+N651)-(L651+Calc!$J$2:$J$1001))&gt;=Calc!$F$2:$F$1001)*Calc!$F$2:$F$1001))))</f>
        <v/>
      </c>
      <c r="S651">
        <f>IF(I651=0,0,(MIN(MAX((K651+O651),0),L651)*W651+SUMPRODUCT((Calc!$A$2:$A$1001=A651)*Calc!$G$2:$G$1001*((((K651+O651)-(L651+Calc!$J$2:$J$1001))&gt;0)*(((K651+O651)-(L651+Calc!$J$2:$J$1001))&lt;Calc!$F$2:$F$1001)*((K651+O651)-(L651+Calc!$J$2:$J$1001))+(((K651+O651)-(L651+Calc!$J$2:$J$1001))&gt;=Calc!$F$2:$F$1001)*Calc!$F$2:$F$1001))))</f>
        <v/>
      </c>
      <c r="T651">
        <f>IF(AND(E651=1,B651="RETURN"),Transactions!E651*Transactions!G651,0)</f>
        <v/>
      </c>
      <c r="U651">
        <f>IF(AND(E651=1,B651="EXPENSE"),Transactions!J651,0)</f>
        <v/>
      </c>
      <c r="V651">
        <f>IF(AND(Transactions!A651&lt;&gt;"",E651=0),ROW(),"")</f>
        <v/>
      </c>
      <c r="W651">
        <f>IFERROR(VLOOKUP(A651,Opening!$A:$D,4,0),0)</f>
        <v/>
      </c>
    </row>
    <row r="652">
      <c r="A652">
        <f>IF(Transactions!D652="","",UPPER(TRIM(Transactions!D652)))</f>
        <v/>
      </c>
      <c r="B652">
        <f>IF(Transactions!C652="","",UPPER(TRIM(Transactions!C652)))</f>
        <v/>
      </c>
      <c r="C652">
        <f>IF(Transactions!B652="",0,YEAR(Transactions!B652)*100+MONTH(Transactions!B652))</f>
        <v/>
      </c>
      <c r="D652">
        <f>IF(Transactions!A652="",1,IF(COUNTIF(Transactions!$A$1:A651,Transactions!A652)&gt;0,1,0))</f>
        <v/>
      </c>
      <c r="E652">
        <f>IF(D652=1,0,IF(B652="RETURN",IF(COUNTIFS($A$1:A651,A652,$B$1:B651,"SALE",$E$1:E651,1)&gt;0,1,0),1))</f>
        <v/>
      </c>
      <c r="F652">
        <f>IF(E652=1,IF(B652="RECEIPT",Transactions!E652,IF(AND(B652="RETURN",LOWER(TRIM(Transactions!H652))="resellable"),Transactions!E652,0)),0)</f>
        <v/>
      </c>
      <c r="G652">
        <f>IF(F652&gt;0,IF(B652="RECEIPT",Transactions!F652,IF(_xlfn.MAXIFS($H$2:H652,$A$2:A652,A652)&gt;0,INDEX(Transactions!$F:$F,_xlfn.MAXIFS($H$2:H652,$A$2:A652,A652)),W652)),0)</f>
        <v/>
      </c>
      <c r="H652">
        <f>IF(AND(E652=1,B652="RECEIPT"),ROW(),0)</f>
        <v/>
      </c>
      <c r="I652">
        <f>IF(E652=1,IF(OR(B652="SALE",B652="WRITEOFF"),Transactions!E652,0),0)</f>
        <v/>
      </c>
      <c r="J652">
        <f>SUMIFS($F$1:F651,$A$1:A651,A652)</f>
        <v/>
      </c>
      <c r="K652">
        <f>SUMIFS($I$1:I651,$A$1:A651,A652)</f>
        <v/>
      </c>
      <c r="L652">
        <f>IFERROR(VLOOKUP(A652,Opening!$A:$C,3,0),0)</f>
        <v/>
      </c>
      <c r="M652">
        <f>IF(I652=0,0,MAX(0,MIN(INDEX(Month!H$2:H$13,MATCH($A652,Month!$A$2:$A$13,0))-K652,I652)))</f>
        <v/>
      </c>
      <c r="N652">
        <f>IF(I652=0,0,MAX(0,MIN(INDEX(Month!I$2:I$13,MATCH($A652,Month!$A$2:$A$13,0))-K652,I652)))</f>
        <v/>
      </c>
      <c r="O652">
        <f>IF(I652=0,0,MAX(0,MIN(INDEX(Month!J$2:J$13,MATCH($A652,Month!$A$2:$A$13,0))-K652,I652)))</f>
        <v/>
      </c>
      <c r="P652">
        <f>IF(I652=0,0,(MIN(MAX(K652,0),L652)*W652+SUMPRODUCT((Calc!$A$2:$A$1001=A652)*Calc!$G$2:$G$1001*(((K652-(L652+Calc!$J$2:$J$1001))&gt;0)*((K652-(L652+Calc!$J$2:$J$1001))&lt;Calc!$F$2:$F$1001)*(K652-(L652+Calc!$J$2:$J$1001))+((K652-(L652+Calc!$J$2:$J$1001))&gt;=Calc!$F$2:$F$1001)*Calc!$F$2:$F$1001))))</f>
        <v/>
      </c>
      <c r="Q652">
        <f>IF(I652=0,0,(MIN(MAX((K652+M652),0),L652)*W652+SUMPRODUCT((Calc!$A$2:$A$1001=A652)*Calc!$G$2:$G$1001*((((K652+M652)-(L652+Calc!$J$2:$J$1001))&gt;0)*(((K652+M652)-(L652+Calc!$J$2:$J$1001))&lt;Calc!$F$2:$F$1001)*((K652+M652)-(L652+Calc!$J$2:$J$1001))+(((K652+M652)-(L652+Calc!$J$2:$J$1001))&gt;=Calc!$F$2:$F$1001)*Calc!$F$2:$F$1001))))</f>
        <v/>
      </c>
      <c r="R652">
        <f>IF(I652=0,0,(MIN(MAX((K652+N652),0),L652)*W652+SUMPRODUCT((Calc!$A$2:$A$1001=A652)*Calc!$G$2:$G$1001*((((K652+N652)-(L652+Calc!$J$2:$J$1001))&gt;0)*(((K652+N652)-(L652+Calc!$J$2:$J$1001))&lt;Calc!$F$2:$F$1001)*((K652+N652)-(L652+Calc!$J$2:$J$1001))+(((K652+N652)-(L652+Calc!$J$2:$J$1001))&gt;=Calc!$F$2:$F$1001)*Calc!$F$2:$F$1001))))</f>
        <v/>
      </c>
      <c r="S652">
        <f>IF(I652=0,0,(MIN(MAX((K652+O652),0),L652)*W652+SUMPRODUCT((Calc!$A$2:$A$1001=A652)*Calc!$G$2:$G$1001*((((K652+O652)-(L652+Calc!$J$2:$J$1001))&gt;0)*(((K652+O652)-(L652+Calc!$J$2:$J$1001))&lt;Calc!$F$2:$F$1001)*((K652+O652)-(L652+Calc!$J$2:$J$1001))+(((K652+O652)-(L652+Calc!$J$2:$J$1001))&gt;=Calc!$F$2:$F$1001)*Calc!$F$2:$F$1001))))</f>
        <v/>
      </c>
      <c r="T652">
        <f>IF(AND(E652=1,B652="RETURN"),Transactions!E652*Transactions!G652,0)</f>
        <v/>
      </c>
      <c r="U652">
        <f>IF(AND(E652=1,B652="EXPENSE"),Transactions!J652,0)</f>
        <v/>
      </c>
      <c r="V652">
        <f>IF(AND(Transactions!A652&lt;&gt;"",E652=0),ROW(),"")</f>
        <v/>
      </c>
      <c r="W652">
        <f>IFERROR(VLOOKUP(A652,Opening!$A:$D,4,0),0)</f>
        <v/>
      </c>
    </row>
    <row r="653">
      <c r="A653">
        <f>IF(Transactions!D653="","",UPPER(TRIM(Transactions!D653)))</f>
        <v/>
      </c>
      <c r="B653">
        <f>IF(Transactions!C653="","",UPPER(TRIM(Transactions!C653)))</f>
        <v/>
      </c>
      <c r="C653">
        <f>IF(Transactions!B653="",0,YEAR(Transactions!B653)*100+MONTH(Transactions!B653))</f>
        <v/>
      </c>
      <c r="D653">
        <f>IF(Transactions!A653="",1,IF(COUNTIF(Transactions!$A$1:A652,Transactions!A653)&gt;0,1,0))</f>
        <v/>
      </c>
      <c r="E653">
        <f>IF(D653=1,0,IF(B653="RETURN",IF(COUNTIFS($A$1:A652,A653,$B$1:B652,"SALE",$E$1:E652,1)&gt;0,1,0),1))</f>
        <v/>
      </c>
      <c r="F653">
        <f>IF(E653=1,IF(B653="RECEIPT",Transactions!E653,IF(AND(B653="RETURN",LOWER(TRIM(Transactions!H653))="resellable"),Transactions!E653,0)),0)</f>
        <v/>
      </c>
      <c r="G653">
        <f>IF(F653&gt;0,IF(B653="RECEIPT",Transactions!F653,IF(_xlfn.MAXIFS($H$2:H653,$A$2:A653,A653)&gt;0,INDEX(Transactions!$F:$F,_xlfn.MAXIFS($H$2:H653,$A$2:A653,A653)),W653)),0)</f>
        <v/>
      </c>
      <c r="H653">
        <f>IF(AND(E653=1,B653="RECEIPT"),ROW(),0)</f>
        <v/>
      </c>
      <c r="I653">
        <f>IF(E653=1,IF(OR(B653="SALE",B653="WRITEOFF"),Transactions!E653,0),0)</f>
        <v/>
      </c>
      <c r="J653">
        <f>SUMIFS($F$1:F652,$A$1:A652,A653)</f>
        <v/>
      </c>
      <c r="K653">
        <f>SUMIFS($I$1:I652,$A$1:A652,A653)</f>
        <v/>
      </c>
      <c r="L653">
        <f>IFERROR(VLOOKUP(A653,Opening!$A:$C,3,0),0)</f>
        <v/>
      </c>
      <c r="M653">
        <f>IF(I653=0,0,MAX(0,MIN(INDEX(Month!H$2:H$13,MATCH($A653,Month!$A$2:$A$13,0))-K653,I653)))</f>
        <v/>
      </c>
      <c r="N653">
        <f>IF(I653=0,0,MAX(0,MIN(INDEX(Month!I$2:I$13,MATCH($A653,Month!$A$2:$A$13,0))-K653,I653)))</f>
        <v/>
      </c>
      <c r="O653">
        <f>IF(I653=0,0,MAX(0,MIN(INDEX(Month!J$2:J$13,MATCH($A653,Month!$A$2:$A$13,0))-K653,I653)))</f>
        <v/>
      </c>
      <c r="P653">
        <f>IF(I653=0,0,(MIN(MAX(K653,0),L653)*W653+SUMPRODUCT((Calc!$A$2:$A$1001=A653)*Calc!$G$2:$G$1001*(((K653-(L653+Calc!$J$2:$J$1001))&gt;0)*((K653-(L653+Calc!$J$2:$J$1001))&lt;Calc!$F$2:$F$1001)*(K653-(L653+Calc!$J$2:$J$1001))+((K653-(L653+Calc!$J$2:$J$1001))&gt;=Calc!$F$2:$F$1001)*Calc!$F$2:$F$1001))))</f>
        <v/>
      </c>
      <c r="Q653">
        <f>IF(I653=0,0,(MIN(MAX((K653+M653),0),L653)*W653+SUMPRODUCT((Calc!$A$2:$A$1001=A653)*Calc!$G$2:$G$1001*((((K653+M653)-(L653+Calc!$J$2:$J$1001))&gt;0)*(((K653+M653)-(L653+Calc!$J$2:$J$1001))&lt;Calc!$F$2:$F$1001)*((K653+M653)-(L653+Calc!$J$2:$J$1001))+(((K653+M653)-(L653+Calc!$J$2:$J$1001))&gt;=Calc!$F$2:$F$1001)*Calc!$F$2:$F$1001))))</f>
        <v/>
      </c>
      <c r="R653">
        <f>IF(I653=0,0,(MIN(MAX((K653+N653),0),L653)*W653+SUMPRODUCT((Calc!$A$2:$A$1001=A653)*Calc!$G$2:$G$1001*((((K653+N653)-(L653+Calc!$J$2:$J$1001))&gt;0)*(((K653+N653)-(L653+Calc!$J$2:$J$1001))&lt;Calc!$F$2:$F$1001)*((K653+N653)-(L653+Calc!$J$2:$J$1001))+(((K653+N653)-(L653+Calc!$J$2:$J$1001))&gt;=Calc!$F$2:$F$1001)*Calc!$F$2:$F$1001))))</f>
        <v/>
      </c>
      <c r="S653">
        <f>IF(I653=0,0,(MIN(MAX((K653+O653),0),L653)*W653+SUMPRODUCT((Calc!$A$2:$A$1001=A653)*Calc!$G$2:$G$1001*((((K653+O653)-(L653+Calc!$J$2:$J$1001))&gt;0)*(((K653+O653)-(L653+Calc!$J$2:$J$1001))&lt;Calc!$F$2:$F$1001)*((K653+O653)-(L653+Calc!$J$2:$J$1001))+(((K653+O653)-(L653+Calc!$J$2:$J$1001))&gt;=Calc!$F$2:$F$1001)*Calc!$F$2:$F$1001))))</f>
        <v/>
      </c>
      <c r="T653">
        <f>IF(AND(E653=1,B653="RETURN"),Transactions!E653*Transactions!G653,0)</f>
        <v/>
      </c>
      <c r="U653">
        <f>IF(AND(E653=1,B653="EXPENSE"),Transactions!J653,0)</f>
        <v/>
      </c>
      <c r="V653">
        <f>IF(AND(Transactions!A653&lt;&gt;"",E653=0),ROW(),"")</f>
        <v/>
      </c>
      <c r="W653">
        <f>IFERROR(VLOOKUP(A653,Opening!$A:$D,4,0),0)</f>
        <v/>
      </c>
    </row>
    <row r="654">
      <c r="A654">
        <f>IF(Transactions!D654="","",UPPER(TRIM(Transactions!D654)))</f>
        <v/>
      </c>
      <c r="B654">
        <f>IF(Transactions!C654="","",UPPER(TRIM(Transactions!C654)))</f>
        <v/>
      </c>
      <c r="C654">
        <f>IF(Transactions!B654="",0,YEAR(Transactions!B654)*100+MONTH(Transactions!B654))</f>
        <v/>
      </c>
      <c r="D654">
        <f>IF(Transactions!A654="",1,IF(COUNTIF(Transactions!$A$1:A653,Transactions!A654)&gt;0,1,0))</f>
        <v/>
      </c>
      <c r="E654">
        <f>IF(D654=1,0,IF(B654="RETURN",IF(COUNTIFS($A$1:A653,A654,$B$1:B653,"SALE",$E$1:E653,1)&gt;0,1,0),1))</f>
        <v/>
      </c>
      <c r="F654">
        <f>IF(E654=1,IF(B654="RECEIPT",Transactions!E654,IF(AND(B654="RETURN",LOWER(TRIM(Transactions!H654))="resellable"),Transactions!E654,0)),0)</f>
        <v/>
      </c>
      <c r="G654">
        <f>IF(F654&gt;0,IF(B654="RECEIPT",Transactions!F654,IF(_xlfn.MAXIFS($H$2:H654,$A$2:A654,A654)&gt;0,INDEX(Transactions!$F:$F,_xlfn.MAXIFS($H$2:H654,$A$2:A654,A654)),W654)),0)</f>
        <v/>
      </c>
      <c r="H654">
        <f>IF(AND(E654=1,B654="RECEIPT"),ROW(),0)</f>
        <v/>
      </c>
      <c r="I654">
        <f>IF(E654=1,IF(OR(B654="SALE",B654="WRITEOFF"),Transactions!E654,0),0)</f>
        <v/>
      </c>
      <c r="J654">
        <f>SUMIFS($F$1:F653,$A$1:A653,A654)</f>
        <v/>
      </c>
      <c r="K654">
        <f>SUMIFS($I$1:I653,$A$1:A653,A654)</f>
        <v/>
      </c>
      <c r="L654">
        <f>IFERROR(VLOOKUP(A654,Opening!$A:$C,3,0),0)</f>
        <v/>
      </c>
      <c r="M654">
        <f>IF(I654=0,0,MAX(0,MIN(INDEX(Month!H$2:H$13,MATCH($A654,Month!$A$2:$A$13,0))-K654,I654)))</f>
        <v/>
      </c>
      <c r="N654">
        <f>IF(I654=0,0,MAX(0,MIN(INDEX(Month!I$2:I$13,MATCH($A654,Month!$A$2:$A$13,0))-K654,I654)))</f>
        <v/>
      </c>
      <c r="O654">
        <f>IF(I654=0,0,MAX(0,MIN(INDEX(Month!J$2:J$13,MATCH($A654,Month!$A$2:$A$13,0))-K654,I654)))</f>
        <v/>
      </c>
      <c r="P654">
        <f>IF(I654=0,0,(MIN(MAX(K654,0),L654)*W654+SUMPRODUCT((Calc!$A$2:$A$1001=A654)*Calc!$G$2:$G$1001*(((K654-(L654+Calc!$J$2:$J$1001))&gt;0)*((K654-(L654+Calc!$J$2:$J$1001))&lt;Calc!$F$2:$F$1001)*(K654-(L654+Calc!$J$2:$J$1001))+((K654-(L654+Calc!$J$2:$J$1001))&gt;=Calc!$F$2:$F$1001)*Calc!$F$2:$F$1001))))</f>
        <v/>
      </c>
      <c r="Q654">
        <f>IF(I654=0,0,(MIN(MAX((K654+M654),0),L654)*W654+SUMPRODUCT((Calc!$A$2:$A$1001=A654)*Calc!$G$2:$G$1001*((((K654+M654)-(L654+Calc!$J$2:$J$1001))&gt;0)*(((K654+M654)-(L654+Calc!$J$2:$J$1001))&lt;Calc!$F$2:$F$1001)*((K654+M654)-(L654+Calc!$J$2:$J$1001))+(((K654+M654)-(L654+Calc!$J$2:$J$1001))&gt;=Calc!$F$2:$F$1001)*Calc!$F$2:$F$1001))))</f>
        <v/>
      </c>
      <c r="R654">
        <f>IF(I654=0,0,(MIN(MAX((K654+N654),0),L654)*W654+SUMPRODUCT((Calc!$A$2:$A$1001=A654)*Calc!$G$2:$G$1001*((((K654+N654)-(L654+Calc!$J$2:$J$1001))&gt;0)*(((K654+N654)-(L654+Calc!$J$2:$J$1001))&lt;Calc!$F$2:$F$1001)*((K654+N654)-(L654+Calc!$J$2:$J$1001))+(((K654+N654)-(L654+Calc!$J$2:$J$1001))&gt;=Calc!$F$2:$F$1001)*Calc!$F$2:$F$1001))))</f>
        <v/>
      </c>
      <c r="S654">
        <f>IF(I654=0,0,(MIN(MAX((K654+O654),0),L654)*W654+SUMPRODUCT((Calc!$A$2:$A$1001=A654)*Calc!$G$2:$G$1001*((((K654+O654)-(L654+Calc!$J$2:$J$1001))&gt;0)*(((K654+O654)-(L654+Calc!$J$2:$J$1001))&lt;Calc!$F$2:$F$1001)*((K654+O654)-(L654+Calc!$J$2:$J$1001))+(((K654+O654)-(L654+Calc!$J$2:$J$1001))&gt;=Calc!$F$2:$F$1001)*Calc!$F$2:$F$1001))))</f>
        <v/>
      </c>
      <c r="T654">
        <f>IF(AND(E654=1,B654="RETURN"),Transactions!E654*Transactions!G654,0)</f>
        <v/>
      </c>
      <c r="U654">
        <f>IF(AND(E654=1,B654="EXPENSE"),Transactions!J654,0)</f>
        <v/>
      </c>
      <c r="V654">
        <f>IF(AND(Transactions!A654&lt;&gt;"",E654=0),ROW(),"")</f>
        <v/>
      </c>
      <c r="W654">
        <f>IFERROR(VLOOKUP(A654,Opening!$A:$D,4,0),0)</f>
        <v/>
      </c>
    </row>
    <row r="655">
      <c r="A655">
        <f>IF(Transactions!D655="","",UPPER(TRIM(Transactions!D655)))</f>
        <v/>
      </c>
      <c r="B655">
        <f>IF(Transactions!C655="","",UPPER(TRIM(Transactions!C655)))</f>
        <v/>
      </c>
      <c r="C655">
        <f>IF(Transactions!B655="",0,YEAR(Transactions!B655)*100+MONTH(Transactions!B655))</f>
        <v/>
      </c>
      <c r="D655">
        <f>IF(Transactions!A655="",1,IF(COUNTIF(Transactions!$A$1:A654,Transactions!A655)&gt;0,1,0))</f>
        <v/>
      </c>
      <c r="E655">
        <f>IF(D655=1,0,IF(B655="RETURN",IF(COUNTIFS($A$1:A654,A655,$B$1:B654,"SALE",$E$1:E654,1)&gt;0,1,0),1))</f>
        <v/>
      </c>
      <c r="F655">
        <f>IF(E655=1,IF(B655="RECEIPT",Transactions!E655,IF(AND(B655="RETURN",LOWER(TRIM(Transactions!H655))="resellable"),Transactions!E655,0)),0)</f>
        <v/>
      </c>
      <c r="G655">
        <f>IF(F655&gt;0,IF(B655="RECEIPT",Transactions!F655,IF(_xlfn.MAXIFS($H$2:H655,$A$2:A655,A655)&gt;0,INDEX(Transactions!$F:$F,_xlfn.MAXIFS($H$2:H655,$A$2:A655,A655)),W655)),0)</f>
        <v/>
      </c>
      <c r="H655">
        <f>IF(AND(E655=1,B655="RECEIPT"),ROW(),0)</f>
        <v/>
      </c>
      <c r="I655">
        <f>IF(E655=1,IF(OR(B655="SALE",B655="WRITEOFF"),Transactions!E655,0),0)</f>
        <v/>
      </c>
      <c r="J655">
        <f>SUMIFS($F$1:F654,$A$1:A654,A655)</f>
        <v/>
      </c>
      <c r="K655">
        <f>SUMIFS($I$1:I654,$A$1:A654,A655)</f>
        <v/>
      </c>
      <c r="L655">
        <f>IFERROR(VLOOKUP(A655,Opening!$A:$C,3,0),0)</f>
        <v/>
      </c>
      <c r="M655">
        <f>IF(I655=0,0,MAX(0,MIN(INDEX(Month!H$2:H$13,MATCH($A655,Month!$A$2:$A$13,0))-K655,I655)))</f>
        <v/>
      </c>
      <c r="N655">
        <f>IF(I655=0,0,MAX(0,MIN(INDEX(Month!I$2:I$13,MATCH($A655,Month!$A$2:$A$13,0))-K655,I655)))</f>
        <v/>
      </c>
      <c r="O655">
        <f>IF(I655=0,0,MAX(0,MIN(INDEX(Month!J$2:J$13,MATCH($A655,Month!$A$2:$A$13,0))-K655,I655)))</f>
        <v/>
      </c>
      <c r="P655">
        <f>IF(I655=0,0,(MIN(MAX(K655,0),L655)*W655+SUMPRODUCT((Calc!$A$2:$A$1001=A655)*Calc!$G$2:$G$1001*(((K655-(L655+Calc!$J$2:$J$1001))&gt;0)*((K655-(L655+Calc!$J$2:$J$1001))&lt;Calc!$F$2:$F$1001)*(K655-(L655+Calc!$J$2:$J$1001))+((K655-(L655+Calc!$J$2:$J$1001))&gt;=Calc!$F$2:$F$1001)*Calc!$F$2:$F$1001))))</f>
        <v/>
      </c>
      <c r="Q655">
        <f>IF(I655=0,0,(MIN(MAX((K655+M655),0),L655)*W655+SUMPRODUCT((Calc!$A$2:$A$1001=A655)*Calc!$G$2:$G$1001*((((K655+M655)-(L655+Calc!$J$2:$J$1001))&gt;0)*(((K655+M655)-(L655+Calc!$J$2:$J$1001))&lt;Calc!$F$2:$F$1001)*((K655+M655)-(L655+Calc!$J$2:$J$1001))+(((K655+M655)-(L655+Calc!$J$2:$J$1001))&gt;=Calc!$F$2:$F$1001)*Calc!$F$2:$F$1001))))</f>
        <v/>
      </c>
      <c r="R655">
        <f>IF(I655=0,0,(MIN(MAX((K655+N655),0),L655)*W655+SUMPRODUCT((Calc!$A$2:$A$1001=A655)*Calc!$G$2:$G$1001*((((K655+N655)-(L655+Calc!$J$2:$J$1001))&gt;0)*(((K655+N655)-(L655+Calc!$J$2:$J$1001))&lt;Calc!$F$2:$F$1001)*((K655+N655)-(L655+Calc!$J$2:$J$1001))+(((K655+N655)-(L655+Calc!$J$2:$J$1001))&gt;=Calc!$F$2:$F$1001)*Calc!$F$2:$F$1001))))</f>
        <v/>
      </c>
      <c r="S655">
        <f>IF(I655=0,0,(MIN(MAX((K655+O655),0),L655)*W655+SUMPRODUCT((Calc!$A$2:$A$1001=A655)*Calc!$G$2:$G$1001*((((K655+O655)-(L655+Calc!$J$2:$J$1001))&gt;0)*(((K655+O655)-(L655+Calc!$J$2:$J$1001))&lt;Calc!$F$2:$F$1001)*((K655+O655)-(L655+Calc!$J$2:$J$1001))+(((K655+O655)-(L655+Calc!$J$2:$J$1001))&gt;=Calc!$F$2:$F$1001)*Calc!$F$2:$F$1001))))</f>
        <v/>
      </c>
      <c r="T655">
        <f>IF(AND(E655=1,B655="RETURN"),Transactions!E655*Transactions!G655,0)</f>
        <v/>
      </c>
      <c r="U655">
        <f>IF(AND(E655=1,B655="EXPENSE"),Transactions!J655,0)</f>
        <v/>
      </c>
      <c r="V655">
        <f>IF(AND(Transactions!A655&lt;&gt;"",E655=0),ROW(),"")</f>
        <v/>
      </c>
      <c r="W655">
        <f>IFERROR(VLOOKUP(A655,Opening!$A:$D,4,0),0)</f>
        <v/>
      </c>
    </row>
    <row r="656">
      <c r="A656">
        <f>IF(Transactions!D656="","",UPPER(TRIM(Transactions!D656)))</f>
        <v/>
      </c>
      <c r="B656">
        <f>IF(Transactions!C656="","",UPPER(TRIM(Transactions!C656)))</f>
        <v/>
      </c>
      <c r="C656">
        <f>IF(Transactions!B656="",0,YEAR(Transactions!B656)*100+MONTH(Transactions!B656))</f>
        <v/>
      </c>
      <c r="D656">
        <f>IF(Transactions!A656="",1,IF(COUNTIF(Transactions!$A$1:A655,Transactions!A656)&gt;0,1,0))</f>
        <v/>
      </c>
      <c r="E656">
        <f>IF(D656=1,0,IF(B656="RETURN",IF(COUNTIFS($A$1:A655,A656,$B$1:B655,"SALE",$E$1:E655,1)&gt;0,1,0),1))</f>
        <v/>
      </c>
      <c r="F656">
        <f>IF(E656=1,IF(B656="RECEIPT",Transactions!E656,IF(AND(B656="RETURN",LOWER(TRIM(Transactions!H656))="resellable"),Transactions!E656,0)),0)</f>
        <v/>
      </c>
      <c r="G656">
        <f>IF(F656&gt;0,IF(B656="RECEIPT",Transactions!F656,IF(_xlfn.MAXIFS($H$2:H656,$A$2:A656,A656)&gt;0,INDEX(Transactions!$F:$F,_xlfn.MAXIFS($H$2:H656,$A$2:A656,A656)),W656)),0)</f>
        <v/>
      </c>
      <c r="H656">
        <f>IF(AND(E656=1,B656="RECEIPT"),ROW(),0)</f>
        <v/>
      </c>
      <c r="I656">
        <f>IF(E656=1,IF(OR(B656="SALE",B656="WRITEOFF"),Transactions!E656,0),0)</f>
        <v/>
      </c>
      <c r="J656">
        <f>SUMIFS($F$1:F655,$A$1:A655,A656)</f>
        <v/>
      </c>
      <c r="K656">
        <f>SUMIFS($I$1:I655,$A$1:A655,A656)</f>
        <v/>
      </c>
      <c r="L656">
        <f>IFERROR(VLOOKUP(A656,Opening!$A:$C,3,0),0)</f>
        <v/>
      </c>
      <c r="M656">
        <f>IF(I656=0,0,MAX(0,MIN(INDEX(Month!H$2:H$13,MATCH($A656,Month!$A$2:$A$13,0))-K656,I656)))</f>
        <v/>
      </c>
      <c r="N656">
        <f>IF(I656=0,0,MAX(0,MIN(INDEX(Month!I$2:I$13,MATCH($A656,Month!$A$2:$A$13,0))-K656,I656)))</f>
        <v/>
      </c>
      <c r="O656">
        <f>IF(I656=0,0,MAX(0,MIN(INDEX(Month!J$2:J$13,MATCH($A656,Month!$A$2:$A$13,0))-K656,I656)))</f>
        <v/>
      </c>
      <c r="P656">
        <f>IF(I656=0,0,(MIN(MAX(K656,0),L656)*W656+SUMPRODUCT((Calc!$A$2:$A$1001=A656)*Calc!$G$2:$G$1001*(((K656-(L656+Calc!$J$2:$J$1001))&gt;0)*((K656-(L656+Calc!$J$2:$J$1001))&lt;Calc!$F$2:$F$1001)*(K656-(L656+Calc!$J$2:$J$1001))+((K656-(L656+Calc!$J$2:$J$1001))&gt;=Calc!$F$2:$F$1001)*Calc!$F$2:$F$1001))))</f>
        <v/>
      </c>
      <c r="Q656">
        <f>IF(I656=0,0,(MIN(MAX((K656+M656),0),L656)*W656+SUMPRODUCT((Calc!$A$2:$A$1001=A656)*Calc!$G$2:$G$1001*((((K656+M656)-(L656+Calc!$J$2:$J$1001))&gt;0)*(((K656+M656)-(L656+Calc!$J$2:$J$1001))&lt;Calc!$F$2:$F$1001)*((K656+M656)-(L656+Calc!$J$2:$J$1001))+(((K656+M656)-(L656+Calc!$J$2:$J$1001))&gt;=Calc!$F$2:$F$1001)*Calc!$F$2:$F$1001))))</f>
        <v/>
      </c>
      <c r="R656">
        <f>IF(I656=0,0,(MIN(MAX((K656+N656),0),L656)*W656+SUMPRODUCT((Calc!$A$2:$A$1001=A656)*Calc!$G$2:$G$1001*((((K656+N656)-(L656+Calc!$J$2:$J$1001))&gt;0)*(((K656+N656)-(L656+Calc!$J$2:$J$1001))&lt;Calc!$F$2:$F$1001)*((K656+N656)-(L656+Calc!$J$2:$J$1001))+(((K656+N656)-(L656+Calc!$J$2:$J$1001))&gt;=Calc!$F$2:$F$1001)*Calc!$F$2:$F$1001))))</f>
        <v/>
      </c>
      <c r="S656">
        <f>IF(I656=0,0,(MIN(MAX((K656+O656),0),L656)*W656+SUMPRODUCT((Calc!$A$2:$A$1001=A656)*Calc!$G$2:$G$1001*((((K656+O656)-(L656+Calc!$J$2:$J$1001))&gt;0)*(((K656+O656)-(L656+Calc!$J$2:$J$1001))&lt;Calc!$F$2:$F$1001)*((K656+O656)-(L656+Calc!$J$2:$J$1001))+(((K656+O656)-(L656+Calc!$J$2:$J$1001))&gt;=Calc!$F$2:$F$1001)*Calc!$F$2:$F$1001))))</f>
        <v/>
      </c>
      <c r="T656">
        <f>IF(AND(E656=1,B656="RETURN"),Transactions!E656*Transactions!G656,0)</f>
        <v/>
      </c>
      <c r="U656">
        <f>IF(AND(E656=1,B656="EXPENSE"),Transactions!J656,0)</f>
        <v/>
      </c>
      <c r="V656">
        <f>IF(AND(Transactions!A656&lt;&gt;"",E656=0),ROW(),"")</f>
        <v/>
      </c>
      <c r="W656">
        <f>IFERROR(VLOOKUP(A656,Opening!$A:$D,4,0),0)</f>
        <v/>
      </c>
    </row>
    <row r="657">
      <c r="A657">
        <f>IF(Transactions!D657="","",UPPER(TRIM(Transactions!D657)))</f>
        <v/>
      </c>
      <c r="B657">
        <f>IF(Transactions!C657="","",UPPER(TRIM(Transactions!C657)))</f>
        <v/>
      </c>
      <c r="C657">
        <f>IF(Transactions!B657="",0,YEAR(Transactions!B657)*100+MONTH(Transactions!B657))</f>
        <v/>
      </c>
      <c r="D657">
        <f>IF(Transactions!A657="",1,IF(COUNTIF(Transactions!$A$1:A656,Transactions!A657)&gt;0,1,0))</f>
        <v/>
      </c>
      <c r="E657">
        <f>IF(D657=1,0,IF(B657="RETURN",IF(COUNTIFS($A$1:A656,A657,$B$1:B656,"SALE",$E$1:E656,1)&gt;0,1,0),1))</f>
        <v/>
      </c>
      <c r="F657">
        <f>IF(E657=1,IF(B657="RECEIPT",Transactions!E657,IF(AND(B657="RETURN",LOWER(TRIM(Transactions!H657))="resellable"),Transactions!E657,0)),0)</f>
        <v/>
      </c>
      <c r="G657">
        <f>IF(F657&gt;0,IF(B657="RECEIPT",Transactions!F657,IF(_xlfn.MAXIFS($H$2:H657,$A$2:A657,A657)&gt;0,INDEX(Transactions!$F:$F,_xlfn.MAXIFS($H$2:H657,$A$2:A657,A657)),W657)),0)</f>
        <v/>
      </c>
      <c r="H657">
        <f>IF(AND(E657=1,B657="RECEIPT"),ROW(),0)</f>
        <v/>
      </c>
      <c r="I657">
        <f>IF(E657=1,IF(OR(B657="SALE",B657="WRITEOFF"),Transactions!E657,0),0)</f>
        <v/>
      </c>
      <c r="J657">
        <f>SUMIFS($F$1:F656,$A$1:A656,A657)</f>
        <v/>
      </c>
      <c r="K657">
        <f>SUMIFS($I$1:I656,$A$1:A656,A657)</f>
        <v/>
      </c>
      <c r="L657">
        <f>IFERROR(VLOOKUP(A657,Opening!$A:$C,3,0),0)</f>
        <v/>
      </c>
      <c r="M657">
        <f>IF(I657=0,0,MAX(0,MIN(INDEX(Month!H$2:H$13,MATCH($A657,Month!$A$2:$A$13,0))-K657,I657)))</f>
        <v/>
      </c>
      <c r="N657">
        <f>IF(I657=0,0,MAX(0,MIN(INDEX(Month!I$2:I$13,MATCH($A657,Month!$A$2:$A$13,0))-K657,I657)))</f>
        <v/>
      </c>
      <c r="O657">
        <f>IF(I657=0,0,MAX(0,MIN(INDEX(Month!J$2:J$13,MATCH($A657,Month!$A$2:$A$13,0))-K657,I657)))</f>
        <v/>
      </c>
      <c r="P657">
        <f>IF(I657=0,0,(MIN(MAX(K657,0),L657)*W657+SUMPRODUCT((Calc!$A$2:$A$1001=A657)*Calc!$G$2:$G$1001*(((K657-(L657+Calc!$J$2:$J$1001))&gt;0)*((K657-(L657+Calc!$J$2:$J$1001))&lt;Calc!$F$2:$F$1001)*(K657-(L657+Calc!$J$2:$J$1001))+((K657-(L657+Calc!$J$2:$J$1001))&gt;=Calc!$F$2:$F$1001)*Calc!$F$2:$F$1001))))</f>
        <v/>
      </c>
      <c r="Q657">
        <f>IF(I657=0,0,(MIN(MAX((K657+M657),0),L657)*W657+SUMPRODUCT((Calc!$A$2:$A$1001=A657)*Calc!$G$2:$G$1001*((((K657+M657)-(L657+Calc!$J$2:$J$1001))&gt;0)*(((K657+M657)-(L657+Calc!$J$2:$J$1001))&lt;Calc!$F$2:$F$1001)*((K657+M657)-(L657+Calc!$J$2:$J$1001))+(((K657+M657)-(L657+Calc!$J$2:$J$1001))&gt;=Calc!$F$2:$F$1001)*Calc!$F$2:$F$1001))))</f>
        <v/>
      </c>
      <c r="R657">
        <f>IF(I657=0,0,(MIN(MAX((K657+N657),0),L657)*W657+SUMPRODUCT((Calc!$A$2:$A$1001=A657)*Calc!$G$2:$G$1001*((((K657+N657)-(L657+Calc!$J$2:$J$1001))&gt;0)*(((K657+N657)-(L657+Calc!$J$2:$J$1001))&lt;Calc!$F$2:$F$1001)*((K657+N657)-(L657+Calc!$J$2:$J$1001))+(((K657+N657)-(L657+Calc!$J$2:$J$1001))&gt;=Calc!$F$2:$F$1001)*Calc!$F$2:$F$1001))))</f>
        <v/>
      </c>
      <c r="S657">
        <f>IF(I657=0,0,(MIN(MAX((K657+O657),0),L657)*W657+SUMPRODUCT((Calc!$A$2:$A$1001=A657)*Calc!$G$2:$G$1001*((((K657+O657)-(L657+Calc!$J$2:$J$1001))&gt;0)*(((K657+O657)-(L657+Calc!$J$2:$J$1001))&lt;Calc!$F$2:$F$1001)*((K657+O657)-(L657+Calc!$J$2:$J$1001))+(((K657+O657)-(L657+Calc!$J$2:$J$1001))&gt;=Calc!$F$2:$F$1001)*Calc!$F$2:$F$1001))))</f>
        <v/>
      </c>
      <c r="T657">
        <f>IF(AND(E657=1,B657="RETURN"),Transactions!E657*Transactions!G657,0)</f>
        <v/>
      </c>
      <c r="U657">
        <f>IF(AND(E657=1,B657="EXPENSE"),Transactions!J657,0)</f>
        <v/>
      </c>
      <c r="V657">
        <f>IF(AND(Transactions!A657&lt;&gt;"",E657=0),ROW(),"")</f>
        <v/>
      </c>
      <c r="W657">
        <f>IFERROR(VLOOKUP(A657,Opening!$A:$D,4,0),0)</f>
        <v/>
      </c>
    </row>
    <row r="658">
      <c r="A658">
        <f>IF(Transactions!D658="","",UPPER(TRIM(Transactions!D658)))</f>
        <v/>
      </c>
      <c r="B658">
        <f>IF(Transactions!C658="","",UPPER(TRIM(Transactions!C658)))</f>
        <v/>
      </c>
      <c r="C658">
        <f>IF(Transactions!B658="",0,YEAR(Transactions!B658)*100+MONTH(Transactions!B658))</f>
        <v/>
      </c>
      <c r="D658">
        <f>IF(Transactions!A658="",1,IF(COUNTIF(Transactions!$A$1:A657,Transactions!A658)&gt;0,1,0))</f>
        <v/>
      </c>
      <c r="E658">
        <f>IF(D658=1,0,IF(B658="RETURN",IF(COUNTIFS($A$1:A657,A658,$B$1:B657,"SALE",$E$1:E657,1)&gt;0,1,0),1))</f>
        <v/>
      </c>
      <c r="F658">
        <f>IF(E658=1,IF(B658="RECEIPT",Transactions!E658,IF(AND(B658="RETURN",LOWER(TRIM(Transactions!H658))="resellable"),Transactions!E658,0)),0)</f>
        <v/>
      </c>
      <c r="G658">
        <f>IF(F658&gt;0,IF(B658="RECEIPT",Transactions!F658,IF(_xlfn.MAXIFS($H$2:H658,$A$2:A658,A658)&gt;0,INDEX(Transactions!$F:$F,_xlfn.MAXIFS($H$2:H658,$A$2:A658,A658)),W658)),0)</f>
        <v/>
      </c>
      <c r="H658">
        <f>IF(AND(E658=1,B658="RECEIPT"),ROW(),0)</f>
        <v/>
      </c>
      <c r="I658">
        <f>IF(E658=1,IF(OR(B658="SALE",B658="WRITEOFF"),Transactions!E658,0),0)</f>
        <v/>
      </c>
      <c r="J658">
        <f>SUMIFS($F$1:F657,$A$1:A657,A658)</f>
        <v/>
      </c>
      <c r="K658">
        <f>SUMIFS($I$1:I657,$A$1:A657,A658)</f>
        <v/>
      </c>
      <c r="L658">
        <f>IFERROR(VLOOKUP(A658,Opening!$A:$C,3,0),0)</f>
        <v/>
      </c>
      <c r="M658">
        <f>IF(I658=0,0,MAX(0,MIN(INDEX(Month!H$2:H$13,MATCH($A658,Month!$A$2:$A$13,0))-K658,I658)))</f>
        <v/>
      </c>
      <c r="N658">
        <f>IF(I658=0,0,MAX(0,MIN(INDEX(Month!I$2:I$13,MATCH($A658,Month!$A$2:$A$13,0))-K658,I658)))</f>
        <v/>
      </c>
      <c r="O658">
        <f>IF(I658=0,0,MAX(0,MIN(INDEX(Month!J$2:J$13,MATCH($A658,Month!$A$2:$A$13,0))-K658,I658)))</f>
        <v/>
      </c>
      <c r="P658">
        <f>IF(I658=0,0,(MIN(MAX(K658,0),L658)*W658+SUMPRODUCT((Calc!$A$2:$A$1001=A658)*Calc!$G$2:$G$1001*(((K658-(L658+Calc!$J$2:$J$1001))&gt;0)*((K658-(L658+Calc!$J$2:$J$1001))&lt;Calc!$F$2:$F$1001)*(K658-(L658+Calc!$J$2:$J$1001))+((K658-(L658+Calc!$J$2:$J$1001))&gt;=Calc!$F$2:$F$1001)*Calc!$F$2:$F$1001))))</f>
        <v/>
      </c>
      <c r="Q658">
        <f>IF(I658=0,0,(MIN(MAX((K658+M658),0),L658)*W658+SUMPRODUCT((Calc!$A$2:$A$1001=A658)*Calc!$G$2:$G$1001*((((K658+M658)-(L658+Calc!$J$2:$J$1001))&gt;0)*(((K658+M658)-(L658+Calc!$J$2:$J$1001))&lt;Calc!$F$2:$F$1001)*((K658+M658)-(L658+Calc!$J$2:$J$1001))+(((K658+M658)-(L658+Calc!$J$2:$J$1001))&gt;=Calc!$F$2:$F$1001)*Calc!$F$2:$F$1001))))</f>
        <v/>
      </c>
      <c r="R658">
        <f>IF(I658=0,0,(MIN(MAX((K658+N658),0),L658)*W658+SUMPRODUCT((Calc!$A$2:$A$1001=A658)*Calc!$G$2:$G$1001*((((K658+N658)-(L658+Calc!$J$2:$J$1001))&gt;0)*(((K658+N658)-(L658+Calc!$J$2:$J$1001))&lt;Calc!$F$2:$F$1001)*((K658+N658)-(L658+Calc!$J$2:$J$1001))+(((K658+N658)-(L658+Calc!$J$2:$J$1001))&gt;=Calc!$F$2:$F$1001)*Calc!$F$2:$F$1001))))</f>
        <v/>
      </c>
      <c r="S658">
        <f>IF(I658=0,0,(MIN(MAX((K658+O658),0),L658)*W658+SUMPRODUCT((Calc!$A$2:$A$1001=A658)*Calc!$G$2:$G$1001*((((K658+O658)-(L658+Calc!$J$2:$J$1001))&gt;0)*(((K658+O658)-(L658+Calc!$J$2:$J$1001))&lt;Calc!$F$2:$F$1001)*((K658+O658)-(L658+Calc!$J$2:$J$1001))+(((K658+O658)-(L658+Calc!$J$2:$J$1001))&gt;=Calc!$F$2:$F$1001)*Calc!$F$2:$F$1001))))</f>
        <v/>
      </c>
      <c r="T658">
        <f>IF(AND(E658=1,B658="RETURN"),Transactions!E658*Transactions!G658,0)</f>
        <v/>
      </c>
      <c r="U658">
        <f>IF(AND(E658=1,B658="EXPENSE"),Transactions!J658,0)</f>
        <v/>
      </c>
      <c r="V658">
        <f>IF(AND(Transactions!A658&lt;&gt;"",E658=0),ROW(),"")</f>
        <v/>
      </c>
      <c r="W658">
        <f>IFERROR(VLOOKUP(A658,Opening!$A:$D,4,0),0)</f>
        <v/>
      </c>
    </row>
    <row r="659">
      <c r="A659">
        <f>IF(Transactions!D659="","",UPPER(TRIM(Transactions!D659)))</f>
        <v/>
      </c>
      <c r="B659">
        <f>IF(Transactions!C659="","",UPPER(TRIM(Transactions!C659)))</f>
        <v/>
      </c>
      <c r="C659">
        <f>IF(Transactions!B659="",0,YEAR(Transactions!B659)*100+MONTH(Transactions!B659))</f>
        <v/>
      </c>
      <c r="D659">
        <f>IF(Transactions!A659="",1,IF(COUNTIF(Transactions!$A$1:A658,Transactions!A659)&gt;0,1,0))</f>
        <v/>
      </c>
      <c r="E659">
        <f>IF(D659=1,0,IF(B659="RETURN",IF(COUNTIFS($A$1:A658,A659,$B$1:B658,"SALE",$E$1:E658,1)&gt;0,1,0),1))</f>
        <v/>
      </c>
      <c r="F659">
        <f>IF(E659=1,IF(B659="RECEIPT",Transactions!E659,IF(AND(B659="RETURN",LOWER(TRIM(Transactions!H659))="resellable"),Transactions!E659,0)),0)</f>
        <v/>
      </c>
      <c r="G659">
        <f>IF(F659&gt;0,IF(B659="RECEIPT",Transactions!F659,IF(_xlfn.MAXIFS($H$2:H659,$A$2:A659,A659)&gt;0,INDEX(Transactions!$F:$F,_xlfn.MAXIFS($H$2:H659,$A$2:A659,A659)),W659)),0)</f>
        <v/>
      </c>
      <c r="H659">
        <f>IF(AND(E659=1,B659="RECEIPT"),ROW(),0)</f>
        <v/>
      </c>
      <c r="I659">
        <f>IF(E659=1,IF(OR(B659="SALE",B659="WRITEOFF"),Transactions!E659,0),0)</f>
        <v/>
      </c>
      <c r="J659">
        <f>SUMIFS($F$1:F658,$A$1:A658,A659)</f>
        <v/>
      </c>
      <c r="K659">
        <f>SUMIFS($I$1:I658,$A$1:A658,A659)</f>
        <v/>
      </c>
      <c r="L659">
        <f>IFERROR(VLOOKUP(A659,Opening!$A:$C,3,0),0)</f>
        <v/>
      </c>
      <c r="M659">
        <f>IF(I659=0,0,MAX(0,MIN(INDEX(Month!H$2:H$13,MATCH($A659,Month!$A$2:$A$13,0))-K659,I659)))</f>
        <v/>
      </c>
      <c r="N659">
        <f>IF(I659=0,0,MAX(0,MIN(INDEX(Month!I$2:I$13,MATCH($A659,Month!$A$2:$A$13,0))-K659,I659)))</f>
        <v/>
      </c>
      <c r="O659">
        <f>IF(I659=0,0,MAX(0,MIN(INDEX(Month!J$2:J$13,MATCH($A659,Month!$A$2:$A$13,0))-K659,I659)))</f>
        <v/>
      </c>
      <c r="P659">
        <f>IF(I659=0,0,(MIN(MAX(K659,0),L659)*W659+SUMPRODUCT((Calc!$A$2:$A$1001=A659)*Calc!$G$2:$G$1001*(((K659-(L659+Calc!$J$2:$J$1001))&gt;0)*((K659-(L659+Calc!$J$2:$J$1001))&lt;Calc!$F$2:$F$1001)*(K659-(L659+Calc!$J$2:$J$1001))+((K659-(L659+Calc!$J$2:$J$1001))&gt;=Calc!$F$2:$F$1001)*Calc!$F$2:$F$1001))))</f>
        <v/>
      </c>
      <c r="Q659">
        <f>IF(I659=0,0,(MIN(MAX((K659+M659),0),L659)*W659+SUMPRODUCT((Calc!$A$2:$A$1001=A659)*Calc!$G$2:$G$1001*((((K659+M659)-(L659+Calc!$J$2:$J$1001))&gt;0)*(((K659+M659)-(L659+Calc!$J$2:$J$1001))&lt;Calc!$F$2:$F$1001)*((K659+M659)-(L659+Calc!$J$2:$J$1001))+(((K659+M659)-(L659+Calc!$J$2:$J$1001))&gt;=Calc!$F$2:$F$1001)*Calc!$F$2:$F$1001))))</f>
        <v/>
      </c>
      <c r="R659">
        <f>IF(I659=0,0,(MIN(MAX((K659+N659),0),L659)*W659+SUMPRODUCT((Calc!$A$2:$A$1001=A659)*Calc!$G$2:$G$1001*((((K659+N659)-(L659+Calc!$J$2:$J$1001))&gt;0)*(((K659+N659)-(L659+Calc!$J$2:$J$1001))&lt;Calc!$F$2:$F$1001)*((K659+N659)-(L659+Calc!$J$2:$J$1001))+(((K659+N659)-(L659+Calc!$J$2:$J$1001))&gt;=Calc!$F$2:$F$1001)*Calc!$F$2:$F$1001))))</f>
        <v/>
      </c>
      <c r="S659">
        <f>IF(I659=0,0,(MIN(MAX((K659+O659),0),L659)*W659+SUMPRODUCT((Calc!$A$2:$A$1001=A659)*Calc!$G$2:$G$1001*((((K659+O659)-(L659+Calc!$J$2:$J$1001))&gt;0)*(((K659+O659)-(L659+Calc!$J$2:$J$1001))&lt;Calc!$F$2:$F$1001)*((K659+O659)-(L659+Calc!$J$2:$J$1001))+(((K659+O659)-(L659+Calc!$J$2:$J$1001))&gt;=Calc!$F$2:$F$1001)*Calc!$F$2:$F$1001))))</f>
        <v/>
      </c>
      <c r="T659">
        <f>IF(AND(E659=1,B659="RETURN"),Transactions!E659*Transactions!G659,0)</f>
        <v/>
      </c>
      <c r="U659">
        <f>IF(AND(E659=1,B659="EXPENSE"),Transactions!J659,0)</f>
        <v/>
      </c>
      <c r="V659">
        <f>IF(AND(Transactions!A659&lt;&gt;"",E659=0),ROW(),"")</f>
        <v/>
      </c>
      <c r="W659">
        <f>IFERROR(VLOOKUP(A659,Opening!$A:$D,4,0),0)</f>
        <v/>
      </c>
    </row>
    <row r="660">
      <c r="A660">
        <f>IF(Transactions!D660="","",UPPER(TRIM(Transactions!D660)))</f>
        <v/>
      </c>
      <c r="B660">
        <f>IF(Transactions!C660="","",UPPER(TRIM(Transactions!C660)))</f>
        <v/>
      </c>
      <c r="C660">
        <f>IF(Transactions!B660="",0,YEAR(Transactions!B660)*100+MONTH(Transactions!B660))</f>
        <v/>
      </c>
      <c r="D660">
        <f>IF(Transactions!A660="",1,IF(COUNTIF(Transactions!$A$1:A659,Transactions!A660)&gt;0,1,0))</f>
        <v/>
      </c>
      <c r="E660">
        <f>IF(D660=1,0,IF(B660="RETURN",IF(COUNTIFS($A$1:A659,A660,$B$1:B659,"SALE",$E$1:E659,1)&gt;0,1,0),1))</f>
        <v/>
      </c>
      <c r="F660">
        <f>IF(E660=1,IF(B660="RECEIPT",Transactions!E660,IF(AND(B660="RETURN",LOWER(TRIM(Transactions!H660))="resellable"),Transactions!E660,0)),0)</f>
        <v/>
      </c>
      <c r="G660">
        <f>IF(F660&gt;0,IF(B660="RECEIPT",Transactions!F660,IF(_xlfn.MAXIFS($H$2:H660,$A$2:A660,A660)&gt;0,INDEX(Transactions!$F:$F,_xlfn.MAXIFS($H$2:H660,$A$2:A660,A660)),W660)),0)</f>
        <v/>
      </c>
      <c r="H660">
        <f>IF(AND(E660=1,B660="RECEIPT"),ROW(),0)</f>
        <v/>
      </c>
      <c r="I660">
        <f>IF(E660=1,IF(OR(B660="SALE",B660="WRITEOFF"),Transactions!E660,0),0)</f>
        <v/>
      </c>
      <c r="J660">
        <f>SUMIFS($F$1:F659,$A$1:A659,A660)</f>
        <v/>
      </c>
      <c r="K660">
        <f>SUMIFS($I$1:I659,$A$1:A659,A660)</f>
        <v/>
      </c>
      <c r="L660">
        <f>IFERROR(VLOOKUP(A660,Opening!$A:$C,3,0),0)</f>
        <v/>
      </c>
      <c r="M660">
        <f>IF(I660=0,0,MAX(0,MIN(INDEX(Month!H$2:H$13,MATCH($A660,Month!$A$2:$A$13,0))-K660,I660)))</f>
        <v/>
      </c>
      <c r="N660">
        <f>IF(I660=0,0,MAX(0,MIN(INDEX(Month!I$2:I$13,MATCH($A660,Month!$A$2:$A$13,0))-K660,I660)))</f>
        <v/>
      </c>
      <c r="O660">
        <f>IF(I660=0,0,MAX(0,MIN(INDEX(Month!J$2:J$13,MATCH($A660,Month!$A$2:$A$13,0))-K660,I660)))</f>
        <v/>
      </c>
      <c r="P660">
        <f>IF(I660=0,0,(MIN(MAX(K660,0),L660)*W660+SUMPRODUCT((Calc!$A$2:$A$1001=A660)*Calc!$G$2:$G$1001*(((K660-(L660+Calc!$J$2:$J$1001))&gt;0)*((K660-(L660+Calc!$J$2:$J$1001))&lt;Calc!$F$2:$F$1001)*(K660-(L660+Calc!$J$2:$J$1001))+((K660-(L660+Calc!$J$2:$J$1001))&gt;=Calc!$F$2:$F$1001)*Calc!$F$2:$F$1001))))</f>
        <v/>
      </c>
      <c r="Q660">
        <f>IF(I660=0,0,(MIN(MAX((K660+M660),0),L660)*W660+SUMPRODUCT((Calc!$A$2:$A$1001=A660)*Calc!$G$2:$G$1001*((((K660+M660)-(L660+Calc!$J$2:$J$1001))&gt;0)*(((K660+M660)-(L660+Calc!$J$2:$J$1001))&lt;Calc!$F$2:$F$1001)*((K660+M660)-(L660+Calc!$J$2:$J$1001))+(((K660+M660)-(L660+Calc!$J$2:$J$1001))&gt;=Calc!$F$2:$F$1001)*Calc!$F$2:$F$1001))))</f>
        <v/>
      </c>
      <c r="R660">
        <f>IF(I660=0,0,(MIN(MAX((K660+N660),0),L660)*W660+SUMPRODUCT((Calc!$A$2:$A$1001=A660)*Calc!$G$2:$G$1001*((((K660+N660)-(L660+Calc!$J$2:$J$1001))&gt;0)*(((K660+N660)-(L660+Calc!$J$2:$J$1001))&lt;Calc!$F$2:$F$1001)*((K660+N660)-(L660+Calc!$J$2:$J$1001))+(((K660+N660)-(L660+Calc!$J$2:$J$1001))&gt;=Calc!$F$2:$F$1001)*Calc!$F$2:$F$1001))))</f>
        <v/>
      </c>
      <c r="S660">
        <f>IF(I660=0,0,(MIN(MAX((K660+O660),0),L660)*W660+SUMPRODUCT((Calc!$A$2:$A$1001=A660)*Calc!$G$2:$G$1001*((((K660+O660)-(L660+Calc!$J$2:$J$1001))&gt;0)*(((K660+O660)-(L660+Calc!$J$2:$J$1001))&lt;Calc!$F$2:$F$1001)*((K660+O660)-(L660+Calc!$J$2:$J$1001))+(((K660+O660)-(L660+Calc!$J$2:$J$1001))&gt;=Calc!$F$2:$F$1001)*Calc!$F$2:$F$1001))))</f>
        <v/>
      </c>
      <c r="T660">
        <f>IF(AND(E660=1,B660="RETURN"),Transactions!E660*Transactions!G660,0)</f>
        <v/>
      </c>
      <c r="U660">
        <f>IF(AND(E660=1,B660="EXPENSE"),Transactions!J660,0)</f>
        <v/>
      </c>
      <c r="V660">
        <f>IF(AND(Transactions!A660&lt;&gt;"",E660=0),ROW(),"")</f>
        <v/>
      </c>
      <c r="W660">
        <f>IFERROR(VLOOKUP(A660,Opening!$A:$D,4,0),0)</f>
        <v/>
      </c>
    </row>
    <row r="661">
      <c r="A661">
        <f>IF(Transactions!D661="","",UPPER(TRIM(Transactions!D661)))</f>
        <v/>
      </c>
      <c r="B661">
        <f>IF(Transactions!C661="","",UPPER(TRIM(Transactions!C661)))</f>
        <v/>
      </c>
      <c r="C661">
        <f>IF(Transactions!B661="",0,YEAR(Transactions!B661)*100+MONTH(Transactions!B661))</f>
        <v/>
      </c>
      <c r="D661">
        <f>IF(Transactions!A661="",1,IF(COUNTIF(Transactions!$A$1:A660,Transactions!A661)&gt;0,1,0))</f>
        <v/>
      </c>
      <c r="E661">
        <f>IF(D661=1,0,IF(B661="RETURN",IF(COUNTIFS($A$1:A660,A661,$B$1:B660,"SALE",$E$1:E660,1)&gt;0,1,0),1))</f>
        <v/>
      </c>
      <c r="F661">
        <f>IF(E661=1,IF(B661="RECEIPT",Transactions!E661,IF(AND(B661="RETURN",LOWER(TRIM(Transactions!H661))="resellable"),Transactions!E661,0)),0)</f>
        <v/>
      </c>
      <c r="G661">
        <f>IF(F661&gt;0,IF(B661="RECEIPT",Transactions!F661,IF(_xlfn.MAXIFS($H$2:H661,$A$2:A661,A661)&gt;0,INDEX(Transactions!$F:$F,_xlfn.MAXIFS($H$2:H661,$A$2:A661,A661)),W661)),0)</f>
        <v/>
      </c>
      <c r="H661">
        <f>IF(AND(E661=1,B661="RECEIPT"),ROW(),0)</f>
        <v/>
      </c>
      <c r="I661">
        <f>IF(E661=1,IF(OR(B661="SALE",B661="WRITEOFF"),Transactions!E661,0),0)</f>
        <v/>
      </c>
      <c r="J661">
        <f>SUMIFS($F$1:F660,$A$1:A660,A661)</f>
        <v/>
      </c>
      <c r="K661">
        <f>SUMIFS($I$1:I660,$A$1:A660,A661)</f>
        <v/>
      </c>
      <c r="L661">
        <f>IFERROR(VLOOKUP(A661,Opening!$A:$C,3,0),0)</f>
        <v/>
      </c>
      <c r="M661">
        <f>IF(I661=0,0,MAX(0,MIN(INDEX(Month!H$2:H$13,MATCH($A661,Month!$A$2:$A$13,0))-K661,I661)))</f>
        <v/>
      </c>
      <c r="N661">
        <f>IF(I661=0,0,MAX(0,MIN(INDEX(Month!I$2:I$13,MATCH($A661,Month!$A$2:$A$13,0))-K661,I661)))</f>
        <v/>
      </c>
      <c r="O661">
        <f>IF(I661=0,0,MAX(0,MIN(INDEX(Month!J$2:J$13,MATCH($A661,Month!$A$2:$A$13,0))-K661,I661)))</f>
        <v/>
      </c>
      <c r="P661">
        <f>IF(I661=0,0,(MIN(MAX(K661,0),L661)*W661+SUMPRODUCT((Calc!$A$2:$A$1001=A661)*Calc!$G$2:$G$1001*(((K661-(L661+Calc!$J$2:$J$1001))&gt;0)*((K661-(L661+Calc!$J$2:$J$1001))&lt;Calc!$F$2:$F$1001)*(K661-(L661+Calc!$J$2:$J$1001))+((K661-(L661+Calc!$J$2:$J$1001))&gt;=Calc!$F$2:$F$1001)*Calc!$F$2:$F$1001))))</f>
        <v/>
      </c>
      <c r="Q661">
        <f>IF(I661=0,0,(MIN(MAX((K661+M661),0),L661)*W661+SUMPRODUCT((Calc!$A$2:$A$1001=A661)*Calc!$G$2:$G$1001*((((K661+M661)-(L661+Calc!$J$2:$J$1001))&gt;0)*(((K661+M661)-(L661+Calc!$J$2:$J$1001))&lt;Calc!$F$2:$F$1001)*((K661+M661)-(L661+Calc!$J$2:$J$1001))+(((K661+M661)-(L661+Calc!$J$2:$J$1001))&gt;=Calc!$F$2:$F$1001)*Calc!$F$2:$F$1001))))</f>
        <v/>
      </c>
      <c r="R661">
        <f>IF(I661=0,0,(MIN(MAX((K661+N661),0),L661)*W661+SUMPRODUCT((Calc!$A$2:$A$1001=A661)*Calc!$G$2:$G$1001*((((K661+N661)-(L661+Calc!$J$2:$J$1001))&gt;0)*(((K661+N661)-(L661+Calc!$J$2:$J$1001))&lt;Calc!$F$2:$F$1001)*((K661+N661)-(L661+Calc!$J$2:$J$1001))+(((K661+N661)-(L661+Calc!$J$2:$J$1001))&gt;=Calc!$F$2:$F$1001)*Calc!$F$2:$F$1001))))</f>
        <v/>
      </c>
      <c r="S661">
        <f>IF(I661=0,0,(MIN(MAX((K661+O661),0),L661)*W661+SUMPRODUCT((Calc!$A$2:$A$1001=A661)*Calc!$G$2:$G$1001*((((K661+O661)-(L661+Calc!$J$2:$J$1001))&gt;0)*(((K661+O661)-(L661+Calc!$J$2:$J$1001))&lt;Calc!$F$2:$F$1001)*((K661+O661)-(L661+Calc!$J$2:$J$1001))+(((K661+O661)-(L661+Calc!$J$2:$J$1001))&gt;=Calc!$F$2:$F$1001)*Calc!$F$2:$F$1001))))</f>
        <v/>
      </c>
      <c r="T661">
        <f>IF(AND(E661=1,B661="RETURN"),Transactions!E661*Transactions!G661,0)</f>
        <v/>
      </c>
      <c r="U661">
        <f>IF(AND(E661=1,B661="EXPENSE"),Transactions!J661,0)</f>
        <v/>
      </c>
      <c r="V661">
        <f>IF(AND(Transactions!A661&lt;&gt;"",E661=0),ROW(),"")</f>
        <v/>
      </c>
      <c r="W661">
        <f>IFERROR(VLOOKUP(A661,Opening!$A:$D,4,0),0)</f>
        <v/>
      </c>
    </row>
    <row r="662">
      <c r="A662">
        <f>IF(Transactions!D662="","",UPPER(TRIM(Transactions!D662)))</f>
        <v/>
      </c>
      <c r="B662">
        <f>IF(Transactions!C662="","",UPPER(TRIM(Transactions!C662)))</f>
        <v/>
      </c>
      <c r="C662">
        <f>IF(Transactions!B662="",0,YEAR(Transactions!B662)*100+MONTH(Transactions!B662))</f>
        <v/>
      </c>
      <c r="D662">
        <f>IF(Transactions!A662="",1,IF(COUNTIF(Transactions!$A$1:A661,Transactions!A662)&gt;0,1,0))</f>
        <v/>
      </c>
      <c r="E662">
        <f>IF(D662=1,0,IF(B662="RETURN",IF(COUNTIFS($A$1:A661,A662,$B$1:B661,"SALE",$E$1:E661,1)&gt;0,1,0),1))</f>
        <v/>
      </c>
      <c r="F662">
        <f>IF(E662=1,IF(B662="RECEIPT",Transactions!E662,IF(AND(B662="RETURN",LOWER(TRIM(Transactions!H662))="resellable"),Transactions!E662,0)),0)</f>
        <v/>
      </c>
      <c r="G662">
        <f>IF(F662&gt;0,IF(B662="RECEIPT",Transactions!F662,IF(_xlfn.MAXIFS($H$2:H662,$A$2:A662,A662)&gt;0,INDEX(Transactions!$F:$F,_xlfn.MAXIFS($H$2:H662,$A$2:A662,A662)),W662)),0)</f>
        <v/>
      </c>
      <c r="H662">
        <f>IF(AND(E662=1,B662="RECEIPT"),ROW(),0)</f>
        <v/>
      </c>
      <c r="I662">
        <f>IF(E662=1,IF(OR(B662="SALE",B662="WRITEOFF"),Transactions!E662,0),0)</f>
        <v/>
      </c>
      <c r="J662">
        <f>SUMIFS($F$1:F661,$A$1:A661,A662)</f>
        <v/>
      </c>
      <c r="K662">
        <f>SUMIFS($I$1:I661,$A$1:A661,A662)</f>
        <v/>
      </c>
      <c r="L662">
        <f>IFERROR(VLOOKUP(A662,Opening!$A:$C,3,0),0)</f>
        <v/>
      </c>
      <c r="M662">
        <f>IF(I662=0,0,MAX(0,MIN(INDEX(Month!H$2:H$13,MATCH($A662,Month!$A$2:$A$13,0))-K662,I662)))</f>
        <v/>
      </c>
      <c r="N662">
        <f>IF(I662=0,0,MAX(0,MIN(INDEX(Month!I$2:I$13,MATCH($A662,Month!$A$2:$A$13,0))-K662,I662)))</f>
        <v/>
      </c>
      <c r="O662">
        <f>IF(I662=0,0,MAX(0,MIN(INDEX(Month!J$2:J$13,MATCH($A662,Month!$A$2:$A$13,0))-K662,I662)))</f>
        <v/>
      </c>
      <c r="P662">
        <f>IF(I662=0,0,(MIN(MAX(K662,0),L662)*W662+SUMPRODUCT((Calc!$A$2:$A$1001=A662)*Calc!$G$2:$G$1001*(((K662-(L662+Calc!$J$2:$J$1001))&gt;0)*((K662-(L662+Calc!$J$2:$J$1001))&lt;Calc!$F$2:$F$1001)*(K662-(L662+Calc!$J$2:$J$1001))+((K662-(L662+Calc!$J$2:$J$1001))&gt;=Calc!$F$2:$F$1001)*Calc!$F$2:$F$1001))))</f>
        <v/>
      </c>
      <c r="Q662">
        <f>IF(I662=0,0,(MIN(MAX((K662+M662),0),L662)*W662+SUMPRODUCT((Calc!$A$2:$A$1001=A662)*Calc!$G$2:$G$1001*((((K662+M662)-(L662+Calc!$J$2:$J$1001))&gt;0)*(((K662+M662)-(L662+Calc!$J$2:$J$1001))&lt;Calc!$F$2:$F$1001)*((K662+M662)-(L662+Calc!$J$2:$J$1001))+(((K662+M662)-(L662+Calc!$J$2:$J$1001))&gt;=Calc!$F$2:$F$1001)*Calc!$F$2:$F$1001))))</f>
        <v/>
      </c>
      <c r="R662">
        <f>IF(I662=0,0,(MIN(MAX((K662+N662),0),L662)*W662+SUMPRODUCT((Calc!$A$2:$A$1001=A662)*Calc!$G$2:$G$1001*((((K662+N662)-(L662+Calc!$J$2:$J$1001))&gt;0)*(((K662+N662)-(L662+Calc!$J$2:$J$1001))&lt;Calc!$F$2:$F$1001)*((K662+N662)-(L662+Calc!$J$2:$J$1001))+(((K662+N662)-(L662+Calc!$J$2:$J$1001))&gt;=Calc!$F$2:$F$1001)*Calc!$F$2:$F$1001))))</f>
        <v/>
      </c>
      <c r="S662">
        <f>IF(I662=0,0,(MIN(MAX((K662+O662),0),L662)*W662+SUMPRODUCT((Calc!$A$2:$A$1001=A662)*Calc!$G$2:$G$1001*((((K662+O662)-(L662+Calc!$J$2:$J$1001))&gt;0)*(((K662+O662)-(L662+Calc!$J$2:$J$1001))&lt;Calc!$F$2:$F$1001)*((K662+O662)-(L662+Calc!$J$2:$J$1001))+(((K662+O662)-(L662+Calc!$J$2:$J$1001))&gt;=Calc!$F$2:$F$1001)*Calc!$F$2:$F$1001))))</f>
        <v/>
      </c>
      <c r="T662">
        <f>IF(AND(E662=1,B662="RETURN"),Transactions!E662*Transactions!G662,0)</f>
        <v/>
      </c>
      <c r="U662">
        <f>IF(AND(E662=1,B662="EXPENSE"),Transactions!J662,0)</f>
        <v/>
      </c>
      <c r="V662">
        <f>IF(AND(Transactions!A662&lt;&gt;"",E662=0),ROW(),"")</f>
        <v/>
      </c>
      <c r="W662">
        <f>IFERROR(VLOOKUP(A662,Opening!$A:$D,4,0),0)</f>
        <v/>
      </c>
    </row>
    <row r="663">
      <c r="A663">
        <f>IF(Transactions!D663="","",UPPER(TRIM(Transactions!D663)))</f>
        <v/>
      </c>
      <c r="B663">
        <f>IF(Transactions!C663="","",UPPER(TRIM(Transactions!C663)))</f>
        <v/>
      </c>
      <c r="C663">
        <f>IF(Transactions!B663="",0,YEAR(Transactions!B663)*100+MONTH(Transactions!B663))</f>
        <v/>
      </c>
      <c r="D663">
        <f>IF(Transactions!A663="",1,IF(COUNTIF(Transactions!$A$1:A662,Transactions!A663)&gt;0,1,0))</f>
        <v/>
      </c>
      <c r="E663">
        <f>IF(D663=1,0,IF(B663="RETURN",IF(COUNTIFS($A$1:A662,A663,$B$1:B662,"SALE",$E$1:E662,1)&gt;0,1,0),1))</f>
        <v/>
      </c>
      <c r="F663">
        <f>IF(E663=1,IF(B663="RECEIPT",Transactions!E663,IF(AND(B663="RETURN",LOWER(TRIM(Transactions!H663))="resellable"),Transactions!E663,0)),0)</f>
        <v/>
      </c>
      <c r="G663">
        <f>IF(F663&gt;0,IF(B663="RECEIPT",Transactions!F663,IF(_xlfn.MAXIFS($H$2:H663,$A$2:A663,A663)&gt;0,INDEX(Transactions!$F:$F,_xlfn.MAXIFS($H$2:H663,$A$2:A663,A663)),W663)),0)</f>
        <v/>
      </c>
      <c r="H663">
        <f>IF(AND(E663=1,B663="RECEIPT"),ROW(),0)</f>
        <v/>
      </c>
      <c r="I663">
        <f>IF(E663=1,IF(OR(B663="SALE",B663="WRITEOFF"),Transactions!E663,0),0)</f>
        <v/>
      </c>
      <c r="J663">
        <f>SUMIFS($F$1:F662,$A$1:A662,A663)</f>
        <v/>
      </c>
      <c r="K663">
        <f>SUMIFS($I$1:I662,$A$1:A662,A663)</f>
        <v/>
      </c>
      <c r="L663">
        <f>IFERROR(VLOOKUP(A663,Opening!$A:$C,3,0),0)</f>
        <v/>
      </c>
      <c r="M663">
        <f>IF(I663=0,0,MAX(0,MIN(INDEX(Month!H$2:H$13,MATCH($A663,Month!$A$2:$A$13,0))-K663,I663)))</f>
        <v/>
      </c>
      <c r="N663">
        <f>IF(I663=0,0,MAX(0,MIN(INDEX(Month!I$2:I$13,MATCH($A663,Month!$A$2:$A$13,0))-K663,I663)))</f>
        <v/>
      </c>
      <c r="O663">
        <f>IF(I663=0,0,MAX(0,MIN(INDEX(Month!J$2:J$13,MATCH($A663,Month!$A$2:$A$13,0))-K663,I663)))</f>
        <v/>
      </c>
      <c r="P663">
        <f>IF(I663=0,0,(MIN(MAX(K663,0),L663)*W663+SUMPRODUCT((Calc!$A$2:$A$1001=A663)*Calc!$G$2:$G$1001*(((K663-(L663+Calc!$J$2:$J$1001))&gt;0)*((K663-(L663+Calc!$J$2:$J$1001))&lt;Calc!$F$2:$F$1001)*(K663-(L663+Calc!$J$2:$J$1001))+((K663-(L663+Calc!$J$2:$J$1001))&gt;=Calc!$F$2:$F$1001)*Calc!$F$2:$F$1001))))</f>
        <v/>
      </c>
      <c r="Q663">
        <f>IF(I663=0,0,(MIN(MAX((K663+M663),0),L663)*W663+SUMPRODUCT((Calc!$A$2:$A$1001=A663)*Calc!$G$2:$G$1001*((((K663+M663)-(L663+Calc!$J$2:$J$1001))&gt;0)*(((K663+M663)-(L663+Calc!$J$2:$J$1001))&lt;Calc!$F$2:$F$1001)*((K663+M663)-(L663+Calc!$J$2:$J$1001))+(((K663+M663)-(L663+Calc!$J$2:$J$1001))&gt;=Calc!$F$2:$F$1001)*Calc!$F$2:$F$1001))))</f>
        <v/>
      </c>
      <c r="R663">
        <f>IF(I663=0,0,(MIN(MAX((K663+N663),0),L663)*W663+SUMPRODUCT((Calc!$A$2:$A$1001=A663)*Calc!$G$2:$G$1001*((((K663+N663)-(L663+Calc!$J$2:$J$1001))&gt;0)*(((K663+N663)-(L663+Calc!$J$2:$J$1001))&lt;Calc!$F$2:$F$1001)*((K663+N663)-(L663+Calc!$J$2:$J$1001))+(((K663+N663)-(L663+Calc!$J$2:$J$1001))&gt;=Calc!$F$2:$F$1001)*Calc!$F$2:$F$1001))))</f>
        <v/>
      </c>
      <c r="S663">
        <f>IF(I663=0,0,(MIN(MAX((K663+O663),0),L663)*W663+SUMPRODUCT((Calc!$A$2:$A$1001=A663)*Calc!$G$2:$G$1001*((((K663+O663)-(L663+Calc!$J$2:$J$1001))&gt;0)*(((K663+O663)-(L663+Calc!$J$2:$J$1001))&lt;Calc!$F$2:$F$1001)*((K663+O663)-(L663+Calc!$J$2:$J$1001))+(((K663+O663)-(L663+Calc!$J$2:$J$1001))&gt;=Calc!$F$2:$F$1001)*Calc!$F$2:$F$1001))))</f>
        <v/>
      </c>
      <c r="T663">
        <f>IF(AND(E663=1,B663="RETURN"),Transactions!E663*Transactions!G663,0)</f>
        <v/>
      </c>
      <c r="U663">
        <f>IF(AND(E663=1,B663="EXPENSE"),Transactions!J663,0)</f>
        <v/>
      </c>
      <c r="V663">
        <f>IF(AND(Transactions!A663&lt;&gt;"",E663=0),ROW(),"")</f>
        <v/>
      </c>
      <c r="W663">
        <f>IFERROR(VLOOKUP(A663,Opening!$A:$D,4,0),0)</f>
        <v/>
      </c>
    </row>
    <row r="664">
      <c r="A664">
        <f>IF(Transactions!D664="","",UPPER(TRIM(Transactions!D664)))</f>
        <v/>
      </c>
      <c r="B664">
        <f>IF(Transactions!C664="","",UPPER(TRIM(Transactions!C664)))</f>
        <v/>
      </c>
      <c r="C664">
        <f>IF(Transactions!B664="",0,YEAR(Transactions!B664)*100+MONTH(Transactions!B664))</f>
        <v/>
      </c>
      <c r="D664">
        <f>IF(Transactions!A664="",1,IF(COUNTIF(Transactions!$A$1:A663,Transactions!A664)&gt;0,1,0))</f>
        <v/>
      </c>
      <c r="E664">
        <f>IF(D664=1,0,IF(B664="RETURN",IF(COUNTIFS($A$1:A663,A664,$B$1:B663,"SALE",$E$1:E663,1)&gt;0,1,0),1))</f>
        <v/>
      </c>
      <c r="F664">
        <f>IF(E664=1,IF(B664="RECEIPT",Transactions!E664,IF(AND(B664="RETURN",LOWER(TRIM(Transactions!H664))="resellable"),Transactions!E664,0)),0)</f>
        <v/>
      </c>
      <c r="G664">
        <f>IF(F664&gt;0,IF(B664="RECEIPT",Transactions!F664,IF(_xlfn.MAXIFS($H$2:H664,$A$2:A664,A664)&gt;0,INDEX(Transactions!$F:$F,_xlfn.MAXIFS($H$2:H664,$A$2:A664,A664)),W664)),0)</f>
        <v/>
      </c>
      <c r="H664">
        <f>IF(AND(E664=1,B664="RECEIPT"),ROW(),0)</f>
        <v/>
      </c>
      <c r="I664">
        <f>IF(E664=1,IF(OR(B664="SALE",B664="WRITEOFF"),Transactions!E664,0),0)</f>
        <v/>
      </c>
      <c r="J664">
        <f>SUMIFS($F$1:F663,$A$1:A663,A664)</f>
        <v/>
      </c>
      <c r="K664">
        <f>SUMIFS($I$1:I663,$A$1:A663,A664)</f>
        <v/>
      </c>
      <c r="L664">
        <f>IFERROR(VLOOKUP(A664,Opening!$A:$C,3,0),0)</f>
        <v/>
      </c>
      <c r="M664">
        <f>IF(I664=0,0,MAX(0,MIN(INDEX(Month!H$2:H$13,MATCH($A664,Month!$A$2:$A$13,0))-K664,I664)))</f>
        <v/>
      </c>
      <c r="N664">
        <f>IF(I664=0,0,MAX(0,MIN(INDEX(Month!I$2:I$13,MATCH($A664,Month!$A$2:$A$13,0))-K664,I664)))</f>
        <v/>
      </c>
      <c r="O664">
        <f>IF(I664=0,0,MAX(0,MIN(INDEX(Month!J$2:J$13,MATCH($A664,Month!$A$2:$A$13,0))-K664,I664)))</f>
        <v/>
      </c>
      <c r="P664">
        <f>IF(I664=0,0,(MIN(MAX(K664,0),L664)*W664+SUMPRODUCT((Calc!$A$2:$A$1001=A664)*Calc!$G$2:$G$1001*(((K664-(L664+Calc!$J$2:$J$1001))&gt;0)*((K664-(L664+Calc!$J$2:$J$1001))&lt;Calc!$F$2:$F$1001)*(K664-(L664+Calc!$J$2:$J$1001))+((K664-(L664+Calc!$J$2:$J$1001))&gt;=Calc!$F$2:$F$1001)*Calc!$F$2:$F$1001))))</f>
        <v/>
      </c>
      <c r="Q664">
        <f>IF(I664=0,0,(MIN(MAX((K664+M664),0),L664)*W664+SUMPRODUCT((Calc!$A$2:$A$1001=A664)*Calc!$G$2:$G$1001*((((K664+M664)-(L664+Calc!$J$2:$J$1001))&gt;0)*(((K664+M664)-(L664+Calc!$J$2:$J$1001))&lt;Calc!$F$2:$F$1001)*((K664+M664)-(L664+Calc!$J$2:$J$1001))+(((K664+M664)-(L664+Calc!$J$2:$J$1001))&gt;=Calc!$F$2:$F$1001)*Calc!$F$2:$F$1001))))</f>
        <v/>
      </c>
      <c r="R664">
        <f>IF(I664=0,0,(MIN(MAX((K664+N664),0),L664)*W664+SUMPRODUCT((Calc!$A$2:$A$1001=A664)*Calc!$G$2:$G$1001*((((K664+N664)-(L664+Calc!$J$2:$J$1001))&gt;0)*(((K664+N664)-(L664+Calc!$J$2:$J$1001))&lt;Calc!$F$2:$F$1001)*((K664+N664)-(L664+Calc!$J$2:$J$1001))+(((K664+N664)-(L664+Calc!$J$2:$J$1001))&gt;=Calc!$F$2:$F$1001)*Calc!$F$2:$F$1001))))</f>
        <v/>
      </c>
      <c r="S664">
        <f>IF(I664=0,0,(MIN(MAX((K664+O664),0),L664)*W664+SUMPRODUCT((Calc!$A$2:$A$1001=A664)*Calc!$G$2:$G$1001*((((K664+O664)-(L664+Calc!$J$2:$J$1001))&gt;0)*(((K664+O664)-(L664+Calc!$J$2:$J$1001))&lt;Calc!$F$2:$F$1001)*((K664+O664)-(L664+Calc!$J$2:$J$1001))+(((K664+O664)-(L664+Calc!$J$2:$J$1001))&gt;=Calc!$F$2:$F$1001)*Calc!$F$2:$F$1001))))</f>
        <v/>
      </c>
      <c r="T664">
        <f>IF(AND(E664=1,B664="RETURN"),Transactions!E664*Transactions!G664,0)</f>
        <v/>
      </c>
      <c r="U664">
        <f>IF(AND(E664=1,B664="EXPENSE"),Transactions!J664,0)</f>
        <v/>
      </c>
      <c r="V664">
        <f>IF(AND(Transactions!A664&lt;&gt;"",E664=0),ROW(),"")</f>
        <v/>
      </c>
      <c r="W664">
        <f>IFERROR(VLOOKUP(A664,Opening!$A:$D,4,0),0)</f>
        <v/>
      </c>
    </row>
    <row r="665">
      <c r="A665">
        <f>IF(Transactions!D665="","",UPPER(TRIM(Transactions!D665)))</f>
        <v/>
      </c>
      <c r="B665">
        <f>IF(Transactions!C665="","",UPPER(TRIM(Transactions!C665)))</f>
        <v/>
      </c>
      <c r="C665">
        <f>IF(Transactions!B665="",0,YEAR(Transactions!B665)*100+MONTH(Transactions!B665))</f>
        <v/>
      </c>
      <c r="D665">
        <f>IF(Transactions!A665="",1,IF(COUNTIF(Transactions!$A$1:A664,Transactions!A665)&gt;0,1,0))</f>
        <v/>
      </c>
      <c r="E665">
        <f>IF(D665=1,0,IF(B665="RETURN",IF(COUNTIFS($A$1:A664,A665,$B$1:B664,"SALE",$E$1:E664,1)&gt;0,1,0),1))</f>
        <v/>
      </c>
      <c r="F665">
        <f>IF(E665=1,IF(B665="RECEIPT",Transactions!E665,IF(AND(B665="RETURN",LOWER(TRIM(Transactions!H665))="resellable"),Transactions!E665,0)),0)</f>
        <v/>
      </c>
      <c r="G665">
        <f>IF(F665&gt;0,IF(B665="RECEIPT",Transactions!F665,IF(_xlfn.MAXIFS($H$2:H665,$A$2:A665,A665)&gt;0,INDEX(Transactions!$F:$F,_xlfn.MAXIFS($H$2:H665,$A$2:A665,A665)),W665)),0)</f>
        <v/>
      </c>
      <c r="H665">
        <f>IF(AND(E665=1,B665="RECEIPT"),ROW(),0)</f>
        <v/>
      </c>
      <c r="I665">
        <f>IF(E665=1,IF(OR(B665="SALE",B665="WRITEOFF"),Transactions!E665,0),0)</f>
        <v/>
      </c>
      <c r="J665">
        <f>SUMIFS($F$1:F664,$A$1:A664,A665)</f>
        <v/>
      </c>
      <c r="K665">
        <f>SUMIFS($I$1:I664,$A$1:A664,A665)</f>
        <v/>
      </c>
      <c r="L665">
        <f>IFERROR(VLOOKUP(A665,Opening!$A:$C,3,0),0)</f>
        <v/>
      </c>
      <c r="M665">
        <f>IF(I665=0,0,MAX(0,MIN(INDEX(Month!H$2:H$13,MATCH($A665,Month!$A$2:$A$13,0))-K665,I665)))</f>
        <v/>
      </c>
      <c r="N665">
        <f>IF(I665=0,0,MAX(0,MIN(INDEX(Month!I$2:I$13,MATCH($A665,Month!$A$2:$A$13,0))-K665,I665)))</f>
        <v/>
      </c>
      <c r="O665">
        <f>IF(I665=0,0,MAX(0,MIN(INDEX(Month!J$2:J$13,MATCH($A665,Month!$A$2:$A$13,0))-K665,I665)))</f>
        <v/>
      </c>
      <c r="P665">
        <f>IF(I665=0,0,(MIN(MAX(K665,0),L665)*W665+SUMPRODUCT((Calc!$A$2:$A$1001=A665)*Calc!$G$2:$G$1001*(((K665-(L665+Calc!$J$2:$J$1001))&gt;0)*((K665-(L665+Calc!$J$2:$J$1001))&lt;Calc!$F$2:$F$1001)*(K665-(L665+Calc!$J$2:$J$1001))+((K665-(L665+Calc!$J$2:$J$1001))&gt;=Calc!$F$2:$F$1001)*Calc!$F$2:$F$1001))))</f>
        <v/>
      </c>
      <c r="Q665">
        <f>IF(I665=0,0,(MIN(MAX((K665+M665),0),L665)*W665+SUMPRODUCT((Calc!$A$2:$A$1001=A665)*Calc!$G$2:$G$1001*((((K665+M665)-(L665+Calc!$J$2:$J$1001))&gt;0)*(((K665+M665)-(L665+Calc!$J$2:$J$1001))&lt;Calc!$F$2:$F$1001)*((K665+M665)-(L665+Calc!$J$2:$J$1001))+(((K665+M665)-(L665+Calc!$J$2:$J$1001))&gt;=Calc!$F$2:$F$1001)*Calc!$F$2:$F$1001))))</f>
        <v/>
      </c>
      <c r="R665">
        <f>IF(I665=0,0,(MIN(MAX((K665+N665),0),L665)*W665+SUMPRODUCT((Calc!$A$2:$A$1001=A665)*Calc!$G$2:$G$1001*((((K665+N665)-(L665+Calc!$J$2:$J$1001))&gt;0)*(((K665+N665)-(L665+Calc!$J$2:$J$1001))&lt;Calc!$F$2:$F$1001)*((K665+N665)-(L665+Calc!$J$2:$J$1001))+(((K665+N665)-(L665+Calc!$J$2:$J$1001))&gt;=Calc!$F$2:$F$1001)*Calc!$F$2:$F$1001))))</f>
        <v/>
      </c>
      <c r="S665">
        <f>IF(I665=0,0,(MIN(MAX((K665+O665),0),L665)*W665+SUMPRODUCT((Calc!$A$2:$A$1001=A665)*Calc!$G$2:$G$1001*((((K665+O665)-(L665+Calc!$J$2:$J$1001))&gt;0)*(((K665+O665)-(L665+Calc!$J$2:$J$1001))&lt;Calc!$F$2:$F$1001)*((K665+O665)-(L665+Calc!$J$2:$J$1001))+(((K665+O665)-(L665+Calc!$J$2:$J$1001))&gt;=Calc!$F$2:$F$1001)*Calc!$F$2:$F$1001))))</f>
        <v/>
      </c>
      <c r="T665">
        <f>IF(AND(E665=1,B665="RETURN"),Transactions!E665*Transactions!G665,0)</f>
        <v/>
      </c>
      <c r="U665">
        <f>IF(AND(E665=1,B665="EXPENSE"),Transactions!J665,0)</f>
        <v/>
      </c>
      <c r="V665">
        <f>IF(AND(Transactions!A665&lt;&gt;"",E665=0),ROW(),"")</f>
        <v/>
      </c>
      <c r="W665">
        <f>IFERROR(VLOOKUP(A665,Opening!$A:$D,4,0),0)</f>
        <v/>
      </c>
    </row>
    <row r="666">
      <c r="A666">
        <f>IF(Transactions!D666="","",UPPER(TRIM(Transactions!D666)))</f>
        <v/>
      </c>
      <c r="B666">
        <f>IF(Transactions!C666="","",UPPER(TRIM(Transactions!C666)))</f>
        <v/>
      </c>
      <c r="C666">
        <f>IF(Transactions!B666="",0,YEAR(Transactions!B666)*100+MONTH(Transactions!B666))</f>
        <v/>
      </c>
      <c r="D666">
        <f>IF(Transactions!A666="",1,IF(COUNTIF(Transactions!$A$1:A665,Transactions!A666)&gt;0,1,0))</f>
        <v/>
      </c>
      <c r="E666">
        <f>IF(D666=1,0,IF(B666="RETURN",IF(COUNTIFS($A$1:A665,A666,$B$1:B665,"SALE",$E$1:E665,1)&gt;0,1,0),1))</f>
        <v/>
      </c>
      <c r="F666">
        <f>IF(E666=1,IF(B666="RECEIPT",Transactions!E666,IF(AND(B666="RETURN",LOWER(TRIM(Transactions!H666))="resellable"),Transactions!E666,0)),0)</f>
        <v/>
      </c>
      <c r="G666">
        <f>IF(F666&gt;0,IF(B666="RECEIPT",Transactions!F666,IF(_xlfn.MAXIFS($H$2:H666,$A$2:A666,A666)&gt;0,INDEX(Transactions!$F:$F,_xlfn.MAXIFS($H$2:H666,$A$2:A666,A666)),W666)),0)</f>
        <v/>
      </c>
      <c r="H666">
        <f>IF(AND(E666=1,B666="RECEIPT"),ROW(),0)</f>
        <v/>
      </c>
      <c r="I666">
        <f>IF(E666=1,IF(OR(B666="SALE",B666="WRITEOFF"),Transactions!E666,0),0)</f>
        <v/>
      </c>
      <c r="J666">
        <f>SUMIFS($F$1:F665,$A$1:A665,A666)</f>
        <v/>
      </c>
      <c r="K666">
        <f>SUMIFS($I$1:I665,$A$1:A665,A666)</f>
        <v/>
      </c>
      <c r="L666">
        <f>IFERROR(VLOOKUP(A666,Opening!$A:$C,3,0),0)</f>
        <v/>
      </c>
      <c r="M666">
        <f>IF(I666=0,0,MAX(0,MIN(INDEX(Month!H$2:H$13,MATCH($A666,Month!$A$2:$A$13,0))-K666,I666)))</f>
        <v/>
      </c>
      <c r="N666">
        <f>IF(I666=0,0,MAX(0,MIN(INDEX(Month!I$2:I$13,MATCH($A666,Month!$A$2:$A$13,0))-K666,I666)))</f>
        <v/>
      </c>
      <c r="O666">
        <f>IF(I666=0,0,MAX(0,MIN(INDEX(Month!J$2:J$13,MATCH($A666,Month!$A$2:$A$13,0))-K666,I666)))</f>
        <v/>
      </c>
      <c r="P666">
        <f>IF(I666=0,0,(MIN(MAX(K666,0),L666)*W666+SUMPRODUCT((Calc!$A$2:$A$1001=A666)*Calc!$G$2:$G$1001*(((K666-(L666+Calc!$J$2:$J$1001))&gt;0)*((K666-(L666+Calc!$J$2:$J$1001))&lt;Calc!$F$2:$F$1001)*(K666-(L666+Calc!$J$2:$J$1001))+((K666-(L666+Calc!$J$2:$J$1001))&gt;=Calc!$F$2:$F$1001)*Calc!$F$2:$F$1001))))</f>
        <v/>
      </c>
      <c r="Q666">
        <f>IF(I666=0,0,(MIN(MAX((K666+M666),0),L666)*W666+SUMPRODUCT((Calc!$A$2:$A$1001=A666)*Calc!$G$2:$G$1001*((((K666+M666)-(L666+Calc!$J$2:$J$1001))&gt;0)*(((K666+M666)-(L666+Calc!$J$2:$J$1001))&lt;Calc!$F$2:$F$1001)*((K666+M666)-(L666+Calc!$J$2:$J$1001))+(((K666+M666)-(L666+Calc!$J$2:$J$1001))&gt;=Calc!$F$2:$F$1001)*Calc!$F$2:$F$1001))))</f>
        <v/>
      </c>
      <c r="R666">
        <f>IF(I666=0,0,(MIN(MAX((K666+N666),0),L666)*W666+SUMPRODUCT((Calc!$A$2:$A$1001=A666)*Calc!$G$2:$G$1001*((((K666+N666)-(L666+Calc!$J$2:$J$1001))&gt;0)*(((K666+N666)-(L666+Calc!$J$2:$J$1001))&lt;Calc!$F$2:$F$1001)*((K666+N666)-(L666+Calc!$J$2:$J$1001))+(((K666+N666)-(L666+Calc!$J$2:$J$1001))&gt;=Calc!$F$2:$F$1001)*Calc!$F$2:$F$1001))))</f>
        <v/>
      </c>
      <c r="S666">
        <f>IF(I666=0,0,(MIN(MAX((K666+O666),0),L666)*W666+SUMPRODUCT((Calc!$A$2:$A$1001=A666)*Calc!$G$2:$G$1001*((((K666+O666)-(L666+Calc!$J$2:$J$1001))&gt;0)*(((K666+O666)-(L666+Calc!$J$2:$J$1001))&lt;Calc!$F$2:$F$1001)*((K666+O666)-(L666+Calc!$J$2:$J$1001))+(((K666+O666)-(L666+Calc!$J$2:$J$1001))&gt;=Calc!$F$2:$F$1001)*Calc!$F$2:$F$1001))))</f>
        <v/>
      </c>
      <c r="T666">
        <f>IF(AND(E666=1,B666="RETURN"),Transactions!E666*Transactions!G666,0)</f>
        <v/>
      </c>
      <c r="U666">
        <f>IF(AND(E666=1,B666="EXPENSE"),Transactions!J666,0)</f>
        <v/>
      </c>
      <c r="V666">
        <f>IF(AND(Transactions!A666&lt;&gt;"",E666=0),ROW(),"")</f>
        <v/>
      </c>
      <c r="W666">
        <f>IFERROR(VLOOKUP(A666,Opening!$A:$D,4,0),0)</f>
        <v/>
      </c>
    </row>
    <row r="667">
      <c r="A667">
        <f>IF(Transactions!D667="","",UPPER(TRIM(Transactions!D667)))</f>
        <v/>
      </c>
      <c r="B667">
        <f>IF(Transactions!C667="","",UPPER(TRIM(Transactions!C667)))</f>
        <v/>
      </c>
      <c r="C667">
        <f>IF(Transactions!B667="",0,YEAR(Transactions!B667)*100+MONTH(Transactions!B667))</f>
        <v/>
      </c>
      <c r="D667">
        <f>IF(Transactions!A667="",1,IF(COUNTIF(Transactions!$A$1:A666,Transactions!A667)&gt;0,1,0))</f>
        <v/>
      </c>
      <c r="E667">
        <f>IF(D667=1,0,IF(B667="RETURN",IF(COUNTIFS($A$1:A666,A667,$B$1:B666,"SALE",$E$1:E666,1)&gt;0,1,0),1))</f>
        <v/>
      </c>
      <c r="F667">
        <f>IF(E667=1,IF(B667="RECEIPT",Transactions!E667,IF(AND(B667="RETURN",LOWER(TRIM(Transactions!H667))="resellable"),Transactions!E667,0)),0)</f>
        <v/>
      </c>
      <c r="G667">
        <f>IF(F667&gt;0,IF(B667="RECEIPT",Transactions!F667,IF(_xlfn.MAXIFS($H$2:H667,$A$2:A667,A667)&gt;0,INDEX(Transactions!$F:$F,_xlfn.MAXIFS($H$2:H667,$A$2:A667,A667)),W667)),0)</f>
        <v/>
      </c>
      <c r="H667">
        <f>IF(AND(E667=1,B667="RECEIPT"),ROW(),0)</f>
        <v/>
      </c>
      <c r="I667">
        <f>IF(E667=1,IF(OR(B667="SALE",B667="WRITEOFF"),Transactions!E667,0),0)</f>
        <v/>
      </c>
      <c r="J667">
        <f>SUMIFS($F$1:F666,$A$1:A666,A667)</f>
        <v/>
      </c>
      <c r="K667">
        <f>SUMIFS($I$1:I666,$A$1:A666,A667)</f>
        <v/>
      </c>
      <c r="L667">
        <f>IFERROR(VLOOKUP(A667,Opening!$A:$C,3,0),0)</f>
        <v/>
      </c>
      <c r="M667">
        <f>IF(I667=0,0,MAX(0,MIN(INDEX(Month!H$2:H$13,MATCH($A667,Month!$A$2:$A$13,0))-K667,I667)))</f>
        <v/>
      </c>
      <c r="N667">
        <f>IF(I667=0,0,MAX(0,MIN(INDEX(Month!I$2:I$13,MATCH($A667,Month!$A$2:$A$13,0))-K667,I667)))</f>
        <v/>
      </c>
      <c r="O667">
        <f>IF(I667=0,0,MAX(0,MIN(INDEX(Month!J$2:J$13,MATCH($A667,Month!$A$2:$A$13,0))-K667,I667)))</f>
        <v/>
      </c>
      <c r="P667">
        <f>IF(I667=0,0,(MIN(MAX(K667,0),L667)*W667+SUMPRODUCT((Calc!$A$2:$A$1001=A667)*Calc!$G$2:$G$1001*(((K667-(L667+Calc!$J$2:$J$1001))&gt;0)*((K667-(L667+Calc!$J$2:$J$1001))&lt;Calc!$F$2:$F$1001)*(K667-(L667+Calc!$J$2:$J$1001))+((K667-(L667+Calc!$J$2:$J$1001))&gt;=Calc!$F$2:$F$1001)*Calc!$F$2:$F$1001))))</f>
        <v/>
      </c>
      <c r="Q667">
        <f>IF(I667=0,0,(MIN(MAX((K667+M667),0),L667)*W667+SUMPRODUCT((Calc!$A$2:$A$1001=A667)*Calc!$G$2:$G$1001*((((K667+M667)-(L667+Calc!$J$2:$J$1001))&gt;0)*(((K667+M667)-(L667+Calc!$J$2:$J$1001))&lt;Calc!$F$2:$F$1001)*((K667+M667)-(L667+Calc!$J$2:$J$1001))+(((K667+M667)-(L667+Calc!$J$2:$J$1001))&gt;=Calc!$F$2:$F$1001)*Calc!$F$2:$F$1001))))</f>
        <v/>
      </c>
      <c r="R667">
        <f>IF(I667=0,0,(MIN(MAX((K667+N667),0),L667)*W667+SUMPRODUCT((Calc!$A$2:$A$1001=A667)*Calc!$G$2:$G$1001*((((K667+N667)-(L667+Calc!$J$2:$J$1001))&gt;0)*(((K667+N667)-(L667+Calc!$J$2:$J$1001))&lt;Calc!$F$2:$F$1001)*((K667+N667)-(L667+Calc!$J$2:$J$1001))+(((K667+N667)-(L667+Calc!$J$2:$J$1001))&gt;=Calc!$F$2:$F$1001)*Calc!$F$2:$F$1001))))</f>
        <v/>
      </c>
      <c r="S667">
        <f>IF(I667=0,0,(MIN(MAX((K667+O667),0),L667)*W667+SUMPRODUCT((Calc!$A$2:$A$1001=A667)*Calc!$G$2:$G$1001*((((K667+O667)-(L667+Calc!$J$2:$J$1001))&gt;0)*(((K667+O667)-(L667+Calc!$J$2:$J$1001))&lt;Calc!$F$2:$F$1001)*((K667+O667)-(L667+Calc!$J$2:$J$1001))+(((K667+O667)-(L667+Calc!$J$2:$J$1001))&gt;=Calc!$F$2:$F$1001)*Calc!$F$2:$F$1001))))</f>
        <v/>
      </c>
      <c r="T667">
        <f>IF(AND(E667=1,B667="RETURN"),Transactions!E667*Transactions!G667,0)</f>
        <v/>
      </c>
      <c r="U667">
        <f>IF(AND(E667=1,B667="EXPENSE"),Transactions!J667,0)</f>
        <v/>
      </c>
      <c r="V667">
        <f>IF(AND(Transactions!A667&lt;&gt;"",E667=0),ROW(),"")</f>
        <v/>
      </c>
      <c r="W667">
        <f>IFERROR(VLOOKUP(A667,Opening!$A:$D,4,0),0)</f>
        <v/>
      </c>
    </row>
    <row r="668">
      <c r="A668">
        <f>IF(Transactions!D668="","",UPPER(TRIM(Transactions!D668)))</f>
        <v/>
      </c>
      <c r="B668">
        <f>IF(Transactions!C668="","",UPPER(TRIM(Transactions!C668)))</f>
        <v/>
      </c>
      <c r="C668">
        <f>IF(Transactions!B668="",0,YEAR(Transactions!B668)*100+MONTH(Transactions!B668))</f>
        <v/>
      </c>
      <c r="D668">
        <f>IF(Transactions!A668="",1,IF(COUNTIF(Transactions!$A$1:A667,Transactions!A668)&gt;0,1,0))</f>
        <v/>
      </c>
      <c r="E668">
        <f>IF(D668=1,0,IF(B668="RETURN",IF(COUNTIFS($A$1:A667,A668,$B$1:B667,"SALE",$E$1:E667,1)&gt;0,1,0),1))</f>
        <v/>
      </c>
      <c r="F668">
        <f>IF(E668=1,IF(B668="RECEIPT",Transactions!E668,IF(AND(B668="RETURN",LOWER(TRIM(Transactions!H668))="resellable"),Transactions!E668,0)),0)</f>
        <v/>
      </c>
      <c r="G668">
        <f>IF(F668&gt;0,IF(B668="RECEIPT",Transactions!F668,IF(_xlfn.MAXIFS($H$2:H668,$A$2:A668,A668)&gt;0,INDEX(Transactions!$F:$F,_xlfn.MAXIFS($H$2:H668,$A$2:A668,A668)),W668)),0)</f>
        <v/>
      </c>
      <c r="H668">
        <f>IF(AND(E668=1,B668="RECEIPT"),ROW(),0)</f>
        <v/>
      </c>
      <c r="I668">
        <f>IF(E668=1,IF(OR(B668="SALE",B668="WRITEOFF"),Transactions!E668,0),0)</f>
        <v/>
      </c>
      <c r="J668">
        <f>SUMIFS($F$1:F667,$A$1:A667,A668)</f>
        <v/>
      </c>
      <c r="K668">
        <f>SUMIFS($I$1:I667,$A$1:A667,A668)</f>
        <v/>
      </c>
      <c r="L668">
        <f>IFERROR(VLOOKUP(A668,Opening!$A:$C,3,0),0)</f>
        <v/>
      </c>
      <c r="M668">
        <f>IF(I668=0,0,MAX(0,MIN(INDEX(Month!H$2:H$13,MATCH($A668,Month!$A$2:$A$13,0))-K668,I668)))</f>
        <v/>
      </c>
      <c r="N668">
        <f>IF(I668=0,0,MAX(0,MIN(INDEX(Month!I$2:I$13,MATCH($A668,Month!$A$2:$A$13,0))-K668,I668)))</f>
        <v/>
      </c>
      <c r="O668">
        <f>IF(I668=0,0,MAX(0,MIN(INDEX(Month!J$2:J$13,MATCH($A668,Month!$A$2:$A$13,0))-K668,I668)))</f>
        <v/>
      </c>
      <c r="P668">
        <f>IF(I668=0,0,(MIN(MAX(K668,0),L668)*W668+SUMPRODUCT((Calc!$A$2:$A$1001=A668)*Calc!$G$2:$G$1001*(((K668-(L668+Calc!$J$2:$J$1001))&gt;0)*((K668-(L668+Calc!$J$2:$J$1001))&lt;Calc!$F$2:$F$1001)*(K668-(L668+Calc!$J$2:$J$1001))+((K668-(L668+Calc!$J$2:$J$1001))&gt;=Calc!$F$2:$F$1001)*Calc!$F$2:$F$1001))))</f>
        <v/>
      </c>
      <c r="Q668">
        <f>IF(I668=0,0,(MIN(MAX((K668+M668),0),L668)*W668+SUMPRODUCT((Calc!$A$2:$A$1001=A668)*Calc!$G$2:$G$1001*((((K668+M668)-(L668+Calc!$J$2:$J$1001))&gt;0)*(((K668+M668)-(L668+Calc!$J$2:$J$1001))&lt;Calc!$F$2:$F$1001)*((K668+M668)-(L668+Calc!$J$2:$J$1001))+(((K668+M668)-(L668+Calc!$J$2:$J$1001))&gt;=Calc!$F$2:$F$1001)*Calc!$F$2:$F$1001))))</f>
        <v/>
      </c>
      <c r="R668">
        <f>IF(I668=0,0,(MIN(MAX((K668+N668),0),L668)*W668+SUMPRODUCT((Calc!$A$2:$A$1001=A668)*Calc!$G$2:$G$1001*((((K668+N668)-(L668+Calc!$J$2:$J$1001))&gt;0)*(((K668+N668)-(L668+Calc!$J$2:$J$1001))&lt;Calc!$F$2:$F$1001)*((K668+N668)-(L668+Calc!$J$2:$J$1001))+(((K668+N668)-(L668+Calc!$J$2:$J$1001))&gt;=Calc!$F$2:$F$1001)*Calc!$F$2:$F$1001))))</f>
        <v/>
      </c>
      <c r="S668">
        <f>IF(I668=0,0,(MIN(MAX((K668+O668),0),L668)*W668+SUMPRODUCT((Calc!$A$2:$A$1001=A668)*Calc!$G$2:$G$1001*((((K668+O668)-(L668+Calc!$J$2:$J$1001))&gt;0)*(((K668+O668)-(L668+Calc!$J$2:$J$1001))&lt;Calc!$F$2:$F$1001)*((K668+O668)-(L668+Calc!$J$2:$J$1001))+(((K668+O668)-(L668+Calc!$J$2:$J$1001))&gt;=Calc!$F$2:$F$1001)*Calc!$F$2:$F$1001))))</f>
        <v/>
      </c>
      <c r="T668">
        <f>IF(AND(E668=1,B668="RETURN"),Transactions!E668*Transactions!G668,0)</f>
        <v/>
      </c>
      <c r="U668">
        <f>IF(AND(E668=1,B668="EXPENSE"),Transactions!J668,0)</f>
        <v/>
      </c>
      <c r="V668">
        <f>IF(AND(Transactions!A668&lt;&gt;"",E668=0),ROW(),"")</f>
        <v/>
      </c>
      <c r="W668">
        <f>IFERROR(VLOOKUP(A668,Opening!$A:$D,4,0),0)</f>
        <v/>
      </c>
    </row>
    <row r="669">
      <c r="A669">
        <f>IF(Transactions!D669="","",UPPER(TRIM(Transactions!D669)))</f>
        <v/>
      </c>
      <c r="B669">
        <f>IF(Transactions!C669="","",UPPER(TRIM(Transactions!C669)))</f>
        <v/>
      </c>
      <c r="C669">
        <f>IF(Transactions!B669="",0,YEAR(Transactions!B669)*100+MONTH(Transactions!B669))</f>
        <v/>
      </c>
      <c r="D669">
        <f>IF(Transactions!A669="",1,IF(COUNTIF(Transactions!$A$1:A668,Transactions!A669)&gt;0,1,0))</f>
        <v/>
      </c>
      <c r="E669">
        <f>IF(D669=1,0,IF(B669="RETURN",IF(COUNTIFS($A$1:A668,A669,$B$1:B668,"SALE",$E$1:E668,1)&gt;0,1,0),1))</f>
        <v/>
      </c>
      <c r="F669">
        <f>IF(E669=1,IF(B669="RECEIPT",Transactions!E669,IF(AND(B669="RETURN",LOWER(TRIM(Transactions!H669))="resellable"),Transactions!E669,0)),0)</f>
        <v/>
      </c>
      <c r="G669">
        <f>IF(F669&gt;0,IF(B669="RECEIPT",Transactions!F669,IF(_xlfn.MAXIFS($H$2:H669,$A$2:A669,A669)&gt;0,INDEX(Transactions!$F:$F,_xlfn.MAXIFS($H$2:H669,$A$2:A669,A669)),W669)),0)</f>
        <v/>
      </c>
      <c r="H669">
        <f>IF(AND(E669=1,B669="RECEIPT"),ROW(),0)</f>
        <v/>
      </c>
      <c r="I669">
        <f>IF(E669=1,IF(OR(B669="SALE",B669="WRITEOFF"),Transactions!E669,0),0)</f>
        <v/>
      </c>
      <c r="J669">
        <f>SUMIFS($F$1:F668,$A$1:A668,A669)</f>
        <v/>
      </c>
      <c r="K669">
        <f>SUMIFS($I$1:I668,$A$1:A668,A669)</f>
        <v/>
      </c>
      <c r="L669">
        <f>IFERROR(VLOOKUP(A669,Opening!$A:$C,3,0),0)</f>
        <v/>
      </c>
      <c r="M669">
        <f>IF(I669=0,0,MAX(0,MIN(INDEX(Month!H$2:H$13,MATCH($A669,Month!$A$2:$A$13,0))-K669,I669)))</f>
        <v/>
      </c>
      <c r="N669">
        <f>IF(I669=0,0,MAX(0,MIN(INDEX(Month!I$2:I$13,MATCH($A669,Month!$A$2:$A$13,0))-K669,I669)))</f>
        <v/>
      </c>
      <c r="O669">
        <f>IF(I669=0,0,MAX(0,MIN(INDEX(Month!J$2:J$13,MATCH($A669,Month!$A$2:$A$13,0))-K669,I669)))</f>
        <v/>
      </c>
      <c r="P669">
        <f>IF(I669=0,0,(MIN(MAX(K669,0),L669)*W669+SUMPRODUCT((Calc!$A$2:$A$1001=A669)*Calc!$G$2:$G$1001*(((K669-(L669+Calc!$J$2:$J$1001))&gt;0)*((K669-(L669+Calc!$J$2:$J$1001))&lt;Calc!$F$2:$F$1001)*(K669-(L669+Calc!$J$2:$J$1001))+((K669-(L669+Calc!$J$2:$J$1001))&gt;=Calc!$F$2:$F$1001)*Calc!$F$2:$F$1001))))</f>
        <v/>
      </c>
      <c r="Q669">
        <f>IF(I669=0,0,(MIN(MAX((K669+M669),0),L669)*W669+SUMPRODUCT((Calc!$A$2:$A$1001=A669)*Calc!$G$2:$G$1001*((((K669+M669)-(L669+Calc!$J$2:$J$1001))&gt;0)*(((K669+M669)-(L669+Calc!$J$2:$J$1001))&lt;Calc!$F$2:$F$1001)*((K669+M669)-(L669+Calc!$J$2:$J$1001))+(((K669+M669)-(L669+Calc!$J$2:$J$1001))&gt;=Calc!$F$2:$F$1001)*Calc!$F$2:$F$1001))))</f>
        <v/>
      </c>
      <c r="R669">
        <f>IF(I669=0,0,(MIN(MAX((K669+N669),0),L669)*W669+SUMPRODUCT((Calc!$A$2:$A$1001=A669)*Calc!$G$2:$G$1001*((((K669+N669)-(L669+Calc!$J$2:$J$1001))&gt;0)*(((K669+N669)-(L669+Calc!$J$2:$J$1001))&lt;Calc!$F$2:$F$1001)*((K669+N669)-(L669+Calc!$J$2:$J$1001))+(((K669+N669)-(L669+Calc!$J$2:$J$1001))&gt;=Calc!$F$2:$F$1001)*Calc!$F$2:$F$1001))))</f>
        <v/>
      </c>
      <c r="S669">
        <f>IF(I669=0,0,(MIN(MAX((K669+O669),0),L669)*W669+SUMPRODUCT((Calc!$A$2:$A$1001=A669)*Calc!$G$2:$G$1001*((((K669+O669)-(L669+Calc!$J$2:$J$1001))&gt;0)*(((K669+O669)-(L669+Calc!$J$2:$J$1001))&lt;Calc!$F$2:$F$1001)*((K669+O669)-(L669+Calc!$J$2:$J$1001))+(((K669+O669)-(L669+Calc!$J$2:$J$1001))&gt;=Calc!$F$2:$F$1001)*Calc!$F$2:$F$1001))))</f>
        <v/>
      </c>
      <c r="T669">
        <f>IF(AND(E669=1,B669="RETURN"),Transactions!E669*Transactions!G669,0)</f>
        <v/>
      </c>
      <c r="U669">
        <f>IF(AND(E669=1,B669="EXPENSE"),Transactions!J669,0)</f>
        <v/>
      </c>
      <c r="V669">
        <f>IF(AND(Transactions!A669&lt;&gt;"",E669=0),ROW(),"")</f>
        <v/>
      </c>
      <c r="W669">
        <f>IFERROR(VLOOKUP(A669,Opening!$A:$D,4,0),0)</f>
        <v/>
      </c>
    </row>
    <row r="670">
      <c r="A670">
        <f>IF(Transactions!D670="","",UPPER(TRIM(Transactions!D670)))</f>
        <v/>
      </c>
      <c r="B670">
        <f>IF(Transactions!C670="","",UPPER(TRIM(Transactions!C670)))</f>
        <v/>
      </c>
      <c r="C670">
        <f>IF(Transactions!B670="",0,YEAR(Transactions!B670)*100+MONTH(Transactions!B670))</f>
        <v/>
      </c>
      <c r="D670">
        <f>IF(Transactions!A670="",1,IF(COUNTIF(Transactions!$A$1:A669,Transactions!A670)&gt;0,1,0))</f>
        <v/>
      </c>
      <c r="E670">
        <f>IF(D670=1,0,IF(B670="RETURN",IF(COUNTIFS($A$1:A669,A670,$B$1:B669,"SALE",$E$1:E669,1)&gt;0,1,0),1))</f>
        <v/>
      </c>
      <c r="F670">
        <f>IF(E670=1,IF(B670="RECEIPT",Transactions!E670,IF(AND(B670="RETURN",LOWER(TRIM(Transactions!H670))="resellable"),Transactions!E670,0)),0)</f>
        <v/>
      </c>
      <c r="G670">
        <f>IF(F670&gt;0,IF(B670="RECEIPT",Transactions!F670,IF(_xlfn.MAXIFS($H$2:H670,$A$2:A670,A670)&gt;0,INDEX(Transactions!$F:$F,_xlfn.MAXIFS($H$2:H670,$A$2:A670,A670)),W670)),0)</f>
        <v/>
      </c>
      <c r="H670">
        <f>IF(AND(E670=1,B670="RECEIPT"),ROW(),0)</f>
        <v/>
      </c>
      <c r="I670">
        <f>IF(E670=1,IF(OR(B670="SALE",B670="WRITEOFF"),Transactions!E670,0),0)</f>
        <v/>
      </c>
      <c r="J670">
        <f>SUMIFS($F$1:F669,$A$1:A669,A670)</f>
        <v/>
      </c>
      <c r="K670">
        <f>SUMIFS($I$1:I669,$A$1:A669,A670)</f>
        <v/>
      </c>
      <c r="L670">
        <f>IFERROR(VLOOKUP(A670,Opening!$A:$C,3,0),0)</f>
        <v/>
      </c>
      <c r="M670">
        <f>IF(I670=0,0,MAX(0,MIN(INDEX(Month!H$2:H$13,MATCH($A670,Month!$A$2:$A$13,0))-K670,I670)))</f>
        <v/>
      </c>
      <c r="N670">
        <f>IF(I670=0,0,MAX(0,MIN(INDEX(Month!I$2:I$13,MATCH($A670,Month!$A$2:$A$13,0))-K670,I670)))</f>
        <v/>
      </c>
      <c r="O670">
        <f>IF(I670=0,0,MAX(0,MIN(INDEX(Month!J$2:J$13,MATCH($A670,Month!$A$2:$A$13,0))-K670,I670)))</f>
        <v/>
      </c>
      <c r="P670">
        <f>IF(I670=0,0,(MIN(MAX(K670,0),L670)*W670+SUMPRODUCT((Calc!$A$2:$A$1001=A670)*Calc!$G$2:$G$1001*(((K670-(L670+Calc!$J$2:$J$1001))&gt;0)*((K670-(L670+Calc!$J$2:$J$1001))&lt;Calc!$F$2:$F$1001)*(K670-(L670+Calc!$J$2:$J$1001))+((K670-(L670+Calc!$J$2:$J$1001))&gt;=Calc!$F$2:$F$1001)*Calc!$F$2:$F$1001))))</f>
        <v/>
      </c>
      <c r="Q670">
        <f>IF(I670=0,0,(MIN(MAX((K670+M670),0),L670)*W670+SUMPRODUCT((Calc!$A$2:$A$1001=A670)*Calc!$G$2:$G$1001*((((K670+M670)-(L670+Calc!$J$2:$J$1001))&gt;0)*(((K670+M670)-(L670+Calc!$J$2:$J$1001))&lt;Calc!$F$2:$F$1001)*((K670+M670)-(L670+Calc!$J$2:$J$1001))+(((K670+M670)-(L670+Calc!$J$2:$J$1001))&gt;=Calc!$F$2:$F$1001)*Calc!$F$2:$F$1001))))</f>
        <v/>
      </c>
      <c r="R670">
        <f>IF(I670=0,0,(MIN(MAX((K670+N670),0),L670)*W670+SUMPRODUCT((Calc!$A$2:$A$1001=A670)*Calc!$G$2:$G$1001*((((K670+N670)-(L670+Calc!$J$2:$J$1001))&gt;0)*(((K670+N670)-(L670+Calc!$J$2:$J$1001))&lt;Calc!$F$2:$F$1001)*((K670+N670)-(L670+Calc!$J$2:$J$1001))+(((K670+N670)-(L670+Calc!$J$2:$J$1001))&gt;=Calc!$F$2:$F$1001)*Calc!$F$2:$F$1001))))</f>
        <v/>
      </c>
      <c r="S670">
        <f>IF(I670=0,0,(MIN(MAX((K670+O670),0),L670)*W670+SUMPRODUCT((Calc!$A$2:$A$1001=A670)*Calc!$G$2:$G$1001*((((K670+O670)-(L670+Calc!$J$2:$J$1001))&gt;0)*(((K670+O670)-(L670+Calc!$J$2:$J$1001))&lt;Calc!$F$2:$F$1001)*((K670+O670)-(L670+Calc!$J$2:$J$1001))+(((K670+O670)-(L670+Calc!$J$2:$J$1001))&gt;=Calc!$F$2:$F$1001)*Calc!$F$2:$F$1001))))</f>
        <v/>
      </c>
      <c r="T670">
        <f>IF(AND(E670=1,B670="RETURN"),Transactions!E670*Transactions!G670,0)</f>
        <v/>
      </c>
      <c r="U670">
        <f>IF(AND(E670=1,B670="EXPENSE"),Transactions!J670,0)</f>
        <v/>
      </c>
      <c r="V670">
        <f>IF(AND(Transactions!A670&lt;&gt;"",E670=0),ROW(),"")</f>
        <v/>
      </c>
      <c r="W670">
        <f>IFERROR(VLOOKUP(A670,Opening!$A:$D,4,0),0)</f>
        <v/>
      </c>
    </row>
    <row r="671">
      <c r="A671">
        <f>IF(Transactions!D671="","",UPPER(TRIM(Transactions!D671)))</f>
        <v/>
      </c>
      <c r="B671">
        <f>IF(Transactions!C671="","",UPPER(TRIM(Transactions!C671)))</f>
        <v/>
      </c>
      <c r="C671">
        <f>IF(Transactions!B671="",0,YEAR(Transactions!B671)*100+MONTH(Transactions!B671))</f>
        <v/>
      </c>
      <c r="D671">
        <f>IF(Transactions!A671="",1,IF(COUNTIF(Transactions!$A$1:A670,Transactions!A671)&gt;0,1,0))</f>
        <v/>
      </c>
      <c r="E671">
        <f>IF(D671=1,0,IF(B671="RETURN",IF(COUNTIFS($A$1:A670,A671,$B$1:B670,"SALE",$E$1:E670,1)&gt;0,1,0),1))</f>
        <v/>
      </c>
      <c r="F671">
        <f>IF(E671=1,IF(B671="RECEIPT",Transactions!E671,IF(AND(B671="RETURN",LOWER(TRIM(Transactions!H671))="resellable"),Transactions!E671,0)),0)</f>
        <v/>
      </c>
      <c r="G671">
        <f>IF(F671&gt;0,IF(B671="RECEIPT",Transactions!F671,IF(_xlfn.MAXIFS($H$2:H671,$A$2:A671,A671)&gt;0,INDEX(Transactions!$F:$F,_xlfn.MAXIFS($H$2:H671,$A$2:A671,A671)),W671)),0)</f>
        <v/>
      </c>
      <c r="H671">
        <f>IF(AND(E671=1,B671="RECEIPT"),ROW(),0)</f>
        <v/>
      </c>
      <c r="I671">
        <f>IF(E671=1,IF(OR(B671="SALE",B671="WRITEOFF"),Transactions!E671,0),0)</f>
        <v/>
      </c>
      <c r="J671">
        <f>SUMIFS($F$1:F670,$A$1:A670,A671)</f>
        <v/>
      </c>
      <c r="K671">
        <f>SUMIFS($I$1:I670,$A$1:A670,A671)</f>
        <v/>
      </c>
      <c r="L671">
        <f>IFERROR(VLOOKUP(A671,Opening!$A:$C,3,0),0)</f>
        <v/>
      </c>
      <c r="M671">
        <f>IF(I671=0,0,MAX(0,MIN(INDEX(Month!H$2:H$13,MATCH($A671,Month!$A$2:$A$13,0))-K671,I671)))</f>
        <v/>
      </c>
      <c r="N671">
        <f>IF(I671=0,0,MAX(0,MIN(INDEX(Month!I$2:I$13,MATCH($A671,Month!$A$2:$A$13,0))-K671,I671)))</f>
        <v/>
      </c>
      <c r="O671">
        <f>IF(I671=0,0,MAX(0,MIN(INDEX(Month!J$2:J$13,MATCH($A671,Month!$A$2:$A$13,0))-K671,I671)))</f>
        <v/>
      </c>
      <c r="P671">
        <f>IF(I671=0,0,(MIN(MAX(K671,0),L671)*W671+SUMPRODUCT((Calc!$A$2:$A$1001=A671)*Calc!$G$2:$G$1001*(((K671-(L671+Calc!$J$2:$J$1001))&gt;0)*((K671-(L671+Calc!$J$2:$J$1001))&lt;Calc!$F$2:$F$1001)*(K671-(L671+Calc!$J$2:$J$1001))+((K671-(L671+Calc!$J$2:$J$1001))&gt;=Calc!$F$2:$F$1001)*Calc!$F$2:$F$1001))))</f>
        <v/>
      </c>
      <c r="Q671">
        <f>IF(I671=0,0,(MIN(MAX((K671+M671),0),L671)*W671+SUMPRODUCT((Calc!$A$2:$A$1001=A671)*Calc!$G$2:$G$1001*((((K671+M671)-(L671+Calc!$J$2:$J$1001))&gt;0)*(((K671+M671)-(L671+Calc!$J$2:$J$1001))&lt;Calc!$F$2:$F$1001)*((K671+M671)-(L671+Calc!$J$2:$J$1001))+(((K671+M671)-(L671+Calc!$J$2:$J$1001))&gt;=Calc!$F$2:$F$1001)*Calc!$F$2:$F$1001))))</f>
        <v/>
      </c>
      <c r="R671">
        <f>IF(I671=0,0,(MIN(MAX((K671+N671),0),L671)*W671+SUMPRODUCT((Calc!$A$2:$A$1001=A671)*Calc!$G$2:$G$1001*((((K671+N671)-(L671+Calc!$J$2:$J$1001))&gt;0)*(((K671+N671)-(L671+Calc!$J$2:$J$1001))&lt;Calc!$F$2:$F$1001)*((K671+N671)-(L671+Calc!$J$2:$J$1001))+(((K671+N671)-(L671+Calc!$J$2:$J$1001))&gt;=Calc!$F$2:$F$1001)*Calc!$F$2:$F$1001))))</f>
        <v/>
      </c>
      <c r="S671">
        <f>IF(I671=0,0,(MIN(MAX((K671+O671),0),L671)*W671+SUMPRODUCT((Calc!$A$2:$A$1001=A671)*Calc!$G$2:$G$1001*((((K671+O671)-(L671+Calc!$J$2:$J$1001))&gt;0)*(((K671+O671)-(L671+Calc!$J$2:$J$1001))&lt;Calc!$F$2:$F$1001)*((K671+O671)-(L671+Calc!$J$2:$J$1001))+(((K671+O671)-(L671+Calc!$J$2:$J$1001))&gt;=Calc!$F$2:$F$1001)*Calc!$F$2:$F$1001))))</f>
        <v/>
      </c>
      <c r="T671">
        <f>IF(AND(E671=1,B671="RETURN"),Transactions!E671*Transactions!G671,0)</f>
        <v/>
      </c>
      <c r="U671">
        <f>IF(AND(E671=1,B671="EXPENSE"),Transactions!J671,0)</f>
        <v/>
      </c>
      <c r="V671">
        <f>IF(AND(Transactions!A671&lt;&gt;"",E671=0),ROW(),"")</f>
        <v/>
      </c>
      <c r="W671">
        <f>IFERROR(VLOOKUP(A671,Opening!$A:$D,4,0),0)</f>
        <v/>
      </c>
    </row>
    <row r="672">
      <c r="A672">
        <f>IF(Transactions!D672="","",UPPER(TRIM(Transactions!D672)))</f>
        <v/>
      </c>
      <c r="B672">
        <f>IF(Transactions!C672="","",UPPER(TRIM(Transactions!C672)))</f>
        <v/>
      </c>
      <c r="C672">
        <f>IF(Transactions!B672="",0,YEAR(Transactions!B672)*100+MONTH(Transactions!B672))</f>
        <v/>
      </c>
      <c r="D672">
        <f>IF(Transactions!A672="",1,IF(COUNTIF(Transactions!$A$1:A671,Transactions!A672)&gt;0,1,0))</f>
        <v/>
      </c>
      <c r="E672">
        <f>IF(D672=1,0,IF(B672="RETURN",IF(COUNTIFS($A$1:A671,A672,$B$1:B671,"SALE",$E$1:E671,1)&gt;0,1,0),1))</f>
        <v/>
      </c>
      <c r="F672">
        <f>IF(E672=1,IF(B672="RECEIPT",Transactions!E672,IF(AND(B672="RETURN",LOWER(TRIM(Transactions!H672))="resellable"),Transactions!E672,0)),0)</f>
        <v/>
      </c>
      <c r="G672">
        <f>IF(F672&gt;0,IF(B672="RECEIPT",Transactions!F672,IF(_xlfn.MAXIFS($H$2:H672,$A$2:A672,A672)&gt;0,INDEX(Transactions!$F:$F,_xlfn.MAXIFS($H$2:H672,$A$2:A672,A672)),W672)),0)</f>
        <v/>
      </c>
      <c r="H672">
        <f>IF(AND(E672=1,B672="RECEIPT"),ROW(),0)</f>
        <v/>
      </c>
      <c r="I672">
        <f>IF(E672=1,IF(OR(B672="SALE",B672="WRITEOFF"),Transactions!E672,0),0)</f>
        <v/>
      </c>
      <c r="J672">
        <f>SUMIFS($F$1:F671,$A$1:A671,A672)</f>
        <v/>
      </c>
      <c r="K672">
        <f>SUMIFS($I$1:I671,$A$1:A671,A672)</f>
        <v/>
      </c>
      <c r="L672">
        <f>IFERROR(VLOOKUP(A672,Opening!$A:$C,3,0),0)</f>
        <v/>
      </c>
      <c r="M672">
        <f>IF(I672=0,0,MAX(0,MIN(INDEX(Month!H$2:H$13,MATCH($A672,Month!$A$2:$A$13,0))-K672,I672)))</f>
        <v/>
      </c>
      <c r="N672">
        <f>IF(I672=0,0,MAX(0,MIN(INDEX(Month!I$2:I$13,MATCH($A672,Month!$A$2:$A$13,0))-K672,I672)))</f>
        <v/>
      </c>
      <c r="O672">
        <f>IF(I672=0,0,MAX(0,MIN(INDEX(Month!J$2:J$13,MATCH($A672,Month!$A$2:$A$13,0))-K672,I672)))</f>
        <v/>
      </c>
      <c r="P672">
        <f>IF(I672=0,0,(MIN(MAX(K672,0),L672)*W672+SUMPRODUCT((Calc!$A$2:$A$1001=A672)*Calc!$G$2:$G$1001*(((K672-(L672+Calc!$J$2:$J$1001))&gt;0)*((K672-(L672+Calc!$J$2:$J$1001))&lt;Calc!$F$2:$F$1001)*(K672-(L672+Calc!$J$2:$J$1001))+((K672-(L672+Calc!$J$2:$J$1001))&gt;=Calc!$F$2:$F$1001)*Calc!$F$2:$F$1001))))</f>
        <v/>
      </c>
      <c r="Q672">
        <f>IF(I672=0,0,(MIN(MAX((K672+M672),0),L672)*W672+SUMPRODUCT((Calc!$A$2:$A$1001=A672)*Calc!$G$2:$G$1001*((((K672+M672)-(L672+Calc!$J$2:$J$1001))&gt;0)*(((K672+M672)-(L672+Calc!$J$2:$J$1001))&lt;Calc!$F$2:$F$1001)*((K672+M672)-(L672+Calc!$J$2:$J$1001))+(((K672+M672)-(L672+Calc!$J$2:$J$1001))&gt;=Calc!$F$2:$F$1001)*Calc!$F$2:$F$1001))))</f>
        <v/>
      </c>
      <c r="R672">
        <f>IF(I672=0,0,(MIN(MAX((K672+N672),0),L672)*W672+SUMPRODUCT((Calc!$A$2:$A$1001=A672)*Calc!$G$2:$G$1001*((((K672+N672)-(L672+Calc!$J$2:$J$1001))&gt;0)*(((K672+N672)-(L672+Calc!$J$2:$J$1001))&lt;Calc!$F$2:$F$1001)*((K672+N672)-(L672+Calc!$J$2:$J$1001))+(((K672+N672)-(L672+Calc!$J$2:$J$1001))&gt;=Calc!$F$2:$F$1001)*Calc!$F$2:$F$1001))))</f>
        <v/>
      </c>
      <c r="S672">
        <f>IF(I672=0,0,(MIN(MAX((K672+O672),0),L672)*W672+SUMPRODUCT((Calc!$A$2:$A$1001=A672)*Calc!$G$2:$G$1001*((((K672+O672)-(L672+Calc!$J$2:$J$1001))&gt;0)*(((K672+O672)-(L672+Calc!$J$2:$J$1001))&lt;Calc!$F$2:$F$1001)*((K672+O672)-(L672+Calc!$J$2:$J$1001))+(((K672+O672)-(L672+Calc!$J$2:$J$1001))&gt;=Calc!$F$2:$F$1001)*Calc!$F$2:$F$1001))))</f>
        <v/>
      </c>
      <c r="T672">
        <f>IF(AND(E672=1,B672="RETURN"),Transactions!E672*Transactions!G672,0)</f>
        <v/>
      </c>
      <c r="U672">
        <f>IF(AND(E672=1,B672="EXPENSE"),Transactions!J672,0)</f>
        <v/>
      </c>
      <c r="V672">
        <f>IF(AND(Transactions!A672&lt;&gt;"",E672=0),ROW(),"")</f>
        <v/>
      </c>
      <c r="W672">
        <f>IFERROR(VLOOKUP(A672,Opening!$A:$D,4,0),0)</f>
        <v/>
      </c>
    </row>
    <row r="673">
      <c r="A673">
        <f>IF(Transactions!D673="","",UPPER(TRIM(Transactions!D673)))</f>
        <v/>
      </c>
      <c r="B673">
        <f>IF(Transactions!C673="","",UPPER(TRIM(Transactions!C673)))</f>
        <v/>
      </c>
      <c r="C673">
        <f>IF(Transactions!B673="",0,YEAR(Transactions!B673)*100+MONTH(Transactions!B673))</f>
        <v/>
      </c>
      <c r="D673">
        <f>IF(Transactions!A673="",1,IF(COUNTIF(Transactions!$A$1:A672,Transactions!A673)&gt;0,1,0))</f>
        <v/>
      </c>
      <c r="E673">
        <f>IF(D673=1,0,IF(B673="RETURN",IF(COUNTIFS($A$1:A672,A673,$B$1:B672,"SALE",$E$1:E672,1)&gt;0,1,0),1))</f>
        <v/>
      </c>
      <c r="F673">
        <f>IF(E673=1,IF(B673="RECEIPT",Transactions!E673,IF(AND(B673="RETURN",LOWER(TRIM(Transactions!H673))="resellable"),Transactions!E673,0)),0)</f>
        <v/>
      </c>
      <c r="G673">
        <f>IF(F673&gt;0,IF(B673="RECEIPT",Transactions!F673,IF(_xlfn.MAXIFS($H$2:H673,$A$2:A673,A673)&gt;0,INDEX(Transactions!$F:$F,_xlfn.MAXIFS($H$2:H673,$A$2:A673,A673)),W673)),0)</f>
        <v/>
      </c>
      <c r="H673">
        <f>IF(AND(E673=1,B673="RECEIPT"),ROW(),0)</f>
        <v/>
      </c>
      <c r="I673">
        <f>IF(E673=1,IF(OR(B673="SALE",B673="WRITEOFF"),Transactions!E673,0),0)</f>
        <v/>
      </c>
      <c r="J673">
        <f>SUMIFS($F$1:F672,$A$1:A672,A673)</f>
        <v/>
      </c>
      <c r="K673">
        <f>SUMIFS($I$1:I672,$A$1:A672,A673)</f>
        <v/>
      </c>
      <c r="L673">
        <f>IFERROR(VLOOKUP(A673,Opening!$A:$C,3,0),0)</f>
        <v/>
      </c>
      <c r="M673">
        <f>IF(I673=0,0,MAX(0,MIN(INDEX(Month!H$2:H$13,MATCH($A673,Month!$A$2:$A$13,0))-K673,I673)))</f>
        <v/>
      </c>
      <c r="N673">
        <f>IF(I673=0,0,MAX(0,MIN(INDEX(Month!I$2:I$13,MATCH($A673,Month!$A$2:$A$13,0))-K673,I673)))</f>
        <v/>
      </c>
      <c r="O673">
        <f>IF(I673=0,0,MAX(0,MIN(INDEX(Month!J$2:J$13,MATCH($A673,Month!$A$2:$A$13,0))-K673,I673)))</f>
        <v/>
      </c>
      <c r="P673">
        <f>IF(I673=0,0,(MIN(MAX(K673,0),L673)*W673+SUMPRODUCT((Calc!$A$2:$A$1001=A673)*Calc!$G$2:$G$1001*(((K673-(L673+Calc!$J$2:$J$1001))&gt;0)*((K673-(L673+Calc!$J$2:$J$1001))&lt;Calc!$F$2:$F$1001)*(K673-(L673+Calc!$J$2:$J$1001))+((K673-(L673+Calc!$J$2:$J$1001))&gt;=Calc!$F$2:$F$1001)*Calc!$F$2:$F$1001))))</f>
        <v/>
      </c>
      <c r="Q673">
        <f>IF(I673=0,0,(MIN(MAX((K673+M673),0),L673)*W673+SUMPRODUCT((Calc!$A$2:$A$1001=A673)*Calc!$G$2:$G$1001*((((K673+M673)-(L673+Calc!$J$2:$J$1001))&gt;0)*(((K673+M673)-(L673+Calc!$J$2:$J$1001))&lt;Calc!$F$2:$F$1001)*((K673+M673)-(L673+Calc!$J$2:$J$1001))+(((K673+M673)-(L673+Calc!$J$2:$J$1001))&gt;=Calc!$F$2:$F$1001)*Calc!$F$2:$F$1001))))</f>
        <v/>
      </c>
      <c r="R673">
        <f>IF(I673=0,0,(MIN(MAX((K673+N673),0),L673)*W673+SUMPRODUCT((Calc!$A$2:$A$1001=A673)*Calc!$G$2:$G$1001*((((K673+N673)-(L673+Calc!$J$2:$J$1001))&gt;0)*(((K673+N673)-(L673+Calc!$J$2:$J$1001))&lt;Calc!$F$2:$F$1001)*((K673+N673)-(L673+Calc!$J$2:$J$1001))+(((K673+N673)-(L673+Calc!$J$2:$J$1001))&gt;=Calc!$F$2:$F$1001)*Calc!$F$2:$F$1001))))</f>
        <v/>
      </c>
      <c r="S673">
        <f>IF(I673=0,0,(MIN(MAX((K673+O673),0),L673)*W673+SUMPRODUCT((Calc!$A$2:$A$1001=A673)*Calc!$G$2:$G$1001*((((K673+O673)-(L673+Calc!$J$2:$J$1001))&gt;0)*(((K673+O673)-(L673+Calc!$J$2:$J$1001))&lt;Calc!$F$2:$F$1001)*((K673+O673)-(L673+Calc!$J$2:$J$1001))+(((K673+O673)-(L673+Calc!$J$2:$J$1001))&gt;=Calc!$F$2:$F$1001)*Calc!$F$2:$F$1001))))</f>
        <v/>
      </c>
      <c r="T673">
        <f>IF(AND(E673=1,B673="RETURN"),Transactions!E673*Transactions!G673,0)</f>
        <v/>
      </c>
      <c r="U673">
        <f>IF(AND(E673=1,B673="EXPENSE"),Transactions!J673,0)</f>
        <v/>
      </c>
      <c r="V673">
        <f>IF(AND(Transactions!A673&lt;&gt;"",E673=0),ROW(),"")</f>
        <v/>
      </c>
      <c r="W673">
        <f>IFERROR(VLOOKUP(A673,Opening!$A:$D,4,0),0)</f>
        <v/>
      </c>
    </row>
    <row r="674">
      <c r="A674">
        <f>IF(Transactions!D674="","",UPPER(TRIM(Transactions!D674)))</f>
        <v/>
      </c>
      <c r="B674">
        <f>IF(Transactions!C674="","",UPPER(TRIM(Transactions!C674)))</f>
        <v/>
      </c>
      <c r="C674">
        <f>IF(Transactions!B674="",0,YEAR(Transactions!B674)*100+MONTH(Transactions!B674))</f>
        <v/>
      </c>
      <c r="D674">
        <f>IF(Transactions!A674="",1,IF(COUNTIF(Transactions!$A$1:A673,Transactions!A674)&gt;0,1,0))</f>
        <v/>
      </c>
      <c r="E674">
        <f>IF(D674=1,0,IF(B674="RETURN",IF(COUNTIFS($A$1:A673,A674,$B$1:B673,"SALE",$E$1:E673,1)&gt;0,1,0),1))</f>
        <v/>
      </c>
      <c r="F674">
        <f>IF(E674=1,IF(B674="RECEIPT",Transactions!E674,IF(AND(B674="RETURN",LOWER(TRIM(Transactions!H674))="resellable"),Transactions!E674,0)),0)</f>
        <v/>
      </c>
      <c r="G674">
        <f>IF(F674&gt;0,IF(B674="RECEIPT",Transactions!F674,IF(_xlfn.MAXIFS($H$2:H674,$A$2:A674,A674)&gt;0,INDEX(Transactions!$F:$F,_xlfn.MAXIFS($H$2:H674,$A$2:A674,A674)),W674)),0)</f>
        <v/>
      </c>
      <c r="H674">
        <f>IF(AND(E674=1,B674="RECEIPT"),ROW(),0)</f>
        <v/>
      </c>
      <c r="I674">
        <f>IF(E674=1,IF(OR(B674="SALE",B674="WRITEOFF"),Transactions!E674,0),0)</f>
        <v/>
      </c>
      <c r="J674">
        <f>SUMIFS($F$1:F673,$A$1:A673,A674)</f>
        <v/>
      </c>
      <c r="K674">
        <f>SUMIFS($I$1:I673,$A$1:A673,A674)</f>
        <v/>
      </c>
      <c r="L674">
        <f>IFERROR(VLOOKUP(A674,Opening!$A:$C,3,0),0)</f>
        <v/>
      </c>
      <c r="M674">
        <f>IF(I674=0,0,MAX(0,MIN(INDEX(Month!H$2:H$13,MATCH($A674,Month!$A$2:$A$13,0))-K674,I674)))</f>
        <v/>
      </c>
      <c r="N674">
        <f>IF(I674=0,0,MAX(0,MIN(INDEX(Month!I$2:I$13,MATCH($A674,Month!$A$2:$A$13,0))-K674,I674)))</f>
        <v/>
      </c>
      <c r="O674">
        <f>IF(I674=0,0,MAX(0,MIN(INDEX(Month!J$2:J$13,MATCH($A674,Month!$A$2:$A$13,0))-K674,I674)))</f>
        <v/>
      </c>
      <c r="P674">
        <f>IF(I674=0,0,(MIN(MAX(K674,0),L674)*W674+SUMPRODUCT((Calc!$A$2:$A$1001=A674)*Calc!$G$2:$G$1001*(((K674-(L674+Calc!$J$2:$J$1001))&gt;0)*((K674-(L674+Calc!$J$2:$J$1001))&lt;Calc!$F$2:$F$1001)*(K674-(L674+Calc!$J$2:$J$1001))+((K674-(L674+Calc!$J$2:$J$1001))&gt;=Calc!$F$2:$F$1001)*Calc!$F$2:$F$1001))))</f>
        <v/>
      </c>
      <c r="Q674">
        <f>IF(I674=0,0,(MIN(MAX((K674+M674),0),L674)*W674+SUMPRODUCT((Calc!$A$2:$A$1001=A674)*Calc!$G$2:$G$1001*((((K674+M674)-(L674+Calc!$J$2:$J$1001))&gt;0)*(((K674+M674)-(L674+Calc!$J$2:$J$1001))&lt;Calc!$F$2:$F$1001)*((K674+M674)-(L674+Calc!$J$2:$J$1001))+(((K674+M674)-(L674+Calc!$J$2:$J$1001))&gt;=Calc!$F$2:$F$1001)*Calc!$F$2:$F$1001))))</f>
        <v/>
      </c>
      <c r="R674">
        <f>IF(I674=0,0,(MIN(MAX((K674+N674),0),L674)*W674+SUMPRODUCT((Calc!$A$2:$A$1001=A674)*Calc!$G$2:$G$1001*((((K674+N674)-(L674+Calc!$J$2:$J$1001))&gt;0)*(((K674+N674)-(L674+Calc!$J$2:$J$1001))&lt;Calc!$F$2:$F$1001)*((K674+N674)-(L674+Calc!$J$2:$J$1001))+(((K674+N674)-(L674+Calc!$J$2:$J$1001))&gt;=Calc!$F$2:$F$1001)*Calc!$F$2:$F$1001))))</f>
        <v/>
      </c>
      <c r="S674">
        <f>IF(I674=0,0,(MIN(MAX((K674+O674),0),L674)*W674+SUMPRODUCT((Calc!$A$2:$A$1001=A674)*Calc!$G$2:$G$1001*((((K674+O674)-(L674+Calc!$J$2:$J$1001))&gt;0)*(((K674+O674)-(L674+Calc!$J$2:$J$1001))&lt;Calc!$F$2:$F$1001)*((K674+O674)-(L674+Calc!$J$2:$J$1001))+(((K674+O674)-(L674+Calc!$J$2:$J$1001))&gt;=Calc!$F$2:$F$1001)*Calc!$F$2:$F$1001))))</f>
        <v/>
      </c>
      <c r="T674">
        <f>IF(AND(E674=1,B674="RETURN"),Transactions!E674*Transactions!G674,0)</f>
        <v/>
      </c>
      <c r="U674">
        <f>IF(AND(E674=1,B674="EXPENSE"),Transactions!J674,0)</f>
        <v/>
      </c>
      <c r="V674">
        <f>IF(AND(Transactions!A674&lt;&gt;"",E674=0),ROW(),"")</f>
        <v/>
      </c>
      <c r="W674">
        <f>IFERROR(VLOOKUP(A674,Opening!$A:$D,4,0),0)</f>
        <v/>
      </c>
    </row>
    <row r="675">
      <c r="A675">
        <f>IF(Transactions!D675="","",UPPER(TRIM(Transactions!D675)))</f>
        <v/>
      </c>
      <c r="B675">
        <f>IF(Transactions!C675="","",UPPER(TRIM(Transactions!C675)))</f>
        <v/>
      </c>
      <c r="C675">
        <f>IF(Transactions!B675="",0,YEAR(Transactions!B675)*100+MONTH(Transactions!B675))</f>
        <v/>
      </c>
      <c r="D675">
        <f>IF(Transactions!A675="",1,IF(COUNTIF(Transactions!$A$1:A674,Transactions!A675)&gt;0,1,0))</f>
        <v/>
      </c>
      <c r="E675">
        <f>IF(D675=1,0,IF(B675="RETURN",IF(COUNTIFS($A$1:A674,A675,$B$1:B674,"SALE",$E$1:E674,1)&gt;0,1,0),1))</f>
        <v/>
      </c>
      <c r="F675">
        <f>IF(E675=1,IF(B675="RECEIPT",Transactions!E675,IF(AND(B675="RETURN",LOWER(TRIM(Transactions!H675))="resellable"),Transactions!E675,0)),0)</f>
        <v/>
      </c>
      <c r="G675">
        <f>IF(F675&gt;0,IF(B675="RECEIPT",Transactions!F675,IF(_xlfn.MAXIFS($H$2:H675,$A$2:A675,A675)&gt;0,INDEX(Transactions!$F:$F,_xlfn.MAXIFS($H$2:H675,$A$2:A675,A675)),W675)),0)</f>
        <v/>
      </c>
      <c r="H675">
        <f>IF(AND(E675=1,B675="RECEIPT"),ROW(),0)</f>
        <v/>
      </c>
      <c r="I675">
        <f>IF(E675=1,IF(OR(B675="SALE",B675="WRITEOFF"),Transactions!E675,0),0)</f>
        <v/>
      </c>
      <c r="J675">
        <f>SUMIFS($F$1:F674,$A$1:A674,A675)</f>
        <v/>
      </c>
      <c r="K675">
        <f>SUMIFS($I$1:I674,$A$1:A674,A675)</f>
        <v/>
      </c>
      <c r="L675">
        <f>IFERROR(VLOOKUP(A675,Opening!$A:$C,3,0),0)</f>
        <v/>
      </c>
      <c r="M675">
        <f>IF(I675=0,0,MAX(0,MIN(INDEX(Month!H$2:H$13,MATCH($A675,Month!$A$2:$A$13,0))-K675,I675)))</f>
        <v/>
      </c>
      <c r="N675">
        <f>IF(I675=0,0,MAX(0,MIN(INDEX(Month!I$2:I$13,MATCH($A675,Month!$A$2:$A$13,0))-K675,I675)))</f>
        <v/>
      </c>
      <c r="O675">
        <f>IF(I675=0,0,MAX(0,MIN(INDEX(Month!J$2:J$13,MATCH($A675,Month!$A$2:$A$13,0))-K675,I675)))</f>
        <v/>
      </c>
      <c r="P675">
        <f>IF(I675=0,0,(MIN(MAX(K675,0),L675)*W675+SUMPRODUCT((Calc!$A$2:$A$1001=A675)*Calc!$G$2:$G$1001*(((K675-(L675+Calc!$J$2:$J$1001))&gt;0)*((K675-(L675+Calc!$J$2:$J$1001))&lt;Calc!$F$2:$F$1001)*(K675-(L675+Calc!$J$2:$J$1001))+((K675-(L675+Calc!$J$2:$J$1001))&gt;=Calc!$F$2:$F$1001)*Calc!$F$2:$F$1001))))</f>
        <v/>
      </c>
      <c r="Q675">
        <f>IF(I675=0,0,(MIN(MAX((K675+M675),0),L675)*W675+SUMPRODUCT((Calc!$A$2:$A$1001=A675)*Calc!$G$2:$G$1001*((((K675+M675)-(L675+Calc!$J$2:$J$1001))&gt;0)*(((K675+M675)-(L675+Calc!$J$2:$J$1001))&lt;Calc!$F$2:$F$1001)*((K675+M675)-(L675+Calc!$J$2:$J$1001))+(((K675+M675)-(L675+Calc!$J$2:$J$1001))&gt;=Calc!$F$2:$F$1001)*Calc!$F$2:$F$1001))))</f>
        <v/>
      </c>
      <c r="R675">
        <f>IF(I675=0,0,(MIN(MAX((K675+N675),0),L675)*W675+SUMPRODUCT((Calc!$A$2:$A$1001=A675)*Calc!$G$2:$G$1001*((((K675+N675)-(L675+Calc!$J$2:$J$1001))&gt;0)*(((K675+N675)-(L675+Calc!$J$2:$J$1001))&lt;Calc!$F$2:$F$1001)*((K675+N675)-(L675+Calc!$J$2:$J$1001))+(((K675+N675)-(L675+Calc!$J$2:$J$1001))&gt;=Calc!$F$2:$F$1001)*Calc!$F$2:$F$1001))))</f>
        <v/>
      </c>
      <c r="S675">
        <f>IF(I675=0,0,(MIN(MAX((K675+O675),0),L675)*W675+SUMPRODUCT((Calc!$A$2:$A$1001=A675)*Calc!$G$2:$G$1001*((((K675+O675)-(L675+Calc!$J$2:$J$1001))&gt;0)*(((K675+O675)-(L675+Calc!$J$2:$J$1001))&lt;Calc!$F$2:$F$1001)*((K675+O675)-(L675+Calc!$J$2:$J$1001))+(((K675+O675)-(L675+Calc!$J$2:$J$1001))&gt;=Calc!$F$2:$F$1001)*Calc!$F$2:$F$1001))))</f>
        <v/>
      </c>
      <c r="T675">
        <f>IF(AND(E675=1,B675="RETURN"),Transactions!E675*Transactions!G675,0)</f>
        <v/>
      </c>
      <c r="U675">
        <f>IF(AND(E675=1,B675="EXPENSE"),Transactions!J675,0)</f>
        <v/>
      </c>
      <c r="V675">
        <f>IF(AND(Transactions!A675&lt;&gt;"",E675=0),ROW(),"")</f>
        <v/>
      </c>
      <c r="W675">
        <f>IFERROR(VLOOKUP(A675,Opening!$A:$D,4,0),0)</f>
        <v/>
      </c>
    </row>
    <row r="676">
      <c r="A676">
        <f>IF(Transactions!D676="","",UPPER(TRIM(Transactions!D676)))</f>
        <v/>
      </c>
      <c r="B676">
        <f>IF(Transactions!C676="","",UPPER(TRIM(Transactions!C676)))</f>
        <v/>
      </c>
      <c r="C676">
        <f>IF(Transactions!B676="",0,YEAR(Transactions!B676)*100+MONTH(Transactions!B676))</f>
        <v/>
      </c>
      <c r="D676">
        <f>IF(Transactions!A676="",1,IF(COUNTIF(Transactions!$A$1:A675,Transactions!A676)&gt;0,1,0))</f>
        <v/>
      </c>
      <c r="E676">
        <f>IF(D676=1,0,IF(B676="RETURN",IF(COUNTIFS($A$1:A675,A676,$B$1:B675,"SALE",$E$1:E675,1)&gt;0,1,0),1))</f>
        <v/>
      </c>
      <c r="F676">
        <f>IF(E676=1,IF(B676="RECEIPT",Transactions!E676,IF(AND(B676="RETURN",LOWER(TRIM(Transactions!H676))="resellable"),Transactions!E676,0)),0)</f>
        <v/>
      </c>
      <c r="G676">
        <f>IF(F676&gt;0,IF(B676="RECEIPT",Transactions!F676,IF(_xlfn.MAXIFS($H$2:H676,$A$2:A676,A676)&gt;0,INDEX(Transactions!$F:$F,_xlfn.MAXIFS($H$2:H676,$A$2:A676,A676)),W676)),0)</f>
        <v/>
      </c>
      <c r="H676">
        <f>IF(AND(E676=1,B676="RECEIPT"),ROW(),0)</f>
        <v/>
      </c>
      <c r="I676">
        <f>IF(E676=1,IF(OR(B676="SALE",B676="WRITEOFF"),Transactions!E676,0),0)</f>
        <v/>
      </c>
      <c r="J676">
        <f>SUMIFS($F$1:F675,$A$1:A675,A676)</f>
        <v/>
      </c>
      <c r="K676">
        <f>SUMIFS($I$1:I675,$A$1:A675,A676)</f>
        <v/>
      </c>
      <c r="L676">
        <f>IFERROR(VLOOKUP(A676,Opening!$A:$C,3,0),0)</f>
        <v/>
      </c>
      <c r="M676">
        <f>IF(I676=0,0,MAX(0,MIN(INDEX(Month!H$2:H$13,MATCH($A676,Month!$A$2:$A$13,0))-K676,I676)))</f>
        <v/>
      </c>
      <c r="N676">
        <f>IF(I676=0,0,MAX(0,MIN(INDEX(Month!I$2:I$13,MATCH($A676,Month!$A$2:$A$13,0))-K676,I676)))</f>
        <v/>
      </c>
      <c r="O676">
        <f>IF(I676=0,0,MAX(0,MIN(INDEX(Month!J$2:J$13,MATCH($A676,Month!$A$2:$A$13,0))-K676,I676)))</f>
        <v/>
      </c>
      <c r="P676">
        <f>IF(I676=0,0,(MIN(MAX(K676,0),L676)*W676+SUMPRODUCT((Calc!$A$2:$A$1001=A676)*Calc!$G$2:$G$1001*(((K676-(L676+Calc!$J$2:$J$1001))&gt;0)*((K676-(L676+Calc!$J$2:$J$1001))&lt;Calc!$F$2:$F$1001)*(K676-(L676+Calc!$J$2:$J$1001))+((K676-(L676+Calc!$J$2:$J$1001))&gt;=Calc!$F$2:$F$1001)*Calc!$F$2:$F$1001))))</f>
        <v/>
      </c>
      <c r="Q676">
        <f>IF(I676=0,0,(MIN(MAX((K676+M676),0),L676)*W676+SUMPRODUCT((Calc!$A$2:$A$1001=A676)*Calc!$G$2:$G$1001*((((K676+M676)-(L676+Calc!$J$2:$J$1001))&gt;0)*(((K676+M676)-(L676+Calc!$J$2:$J$1001))&lt;Calc!$F$2:$F$1001)*((K676+M676)-(L676+Calc!$J$2:$J$1001))+(((K676+M676)-(L676+Calc!$J$2:$J$1001))&gt;=Calc!$F$2:$F$1001)*Calc!$F$2:$F$1001))))</f>
        <v/>
      </c>
      <c r="R676">
        <f>IF(I676=0,0,(MIN(MAX((K676+N676),0),L676)*W676+SUMPRODUCT((Calc!$A$2:$A$1001=A676)*Calc!$G$2:$G$1001*((((K676+N676)-(L676+Calc!$J$2:$J$1001))&gt;0)*(((K676+N676)-(L676+Calc!$J$2:$J$1001))&lt;Calc!$F$2:$F$1001)*((K676+N676)-(L676+Calc!$J$2:$J$1001))+(((K676+N676)-(L676+Calc!$J$2:$J$1001))&gt;=Calc!$F$2:$F$1001)*Calc!$F$2:$F$1001))))</f>
        <v/>
      </c>
      <c r="S676">
        <f>IF(I676=0,0,(MIN(MAX((K676+O676),0),L676)*W676+SUMPRODUCT((Calc!$A$2:$A$1001=A676)*Calc!$G$2:$G$1001*((((K676+O676)-(L676+Calc!$J$2:$J$1001))&gt;0)*(((K676+O676)-(L676+Calc!$J$2:$J$1001))&lt;Calc!$F$2:$F$1001)*((K676+O676)-(L676+Calc!$J$2:$J$1001))+(((K676+O676)-(L676+Calc!$J$2:$J$1001))&gt;=Calc!$F$2:$F$1001)*Calc!$F$2:$F$1001))))</f>
        <v/>
      </c>
      <c r="T676">
        <f>IF(AND(E676=1,B676="RETURN"),Transactions!E676*Transactions!G676,0)</f>
        <v/>
      </c>
      <c r="U676">
        <f>IF(AND(E676=1,B676="EXPENSE"),Transactions!J676,0)</f>
        <v/>
      </c>
      <c r="V676">
        <f>IF(AND(Transactions!A676&lt;&gt;"",E676=0),ROW(),"")</f>
        <v/>
      </c>
      <c r="W676">
        <f>IFERROR(VLOOKUP(A676,Opening!$A:$D,4,0),0)</f>
        <v/>
      </c>
    </row>
    <row r="677">
      <c r="A677">
        <f>IF(Transactions!D677="","",UPPER(TRIM(Transactions!D677)))</f>
        <v/>
      </c>
      <c r="B677">
        <f>IF(Transactions!C677="","",UPPER(TRIM(Transactions!C677)))</f>
        <v/>
      </c>
      <c r="C677">
        <f>IF(Transactions!B677="",0,YEAR(Transactions!B677)*100+MONTH(Transactions!B677))</f>
        <v/>
      </c>
      <c r="D677">
        <f>IF(Transactions!A677="",1,IF(COUNTIF(Transactions!$A$1:A676,Transactions!A677)&gt;0,1,0))</f>
        <v/>
      </c>
      <c r="E677">
        <f>IF(D677=1,0,IF(B677="RETURN",IF(COUNTIFS($A$1:A676,A677,$B$1:B676,"SALE",$E$1:E676,1)&gt;0,1,0),1))</f>
        <v/>
      </c>
      <c r="F677">
        <f>IF(E677=1,IF(B677="RECEIPT",Transactions!E677,IF(AND(B677="RETURN",LOWER(TRIM(Transactions!H677))="resellable"),Transactions!E677,0)),0)</f>
        <v/>
      </c>
      <c r="G677">
        <f>IF(F677&gt;0,IF(B677="RECEIPT",Transactions!F677,IF(_xlfn.MAXIFS($H$2:H677,$A$2:A677,A677)&gt;0,INDEX(Transactions!$F:$F,_xlfn.MAXIFS($H$2:H677,$A$2:A677,A677)),W677)),0)</f>
        <v/>
      </c>
      <c r="H677">
        <f>IF(AND(E677=1,B677="RECEIPT"),ROW(),0)</f>
        <v/>
      </c>
      <c r="I677">
        <f>IF(E677=1,IF(OR(B677="SALE",B677="WRITEOFF"),Transactions!E677,0),0)</f>
        <v/>
      </c>
      <c r="J677">
        <f>SUMIFS($F$1:F676,$A$1:A676,A677)</f>
        <v/>
      </c>
      <c r="K677">
        <f>SUMIFS($I$1:I676,$A$1:A676,A677)</f>
        <v/>
      </c>
      <c r="L677">
        <f>IFERROR(VLOOKUP(A677,Opening!$A:$C,3,0),0)</f>
        <v/>
      </c>
      <c r="M677">
        <f>IF(I677=0,0,MAX(0,MIN(INDEX(Month!H$2:H$13,MATCH($A677,Month!$A$2:$A$13,0))-K677,I677)))</f>
        <v/>
      </c>
      <c r="N677">
        <f>IF(I677=0,0,MAX(0,MIN(INDEX(Month!I$2:I$13,MATCH($A677,Month!$A$2:$A$13,0))-K677,I677)))</f>
        <v/>
      </c>
      <c r="O677">
        <f>IF(I677=0,0,MAX(0,MIN(INDEX(Month!J$2:J$13,MATCH($A677,Month!$A$2:$A$13,0))-K677,I677)))</f>
        <v/>
      </c>
      <c r="P677">
        <f>IF(I677=0,0,(MIN(MAX(K677,0),L677)*W677+SUMPRODUCT((Calc!$A$2:$A$1001=A677)*Calc!$G$2:$G$1001*(((K677-(L677+Calc!$J$2:$J$1001))&gt;0)*((K677-(L677+Calc!$J$2:$J$1001))&lt;Calc!$F$2:$F$1001)*(K677-(L677+Calc!$J$2:$J$1001))+((K677-(L677+Calc!$J$2:$J$1001))&gt;=Calc!$F$2:$F$1001)*Calc!$F$2:$F$1001))))</f>
        <v/>
      </c>
      <c r="Q677">
        <f>IF(I677=0,0,(MIN(MAX((K677+M677),0),L677)*W677+SUMPRODUCT((Calc!$A$2:$A$1001=A677)*Calc!$G$2:$G$1001*((((K677+M677)-(L677+Calc!$J$2:$J$1001))&gt;0)*(((K677+M677)-(L677+Calc!$J$2:$J$1001))&lt;Calc!$F$2:$F$1001)*((K677+M677)-(L677+Calc!$J$2:$J$1001))+(((K677+M677)-(L677+Calc!$J$2:$J$1001))&gt;=Calc!$F$2:$F$1001)*Calc!$F$2:$F$1001))))</f>
        <v/>
      </c>
      <c r="R677">
        <f>IF(I677=0,0,(MIN(MAX((K677+N677),0),L677)*W677+SUMPRODUCT((Calc!$A$2:$A$1001=A677)*Calc!$G$2:$G$1001*((((K677+N677)-(L677+Calc!$J$2:$J$1001))&gt;0)*(((K677+N677)-(L677+Calc!$J$2:$J$1001))&lt;Calc!$F$2:$F$1001)*((K677+N677)-(L677+Calc!$J$2:$J$1001))+(((K677+N677)-(L677+Calc!$J$2:$J$1001))&gt;=Calc!$F$2:$F$1001)*Calc!$F$2:$F$1001))))</f>
        <v/>
      </c>
      <c r="S677">
        <f>IF(I677=0,0,(MIN(MAX((K677+O677),0),L677)*W677+SUMPRODUCT((Calc!$A$2:$A$1001=A677)*Calc!$G$2:$G$1001*((((K677+O677)-(L677+Calc!$J$2:$J$1001))&gt;0)*(((K677+O677)-(L677+Calc!$J$2:$J$1001))&lt;Calc!$F$2:$F$1001)*((K677+O677)-(L677+Calc!$J$2:$J$1001))+(((K677+O677)-(L677+Calc!$J$2:$J$1001))&gt;=Calc!$F$2:$F$1001)*Calc!$F$2:$F$1001))))</f>
        <v/>
      </c>
      <c r="T677">
        <f>IF(AND(E677=1,B677="RETURN"),Transactions!E677*Transactions!G677,0)</f>
        <v/>
      </c>
      <c r="U677">
        <f>IF(AND(E677=1,B677="EXPENSE"),Transactions!J677,0)</f>
        <v/>
      </c>
      <c r="V677">
        <f>IF(AND(Transactions!A677&lt;&gt;"",E677=0),ROW(),"")</f>
        <v/>
      </c>
      <c r="W677">
        <f>IFERROR(VLOOKUP(A677,Opening!$A:$D,4,0),0)</f>
        <v/>
      </c>
    </row>
    <row r="678">
      <c r="A678">
        <f>IF(Transactions!D678="","",UPPER(TRIM(Transactions!D678)))</f>
        <v/>
      </c>
      <c r="B678">
        <f>IF(Transactions!C678="","",UPPER(TRIM(Transactions!C678)))</f>
        <v/>
      </c>
      <c r="C678">
        <f>IF(Transactions!B678="",0,YEAR(Transactions!B678)*100+MONTH(Transactions!B678))</f>
        <v/>
      </c>
      <c r="D678">
        <f>IF(Transactions!A678="",1,IF(COUNTIF(Transactions!$A$1:A677,Transactions!A678)&gt;0,1,0))</f>
        <v/>
      </c>
      <c r="E678">
        <f>IF(D678=1,0,IF(B678="RETURN",IF(COUNTIFS($A$1:A677,A678,$B$1:B677,"SALE",$E$1:E677,1)&gt;0,1,0),1))</f>
        <v/>
      </c>
      <c r="F678">
        <f>IF(E678=1,IF(B678="RECEIPT",Transactions!E678,IF(AND(B678="RETURN",LOWER(TRIM(Transactions!H678))="resellable"),Transactions!E678,0)),0)</f>
        <v/>
      </c>
      <c r="G678">
        <f>IF(F678&gt;0,IF(B678="RECEIPT",Transactions!F678,IF(_xlfn.MAXIFS($H$2:H678,$A$2:A678,A678)&gt;0,INDEX(Transactions!$F:$F,_xlfn.MAXIFS($H$2:H678,$A$2:A678,A678)),W678)),0)</f>
        <v/>
      </c>
      <c r="H678">
        <f>IF(AND(E678=1,B678="RECEIPT"),ROW(),0)</f>
        <v/>
      </c>
      <c r="I678">
        <f>IF(E678=1,IF(OR(B678="SALE",B678="WRITEOFF"),Transactions!E678,0),0)</f>
        <v/>
      </c>
      <c r="J678">
        <f>SUMIFS($F$1:F677,$A$1:A677,A678)</f>
        <v/>
      </c>
      <c r="K678">
        <f>SUMIFS($I$1:I677,$A$1:A677,A678)</f>
        <v/>
      </c>
      <c r="L678">
        <f>IFERROR(VLOOKUP(A678,Opening!$A:$C,3,0),0)</f>
        <v/>
      </c>
      <c r="M678">
        <f>IF(I678=0,0,MAX(0,MIN(INDEX(Month!H$2:H$13,MATCH($A678,Month!$A$2:$A$13,0))-K678,I678)))</f>
        <v/>
      </c>
      <c r="N678">
        <f>IF(I678=0,0,MAX(0,MIN(INDEX(Month!I$2:I$13,MATCH($A678,Month!$A$2:$A$13,0))-K678,I678)))</f>
        <v/>
      </c>
      <c r="O678">
        <f>IF(I678=0,0,MAX(0,MIN(INDEX(Month!J$2:J$13,MATCH($A678,Month!$A$2:$A$13,0))-K678,I678)))</f>
        <v/>
      </c>
      <c r="P678">
        <f>IF(I678=0,0,(MIN(MAX(K678,0),L678)*W678+SUMPRODUCT((Calc!$A$2:$A$1001=A678)*Calc!$G$2:$G$1001*(((K678-(L678+Calc!$J$2:$J$1001))&gt;0)*((K678-(L678+Calc!$J$2:$J$1001))&lt;Calc!$F$2:$F$1001)*(K678-(L678+Calc!$J$2:$J$1001))+((K678-(L678+Calc!$J$2:$J$1001))&gt;=Calc!$F$2:$F$1001)*Calc!$F$2:$F$1001))))</f>
        <v/>
      </c>
      <c r="Q678">
        <f>IF(I678=0,0,(MIN(MAX((K678+M678),0),L678)*W678+SUMPRODUCT((Calc!$A$2:$A$1001=A678)*Calc!$G$2:$G$1001*((((K678+M678)-(L678+Calc!$J$2:$J$1001))&gt;0)*(((K678+M678)-(L678+Calc!$J$2:$J$1001))&lt;Calc!$F$2:$F$1001)*((K678+M678)-(L678+Calc!$J$2:$J$1001))+(((K678+M678)-(L678+Calc!$J$2:$J$1001))&gt;=Calc!$F$2:$F$1001)*Calc!$F$2:$F$1001))))</f>
        <v/>
      </c>
      <c r="R678">
        <f>IF(I678=0,0,(MIN(MAX((K678+N678),0),L678)*W678+SUMPRODUCT((Calc!$A$2:$A$1001=A678)*Calc!$G$2:$G$1001*((((K678+N678)-(L678+Calc!$J$2:$J$1001))&gt;0)*(((K678+N678)-(L678+Calc!$J$2:$J$1001))&lt;Calc!$F$2:$F$1001)*((K678+N678)-(L678+Calc!$J$2:$J$1001))+(((K678+N678)-(L678+Calc!$J$2:$J$1001))&gt;=Calc!$F$2:$F$1001)*Calc!$F$2:$F$1001))))</f>
        <v/>
      </c>
      <c r="S678">
        <f>IF(I678=0,0,(MIN(MAX((K678+O678),0),L678)*W678+SUMPRODUCT((Calc!$A$2:$A$1001=A678)*Calc!$G$2:$G$1001*((((K678+O678)-(L678+Calc!$J$2:$J$1001))&gt;0)*(((K678+O678)-(L678+Calc!$J$2:$J$1001))&lt;Calc!$F$2:$F$1001)*((K678+O678)-(L678+Calc!$J$2:$J$1001))+(((K678+O678)-(L678+Calc!$J$2:$J$1001))&gt;=Calc!$F$2:$F$1001)*Calc!$F$2:$F$1001))))</f>
        <v/>
      </c>
      <c r="T678">
        <f>IF(AND(E678=1,B678="RETURN"),Transactions!E678*Transactions!G678,0)</f>
        <v/>
      </c>
      <c r="U678">
        <f>IF(AND(E678=1,B678="EXPENSE"),Transactions!J678,0)</f>
        <v/>
      </c>
      <c r="V678">
        <f>IF(AND(Transactions!A678&lt;&gt;"",E678=0),ROW(),"")</f>
        <v/>
      </c>
      <c r="W678">
        <f>IFERROR(VLOOKUP(A678,Opening!$A:$D,4,0),0)</f>
        <v/>
      </c>
    </row>
    <row r="679">
      <c r="A679">
        <f>IF(Transactions!D679="","",UPPER(TRIM(Transactions!D679)))</f>
        <v/>
      </c>
      <c r="B679">
        <f>IF(Transactions!C679="","",UPPER(TRIM(Transactions!C679)))</f>
        <v/>
      </c>
      <c r="C679">
        <f>IF(Transactions!B679="",0,YEAR(Transactions!B679)*100+MONTH(Transactions!B679))</f>
        <v/>
      </c>
      <c r="D679">
        <f>IF(Transactions!A679="",1,IF(COUNTIF(Transactions!$A$1:A678,Transactions!A679)&gt;0,1,0))</f>
        <v/>
      </c>
      <c r="E679">
        <f>IF(D679=1,0,IF(B679="RETURN",IF(COUNTIFS($A$1:A678,A679,$B$1:B678,"SALE",$E$1:E678,1)&gt;0,1,0),1))</f>
        <v/>
      </c>
      <c r="F679">
        <f>IF(E679=1,IF(B679="RECEIPT",Transactions!E679,IF(AND(B679="RETURN",LOWER(TRIM(Transactions!H679))="resellable"),Transactions!E679,0)),0)</f>
        <v/>
      </c>
      <c r="G679">
        <f>IF(F679&gt;0,IF(B679="RECEIPT",Transactions!F679,IF(_xlfn.MAXIFS($H$2:H679,$A$2:A679,A679)&gt;0,INDEX(Transactions!$F:$F,_xlfn.MAXIFS($H$2:H679,$A$2:A679,A679)),W679)),0)</f>
        <v/>
      </c>
      <c r="H679">
        <f>IF(AND(E679=1,B679="RECEIPT"),ROW(),0)</f>
        <v/>
      </c>
      <c r="I679">
        <f>IF(E679=1,IF(OR(B679="SALE",B679="WRITEOFF"),Transactions!E679,0),0)</f>
        <v/>
      </c>
      <c r="J679">
        <f>SUMIFS($F$1:F678,$A$1:A678,A679)</f>
        <v/>
      </c>
      <c r="K679">
        <f>SUMIFS($I$1:I678,$A$1:A678,A679)</f>
        <v/>
      </c>
      <c r="L679">
        <f>IFERROR(VLOOKUP(A679,Opening!$A:$C,3,0),0)</f>
        <v/>
      </c>
      <c r="M679">
        <f>IF(I679=0,0,MAX(0,MIN(INDEX(Month!H$2:H$13,MATCH($A679,Month!$A$2:$A$13,0))-K679,I679)))</f>
        <v/>
      </c>
      <c r="N679">
        <f>IF(I679=0,0,MAX(0,MIN(INDEX(Month!I$2:I$13,MATCH($A679,Month!$A$2:$A$13,0))-K679,I679)))</f>
        <v/>
      </c>
      <c r="O679">
        <f>IF(I679=0,0,MAX(0,MIN(INDEX(Month!J$2:J$13,MATCH($A679,Month!$A$2:$A$13,0))-K679,I679)))</f>
        <v/>
      </c>
      <c r="P679">
        <f>IF(I679=0,0,(MIN(MAX(K679,0),L679)*W679+SUMPRODUCT((Calc!$A$2:$A$1001=A679)*Calc!$G$2:$G$1001*(((K679-(L679+Calc!$J$2:$J$1001))&gt;0)*((K679-(L679+Calc!$J$2:$J$1001))&lt;Calc!$F$2:$F$1001)*(K679-(L679+Calc!$J$2:$J$1001))+((K679-(L679+Calc!$J$2:$J$1001))&gt;=Calc!$F$2:$F$1001)*Calc!$F$2:$F$1001))))</f>
        <v/>
      </c>
      <c r="Q679">
        <f>IF(I679=0,0,(MIN(MAX((K679+M679),0),L679)*W679+SUMPRODUCT((Calc!$A$2:$A$1001=A679)*Calc!$G$2:$G$1001*((((K679+M679)-(L679+Calc!$J$2:$J$1001))&gt;0)*(((K679+M679)-(L679+Calc!$J$2:$J$1001))&lt;Calc!$F$2:$F$1001)*((K679+M679)-(L679+Calc!$J$2:$J$1001))+(((K679+M679)-(L679+Calc!$J$2:$J$1001))&gt;=Calc!$F$2:$F$1001)*Calc!$F$2:$F$1001))))</f>
        <v/>
      </c>
      <c r="R679">
        <f>IF(I679=0,0,(MIN(MAX((K679+N679),0),L679)*W679+SUMPRODUCT((Calc!$A$2:$A$1001=A679)*Calc!$G$2:$G$1001*((((K679+N679)-(L679+Calc!$J$2:$J$1001))&gt;0)*(((K679+N679)-(L679+Calc!$J$2:$J$1001))&lt;Calc!$F$2:$F$1001)*((K679+N679)-(L679+Calc!$J$2:$J$1001))+(((K679+N679)-(L679+Calc!$J$2:$J$1001))&gt;=Calc!$F$2:$F$1001)*Calc!$F$2:$F$1001))))</f>
        <v/>
      </c>
      <c r="S679">
        <f>IF(I679=0,0,(MIN(MAX((K679+O679),0),L679)*W679+SUMPRODUCT((Calc!$A$2:$A$1001=A679)*Calc!$G$2:$G$1001*((((K679+O679)-(L679+Calc!$J$2:$J$1001))&gt;0)*(((K679+O679)-(L679+Calc!$J$2:$J$1001))&lt;Calc!$F$2:$F$1001)*((K679+O679)-(L679+Calc!$J$2:$J$1001))+(((K679+O679)-(L679+Calc!$J$2:$J$1001))&gt;=Calc!$F$2:$F$1001)*Calc!$F$2:$F$1001))))</f>
        <v/>
      </c>
      <c r="T679">
        <f>IF(AND(E679=1,B679="RETURN"),Transactions!E679*Transactions!G679,0)</f>
        <v/>
      </c>
      <c r="U679">
        <f>IF(AND(E679=1,B679="EXPENSE"),Transactions!J679,0)</f>
        <v/>
      </c>
      <c r="V679">
        <f>IF(AND(Transactions!A679&lt;&gt;"",E679=0),ROW(),"")</f>
        <v/>
      </c>
      <c r="W679">
        <f>IFERROR(VLOOKUP(A679,Opening!$A:$D,4,0),0)</f>
        <v/>
      </c>
    </row>
    <row r="680">
      <c r="A680">
        <f>IF(Transactions!D680="","",UPPER(TRIM(Transactions!D680)))</f>
        <v/>
      </c>
      <c r="B680">
        <f>IF(Transactions!C680="","",UPPER(TRIM(Transactions!C680)))</f>
        <v/>
      </c>
      <c r="C680">
        <f>IF(Transactions!B680="",0,YEAR(Transactions!B680)*100+MONTH(Transactions!B680))</f>
        <v/>
      </c>
      <c r="D680">
        <f>IF(Transactions!A680="",1,IF(COUNTIF(Transactions!$A$1:A679,Transactions!A680)&gt;0,1,0))</f>
        <v/>
      </c>
      <c r="E680">
        <f>IF(D680=1,0,IF(B680="RETURN",IF(COUNTIFS($A$1:A679,A680,$B$1:B679,"SALE",$E$1:E679,1)&gt;0,1,0),1))</f>
        <v/>
      </c>
      <c r="F680">
        <f>IF(E680=1,IF(B680="RECEIPT",Transactions!E680,IF(AND(B680="RETURN",LOWER(TRIM(Transactions!H680))="resellable"),Transactions!E680,0)),0)</f>
        <v/>
      </c>
      <c r="G680">
        <f>IF(F680&gt;0,IF(B680="RECEIPT",Transactions!F680,IF(_xlfn.MAXIFS($H$2:H680,$A$2:A680,A680)&gt;0,INDEX(Transactions!$F:$F,_xlfn.MAXIFS($H$2:H680,$A$2:A680,A680)),W680)),0)</f>
        <v/>
      </c>
      <c r="H680">
        <f>IF(AND(E680=1,B680="RECEIPT"),ROW(),0)</f>
        <v/>
      </c>
      <c r="I680">
        <f>IF(E680=1,IF(OR(B680="SALE",B680="WRITEOFF"),Transactions!E680,0),0)</f>
        <v/>
      </c>
      <c r="J680">
        <f>SUMIFS($F$1:F679,$A$1:A679,A680)</f>
        <v/>
      </c>
      <c r="K680">
        <f>SUMIFS($I$1:I679,$A$1:A679,A680)</f>
        <v/>
      </c>
      <c r="L680">
        <f>IFERROR(VLOOKUP(A680,Opening!$A:$C,3,0),0)</f>
        <v/>
      </c>
      <c r="M680">
        <f>IF(I680=0,0,MAX(0,MIN(INDEX(Month!H$2:H$13,MATCH($A680,Month!$A$2:$A$13,0))-K680,I680)))</f>
        <v/>
      </c>
      <c r="N680">
        <f>IF(I680=0,0,MAX(0,MIN(INDEX(Month!I$2:I$13,MATCH($A680,Month!$A$2:$A$13,0))-K680,I680)))</f>
        <v/>
      </c>
      <c r="O680">
        <f>IF(I680=0,0,MAX(0,MIN(INDEX(Month!J$2:J$13,MATCH($A680,Month!$A$2:$A$13,0))-K680,I680)))</f>
        <v/>
      </c>
      <c r="P680">
        <f>IF(I680=0,0,(MIN(MAX(K680,0),L680)*W680+SUMPRODUCT((Calc!$A$2:$A$1001=A680)*Calc!$G$2:$G$1001*(((K680-(L680+Calc!$J$2:$J$1001))&gt;0)*((K680-(L680+Calc!$J$2:$J$1001))&lt;Calc!$F$2:$F$1001)*(K680-(L680+Calc!$J$2:$J$1001))+((K680-(L680+Calc!$J$2:$J$1001))&gt;=Calc!$F$2:$F$1001)*Calc!$F$2:$F$1001))))</f>
        <v/>
      </c>
      <c r="Q680">
        <f>IF(I680=0,0,(MIN(MAX((K680+M680),0),L680)*W680+SUMPRODUCT((Calc!$A$2:$A$1001=A680)*Calc!$G$2:$G$1001*((((K680+M680)-(L680+Calc!$J$2:$J$1001))&gt;0)*(((K680+M680)-(L680+Calc!$J$2:$J$1001))&lt;Calc!$F$2:$F$1001)*((K680+M680)-(L680+Calc!$J$2:$J$1001))+(((K680+M680)-(L680+Calc!$J$2:$J$1001))&gt;=Calc!$F$2:$F$1001)*Calc!$F$2:$F$1001))))</f>
        <v/>
      </c>
      <c r="R680">
        <f>IF(I680=0,0,(MIN(MAX((K680+N680),0),L680)*W680+SUMPRODUCT((Calc!$A$2:$A$1001=A680)*Calc!$G$2:$G$1001*((((K680+N680)-(L680+Calc!$J$2:$J$1001))&gt;0)*(((K680+N680)-(L680+Calc!$J$2:$J$1001))&lt;Calc!$F$2:$F$1001)*((K680+N680)-(L680+Calc!$J$2:$J$1001))+(((K680+N680)-(L680+Calc!$J$2:$J$1001))&gt;=Calc!$F$2:$F$1001)*Calc!$F$2:$F$1001))))</f>
        <v/>
      </c>
      <c r="S680">
        <f>IF(I680=0,0,(MIN(MAX((K680+O680),0),L680)*W680+SUMPRODUCT((Calc!$A$2:$A$1001=A680)*Calc!$G$2:$G$1001*((((K680+O680)-(L680+Calc!$J$2:$J$1001))&gt;0)*(((K680+O680)-(L680+Calc!$J$2:$J$1001))&lt;Calc!$F$2:$F$1001)*((K680+O680)-(L680+Calc!$J$2:$J$1001))+(((K680+O680)-(L680+Calc!$J$2:$J$1001))&gt;=Calc!$F$2:$F$1001)*Calc!$F$2:$F$1001))))</f>
        <v/>
      </c>
      <c r="T680">
        <f>IF(AND(E680=1,B680="RETURN"),Transactions!E680*Transactions!G680,0)</f>
        <v/>
      </c>
      <c r="U680">
        <f>IF(AND(E680=1,B680="EXPENSE"),Transactions!J680,0)</f>
        <v/>
      </c>
      <c r="V680">
        <f>IF(AND(Transactions!A680&lt;&gt;"",E680=0),ROW(),"")</f>
        <v/>
      </c>
      <c r="W680">
        <f>IFERROR(VLOOKUP(A680,Opening!$A:$D,4,0),0)</f>
        <v/>
      </c>
    </row>
    <row r="681">
      <c r="A681">
        <f>IF(Transactions!D681="","",UPPER(TRIM(Transactions!D681)))</f>
        <v/>
      </c>
      <c r="B681">
        <f>IF(Transactions!C681="","",UPPER(TRIM(Transactions!C681)))</f>
        <v/>
      </c>
      <c r="C681">
        <f>IF(Transactions!B681="",0,YEAR(Transactions!B681)*100+MONTH(Transactions!B681))</f>
        <v/>
      </c>
      <c r="D681">
        <f>IF(Transactions!A681="",1,IF(COUNTIF(Transactions!$A$1:A680,Transactions!A681)&gt;0,1,0))</f>
        <v/>
      </c>
      <c r="E681">
        <f>IF(D681=1,0,IF(B681="RETURN",IF(COUNTIFS($A$1:A680,A681,$B$1:B680,"SALE",$E$1:E680,1)&gt;0,1,0),1))</f>
        <v/>
      </c>
      <c r="F681">
        <f>IF(E681=1,IF(B681="RECEIPT",Transactions!E681,IF(AND(B681="RETURN",LOWER(TRIM(Transactions!H681))="resellable"),Transactions!E681,0)),0)</f>
        <v/>
      </c>
      <c r="G681">
        <f>IF(F681&gt;0,IF(B681="RECEIPT",Transactions!F681,IF(_xlfn.MAXIFS($H$2:H681,$A$2:A681,A681)&gt;0,INDEX(Transactions!$F:$F,_xlfn.MAXIFS($H$2:H681,$A$2:A681,A681)),W681)),0)</f>
        <v/>
      </c>
      <c r="H681">
        <f>IF(AND(E681=1,B681="RECEIPT"),ROW(),0)</f>
        <v/>
      </c>
      <c r="I681">
        <f>IF(E681=1,IF(OR(B681="SALE",B681="WRITEOFF"),Transactions!E681,0),0)</f>
        <v/>
      </c>
      <c r="J681">
        <f>SUMIFS($F$1:F680,$A$1:A680,A681)</f>
        <v/>
      </c>
      <c r="K681">
        <f>SUMIFS($I$1:I680,$A$1:A680,A681)</f>
        <v/>
      </c>
      <c r="L681">
        <f>IFERROR(VLOOKUP(A681,Opening!$A:$C,3,0),0)</f>
        <v/>
      </c>
      <c r="M681">
        <f>IF(I681=0,0,MAX(0,MIN(INDEX(Month!H$2:H$13,MATCH($A681,Month!$A$2:$A$13,0))-K681,I681)))</f>
        <v/>
      </c>
      <c r="N681">
        <f>IF(I681=0,0,MAX(0,MIN(INDEX(Month!I$2:I$13,MATCH($A681,Month!$A$2:$A$13,0))-K681,I681)))</f>
        <v/>
      </c>
      <c r="O681">
        <f>IF(I681=0,0,MAX(0,MIN(INDEX(Month!J$2:J$13,MATCH($A681,Month!$A$2:$A$13,0))-K681,I681)))</f>
        <v/>
      </c>
      <c r="P681">
        <f>IF(I681=0,0,(MIN(MAX(K681,0),L681)*W681+SUMPRODUCT((Calc!$A$2:$A$1001=A681)*Calc!$G$2:$G$1001*(((K681-(L681+Calc!$J$2:$J$1001))&gt;0)*((K681-(L681+Calc!$J$2:$J$1001))&lt;Calc!$F$2:$F$1001)*(K681-(L681+Calc!$J$2:$J$1001))+((K681-(L681+Calc!$J$2:$J$1001))&gt;=Calc!$F$2:$F$1001)*Calc!$F$2:$F$1001))))</f>
        <v/>
      </c>
      <c r="Q681">
        <f>IF(I681=0,0,(MIN(MAX((K681+M681),0),L681)*W681+SUMPRODUCT((Calc!$A$2:$A$1001=A681)*Calc!$G$2:$G$1001*((((K681+M681)-(L681+Calc!$J$2:$J$1001))&gt;0)*(((K681+M681)-(L681+Calc!$J$2:$J$1001))&lt;Calc!$F$2:$F$1001)*((K681+M681)-(L681+Calc!$J$2:$J$1001))+(((K681+M681)-(L681+Calc!$J$2:$J$1001))&gt;=Calc!$F$2:$F$1001)*Calc!$F$2:$F$1001))))</f>
        <v/>
      </c>
      <c r="R681">
        <f>IF(I681=0,0,(MIN(MAX((K681+N681),0),L681)*W681+SUMPRODUCT((Calc!$A$2:$A$1001=A681)*Calc!$G$2:$G$1001*((((K681+N681)-(L681+Calc!$J$2:$J$1001))&gt;0)*(((K681+N681)-(L681+Calc!$J$2:$J$1001))&lt;Calc!$F$2:$F$1001)*((K681+N681)-(L681+Calc!$J$2:$J$1001))+(((K681+N681)-(L681+Calc!$J$2:$J$1001))&gt;=Calc!$F$2:$F$1001)*Calc!$F$2:$F$1001))))</f>
        <v/>
      </c>
      <c r="S681">
        <f>IF(I681=0,0,(MIN(MAX((K681+O681),0),L681)*W681+SUMPRODUCT((Calc!$A$2:$A$1001=A681)*Calc!$G$2:$G$1001*((((K681+O681)-(L681+Calc!$J$2:$J$1001))&gt;0)*(((K681+O681)-(L681+Calc!$J$2:$J$1001))&lt;Calc!$F$2:$F$1001)*((K681+O681)-(L681+Calc!$J$2:$J$1001))+(((K681+O681)-(L681+Calc!$J$2:$J$1001))&gt;=Calc!$F$2:$F$1001)*Calc!$F$2:$F$1001))))</f>
        <v/>
      </c>
      <c r="T681">
        <f>IF(AND(E681=1,B681="RETURN"),Transactions!E681*Transactions!G681,0)</f>
        <v/>
      </c>
      <c r="U681">
        <f>IF(AND(E681=1,B681="EXPENSE"),Transactions!J681,0)</f>
        <v/>
      </c>
      <c r="V681">
        <f>IF(AND(Transactions!A681&lt;&gt;"",E681=0),ROW(),"")</f>
        <v/>
      </c>
      <c r="W681">
        <f>IFERROR(VLOOKUP(A681,Opening!$A:$D,4,0),0)</f>
        <v/>
      </c>
    </row>
    <row r="682">
      <c r="A682">
        <f>IF(Transactions!D682="","",UPPER(TRIM(Transactions!D682)))</f>
        <v/>
      </c>
      <c r="B682">
        <f>IF(Transactions!C682="","",UPPER(TRIM(Transactions!C682)))</f>
        <v/>
      </c>
      <c r="C682">
        <f>IF(Transactions!B682="",0,YEAR(Transactions!B682)*100+MONTH(Transactions!B682))</f>
        <v/>
      </c>
      <c r="D682">
        <f>IF(Transactions!A682="",1,IF(COUNTIF(Transactions!$A$1:A681,Transactions!A682)&gt;0,1,0))</f>
        <v/>
      </c>
      <c r="E682">
        <f>IF(D682=1,0,IF(B682="RETURN",IF(COUNTIFS($A$1:A681,A682,$B$1:B681,"SALE",$E$1:E681,1)&gt;0,1,0),1))</f>
        <v/>
      </c>
      <c r="F682">
        <f>IF(E682=1,IF(B682="RECEIPT",Transactions!E682,IF(AND(B682="RETURN",LOWER(TRIM(Transactions!H682))="resellable"),Transactions!E682,0)),0)</f>
        <v/>
      </c>
      <c r="G682">
        <f>IF(F682&gt;0,IF(B682="RECEIPT",Transactions!F682,IF(_xlfn.MAXIFS($H$2:H682,$A$2:A682,A682)&gt;0,INDEX(Transactions!$F:$F,_xlfn.MAXIFS($H$2:H682,$A$2:A682,A682)),W682)),0)</f>
        <v/>
      </c>
      <c r="H682">
        <f>IF(AND(E682=1,B682="RECEIPT"),ROW(),0)</f>
        <v/>
      </c>
      <c r="I682">
        <f>IF(E682=1,IF(OR(B682="SALE",B682="WRITEOFF"),Transactions!E682,0),0)</f>
        <v/>
      </c>
      <c r="J682">
        <f>SUMIFS($F$1:F681,$A$1:A681,A682)</f>
        <v/>
      </c>
      <c r="K682">
        <f>SUMIFS($I$1:I681,$A$1:A681,A682)</f>
        <v/>
      </c>
      <c r="L682">
        <f>IFERROR(VLOOKUP(A682,Opening!$A:$C,3,0),0)</f>
        <v/>
      </c>
      <c r="M682">
        <f>IF(I682=0,0,MAX(0,MIN(INDEX(Month!H$2:H$13,MATCH($A682,Month!$A$2:$A$13,0))-K682,I682)))</f>
        <v/>
      </c>
      <c r="N682">
        <f>IF(I682=0,0,MAX(0,MIN(INDEX(Month!I$2:I$13,MATCH($A682,Month!$A$2:$A$13,0))-K682,I682)))</f>
        <v/>
      </c>
      <c r="O682">
        <f>IF(I682=0,0,MAX(0,MIN(INDEX(Month!J$2:J$13,MATCH($A682,Month!$A$2:$A$13,0))-K682,I682)))</f>
        <v/>
      </c>
      <c r="P682">
        <f>IF(I682=0,0,(MIN(MAX(K682,0),L682)*W682+SUMPRODUCT((Calc!$A$2:$A$1001=A682)*Calc!$G$2:$G$1001*(((K682-(L682+Calc!$J$2:$J$1001))&gt;0)*((K682-(L682+Calc!$J$2:$J$1001))&lt;Calc!$F$2:$F$1001)*(K682-(L682+Calc!$J$2:$J$1001))+((K682-(L682+Calc!$J$2:$J$1001))&gt;=Calc!$F$2:$F$1001)*Calc!$F$2:$F$1001))))</f>
        <v/>
      </c>
      <c r="Q682">
        <f>IF(I682=0,0,(MIN(MAX((K682+M682),0),L682)*W682+SUMPRODUCT((Calc!$A$2:$A$1001=A682)*Calc!$G$2:$G$1001*((((K682+M682)-(L682+Calc!$J$2:$J$1001))&gt;0)*(((K682+M682)-(L682+Calc!$J$2:$J$1001))&lt;Calc!$F$2:$F$1001)*((K682+M682)-(L682+Calc!$J$2:$J$1001))+(((K682+M682)-(L682+Calc!$J$2:$J$1001))&gt;=Calc!$F$2:$F$1001)*Calc!$F$2:$F$1001))))</f>
        <v/>
      </c>
      <c r="R682">
        <f>IF(I682=0,0,(MIN(MAX((K682+N682),0),L682)*W682+SUMPRODUCT((Calc!$A$2:$A$1001=A682)*Calc!$G$2:$G$1001*((((K682+N682)-(L682+Calc!$J$2:$J$1001))&gt;0)*(((K682+N682)-(L682+Calc!$J$2:$J$1001))&lt;Calc!$F$2:$F$1001)*((K682+N682)-(L682+Calc!$J$2:$J$1001))+(((K682+N682)-(L682+Calc!$J$2:$J$1001))&gt;=Calc!$F$2:$F$1001)*Calc!$F$2:$F$1001))))</f>
        <v/>
      </c>
      <c r="S682">
        <f>IF(I682=0,0,(MIN(MAX((K682+O682),0),L682)*W682+SUMPRODUCT((Calc!$A$2:$A$1001=A682)*Calc!$G$2:$G$1001*((((K682+O682)-(L682+Calc!$J$2:$J$1001))&gt;0)*(((K682+O682)-(L682+Calc!$J$2:$J$1001))&lt;Calc!$F$2:$F$1001)*((K682+O682)-(L682+Calc!$J$2:$J$1001))+(((K682+O682)-(L682+Calc!$J$2:$J$1001))&gt;=Calc!$F$2:$F$1001)*Calc!$F$2:$F$1001))))</f>
        <v/>
      </c>
      <c r="T682">
        <f>IF(AND(E682=1,B682="RETURN"),Transactions!E682*Transactions!G682,0)</f>
        <v/>
      </c>
      <c r="U682">
        <f>IF(AND(E682=1,B682="EXPENSE"),Transactions!J682,0)</f>
        <v/>
      </c>
      <c r="V682">
        <f>IF(AND(Transactions!A682&lt;&gt;"",E682=0),ROW(),"")</f>
        <v/>
      </c>
      <c r="W682">
        <f>IFERROR(VLOOKUP(A682,Opening!$A:$D,4,0),0)</f>
        <v/>
      </c>
    </row>
    <row r="683">
      <c r="A683">
        <f>IF(Transactions!D683="","",UPPER(TRIM(Transactions!D683)))</f>
        <v/>
      </c>
      <c r="B683">
        <f>IF(Transactions!C683="","",UPPER(TRIM(Transactions!C683)))</f>
        <v/>
      </c>
      <c r="C683">
        <f>IF(Transactions!B683="",0,YEAR(Transactions!B683)*100+MONTH(Transactions!B683))</f>
        <v/>
      </c>
      <c r="D683">
        <f>IF(Transactions!A683="",1,IF(COUNTIF(Transactions!$A$1:A682,Transactions!A683)&gt;0,1,0))</f>
        <v/>
      </c>
      <c r="E683">
        <f>IF(D683=1,0,IF(B683="RETURN",IF(COUNTIFS($A$1:A682,A683,$B$1:B682,"SALE",$E$1:E682,1)&gt;0,1,0),1))</f>
        <v/>
      </c>
      <c r="F683">
        <f>IF(E683=1,IF(B683="RECEIPT",Transactions!E683,IF(AND(B683="RETURN",LOWER(TRIM(Transactions!H683))="resellable"),Transactions!E683,0)),0)</f>
        <v/>
      </c>
      <c r="G683">
        <f>IF(F683&gt;0,IF(B683="RECEIPT",Transactions!F683,IF(_xlfn.MAXIFS($H$2:H683,$A$2:A683,A683)&gt;0,INDEX(Transactions!$F:$F,_xlfn.MAXIFS($H$2:H683,$A$2:A683,A683)),W683)),0)</f>
        <v/>
      </c>
      <c r="H683">
        <f>IF(AND(E683=1,B683="RECEIPT"),ROW(),0)</f>
        <v/>
      </c>
      <c r="I683">
        <f>IF(E683=1,IF(OR(B683="SALE",B683="WRITEOFF"),Transactions!E683,0),0)</f>
        <v/>
      </c>
      <c r="J683">
        <f>SUMIFS($F$1:F682,$A$1:A682,A683)</f>
        <v/>
      </c>
      <c r="K683">
        <f>SUMIFS($I$1:I682,$A$1:A682,A683)</f>
        <v/>
      </c>
      <c r="L683">
        <f>IFERROR(VLOOKUP(A683,Opening!$A:$C,3,0),0)</f>
        <v/>
      </c>
      <c r="M683">
        <f>IF(I683=0,0,MAX(0,MIN(INDEX(Month!H$2:H$13,MATCH($A683,Month!$A$2:$A$13,0))-K683,I683)))</f>
        <v/>
      </c>
      <c r="N683">
        <f>IF(I683=0,0,MAX(0,MIN(INDEX(Month!I$2:I$13,MATCH($A683,Month!$A$2:$A$13,0))-K683,I683)))</f>
        <v/>
      </c>
      <c r="O683">
        <f>IF(I683=0,0,MAX(0,MIN(INDEX(Month!J$2:J$13,MATCH($A683,Month!$A$2:$A$13,0))-K683,I683)))</f>
        <v/>
      </c>
      <c r="P683">
        <f>IF(I683=0,0,(MIN(MAX(K683,0),L683)*W683+SUMPRODUCT((Calc!$A$2:$A$1001=A683)*Calc!$G$2:$G$1001*(((K683-(L683+Calc!$J$2:$J$1001))&gt;0)*((K683-(L683+Calc!$J$2:$J$1001))&lt;Calc!$F$2:$F$1001)*(K683-(L683+Calc!$J$2:$J$1001))+((K683-(L683+Calc!$J$2:$J$1001))&gt;=Calc!$F$2:$F$1001)*Calc!$F$2:$F$1001))))</f>
        <v/>
      </c>
      <c r="Q683">
        <f>IF(I683=0,0,(MIN(MAX((K683+M683),0),L683)*W683+SUMPRODUCT((Calc!$A$2:$A$1001=A683)*Calc!$G$2:$G$1001*((((K683+M683)-(L683+Calc!$J$2:$J$1001))&gt;0)*(((K683+M683)-(L683+Calc!$J$2:$J$1001))&lt;Calc!$F$2:$F$1001)*((K683+M683)-(L683+Calc!$J$2:$J$1001))+(((K683+M683)-(L683+Calc!$J$2:$J$1001))&gt;=Calc!$F$2:$F$1001)*Calc!$F$2:$F$1001))))</f>
        <v/>
      </c>
      <c r="R683">
        <f>IF(I683=0,0,(MIN(MAX((K683+N683),0),L683)*W683+SUMPRODUCT((Calc!$A$2:$A$1001=A683)*Calc!$G$2:$G$1001*((((K683+N683)-(L683+Calc!$J$2:$J$1001))&gt;0)*(((K683+N683)-(L683+Calc!$J$2:$J$1001))&lt;Calc!$F$2:$F$1001)*((K683+N683)-(L683+Calc!$J$2:$J$1001))+(((K683+N683)-(L683+Calc!$J$2:$J$1001))&gt;=Calc!$F$2:$F$1001)*Calc!$F$2:$F$1001))))</f>
        <v/>
      </c>
      <c r="S683">
        <f>IF(I683=0,0,(MIN(MAX((K683+O683),0),L683)*W683+SUMPRODUCT((Calc!$A$2:$A$1001=A683)*Calc!$G$2:$G$1001*((((K683+O683)-(L683+Calc!$J$2:$J$1001))&gt;0)*(((K683+O683)-(L683+Calc!$J$2:$J$1001))&lt;Calc!$F$2:$F$1001)*((K683+O683)-(L683+Calc!$J$2:$J$1001))+(((K683+O683)-(L683+Calc!$J$2:$J$1001))&gt;=Calc!$F$2:$F$1001)*Calc!$F$2:$F$1001))))</f>
        <v/>
      </c>
      <c r="T683">
        <f>IF(AND(E683=1,B683="RETURN"),Transactions!E683*Transactions!G683,0)</f>
        <v/>
      </c>
      <c r="U683">
        <f>IF(AND(E683=1,B683="EXPENSE"),Transactions!J683,0)</f>
        <v/>
      </c>
      <c r="V683">
        <f>IF(AND(Transactions!A683&lt;&gt;"",E683=0),ROW(),"")</f>
        <v/>
      </c>
      <c r="W683">
        <f>IFERROR(VLOOKUP(A683,Opening!$A:$D,4,0),0)</f>
        <v/>
      </c>
    </row>
    <row r="684">
      <c r="A684">
        <f>IF(Transactions!D684="","",UPPER(TRIM(Transactions!D684)))</f>
        <v/>
      </c>
      <c r="B684">
        <f>IF(Transactions!C684="","",UPPER(TRIM(Transactions!C684)))</f>
        <v/>
      </c>
      <c r="C684">
        <f>IF(Transactions!B684="",0,YEAR(Transactions!B684)*100+MONTH(Transactions!B684))</f>
        <v/>
      </c>
      <c r="D684">
        <f>IF(Transactions!A684="",1,IF(COUNTIF(Transactions!$A$1:A683,Transactions!A684)&gt;0,1,0))</f>
        <v/>
      </c>
      <c r="E684">
        <f>IF(D684=1,0,IF(B684="RETURN",IF(COUNTIFS($A$1:A683,A684,$B$1:B683,"SALE",$E$1:E683,1)&gt;0,1,0),1))</f>
        <v/>
      </c>
      <c r="F684">
        <f>IF(E684=1,IF(B684="RECEIPT",Transactions!E684,IF(AND(B684="RETURN",LOWER(TRIM(Transactions!H684))="resellable"),Transactions!E684,0)),0)</f>
        <v/>
      </c>
      <c r="G684">
        <f>IF(F684&gt;0,IF(B684="RECEIPT",Transactions!F684,IF(_xlfn.MAXIFS($H$2:H684,$A$2:A684,A684)&gt;0,INDEX(Transactions!$F:$F,_xlfn.MAXIFS($H$2:H684,$A$2:A684,A684)),W684)),0)</f>
        <v/>
      </c>
      <c r="H684">
        <f>IF(AND(E684=1,B684="RECEIPT"),ROW(),0)</f>
        <v/>
      </c>
      <c r="I684">
        <f>IF(E684=1,IF(OR(B684="SALE",B684="WRITEOFF"),Transactions!E684,0),0)</f>
        <v/>
      </c>
      <c r="J684">
        <f>SUMIFS($F$1:F683,$A$1:A683,A684)</f>
        <v/>
      </c>
      <c r="K684">
        <f>SUMIFS($I$1:I683,$A$1:A683,A684)</f>
        <v/>
      </c>
      <c r="L684">
        <f>IFERROR(VLOOKUP(A684,Opening!$A:$C,3,0),0)</f>
        <v/>
      </c>
      <c r="M684">
        <f>IF(I684=0,0,MAX(0,MIN(INDEX(Month!H$2:H$13,MATCH($A684,Month!$A$2:$A$13,0))-K684,I684)))</f>
        <v/>
      </c>
      <c r="N684">
        <f>IF(I684=0,0,MAX(0,MIN(INDEX(Month!I$2:I$13,MATCH($A684,Month!$A$2:$A$13,0))-K684,I684)))</f>
        <v/>
      </c>
      <c r="O684">
        <f>IF(I684=0,0,MAX(0,MIN(INDEX(Month!J$2:J$13,MATCH($A684,Month!$A$2:$A$13,0))-K684,I684)))</f>
        <v/>
      </c>
      <c r="P684">
        <f>IF(I684=0,0,(MIN(MAX(K684,0),L684)*W684+SUMPRODUCT((Calc!$A$2:$A$1001=A684)*Calc!$G$2:$G$1001*(((K684-(L684+Calc!$J$2:$J$1001))&gt;0)*((K684-(L684+Calc!$J$2:$J$1001))&lt;Calc!$F$2:$F$1001)*(K684-(L684+Calc!$J$2:$J$1001))+((K684-(L684+Calc!$J$2:$J$1001))&gt;=Calc!$F$2:$F$1001)*Calc!$F$2:$F$1001))))</f>
        <v/>
      </c>
      <c r="Q684">
        <f>IF(I684=0,0,(MIN(MAX((K684+M684),0),L684)*W684+SUMPRODUCT((Calc!$A$2:$A$1001=A684)*Calc!$G$2:$G$1001*((((K684+M684)-(L684+Calc!$J$2:$J$1001))&gt;0)*(((K684+M684)-(L684+Calc!$J$2:$J$1001))&lt;Calc!$F$2:$F$1001)*((K684+M684)-(L684+Calc!$J$2:$J$1001))+(((K684+M684)-(L684+Calc!$J$2:$J$1001))&gt;=Calc!$F$2:$F$1001)*Calc!$F$2:$F$1001))))</f>
        <v/>
      </c>
      <c r="R684">
        <f>IF(I684=0,0,(MIN(MAX((K684+N684),0),L684)*W684+SUMPRODUCT((Calc!$A$2:$A$1001=A684)*Calc!$G$2:$G$1001*((((K684+N684)-(L684+Calc!$J$2:$J$1001))&gt;0)*(((K684+N684)-(L684+Calc!$J$2:$J$1001))&lt;Calc!$F$2:$F$1001)*((K684+N684)-(L684+Calc!$J$2:$J$1001))+(((K684+N684)-(L684+Calc!$J$2:$J$1001))&gt;=Calc!$F$2:$F$1001)*Calc!$F$2:$F$1001))))</f>
        <v/>
      </c>
      <c r="S684">
        <f>IF(I684=0,0,(MIN(MAX((K684+O684),0),L684)*W684+SUMPRODUCT((Calc!$A$2:$A$1001=A684)*Calc!$G$2:$G$1001*((((K684+O684)-(L684+Calc!$J$2:$J$1001))&gt;0)*(((K684+O684)-(L684+Calc!$J$2:$J$1001))&lt;Calc!$F$2:$F$1001)*((K684+O684)-(L684+Calc!$J$2:$J$1001))+(((K684+O684)-(L684+Calc!$J$2:$J$1001))&gt;=Calc!$F$2:$F$1001)*Calc!$F$2:$F$1001))))</f>
        <v/>
      </c>
      <c r="T684">
        <f>IF(AND(E684=1,B684="RETURN"),Transactions!E684*Transactions!G684,0)</f>
        <v/>
      </c>
      <c r="U684">
        <f>IF(AND(E684=1,B684="EXPENSE"),Transactions!J684,0)</f>
        <v/>
      </c>
      <c r="V684">
        <f>IF(AND(Transactions!A684&lt;&gt;"",E684=0),ROW(),"")</f>
        <v/>
      </c>
      <c r="W684">
        <f>IFERROR(VLOOKUP(A684,Opening!$A:$D,4,0),0)</f>
        <v/>
      </c>
    </row>
    <row r="685">
      <c r="A685">
        <f>IF(Transactions!D685="","",UPPER(TRIM(Transactions!D685)))</f>
        <v/>
      </c>
      <c r="B685">
        <f>IF(Transactions!C685="","",UPPER(TRIM(Transactions!C685)))</f>
        <v/>
      </c>
      <c r="C685">
        <f>IF(Transactions!B685="",0,YEAR(Transactions!B685)*100+MONTH(Transactions!B685))</f>
        <v/>
      </c>
      <c r="D685">
        <f>IF(Transactions!A685="",1,IF(COUNTIF(Transactions!$A$1:A684,Transactions!A685)&gt;0,1,0))</f>
        <v/>
      </c>
      <c r="E685">
        <f>IF(D685=1,0,IF(B685="RETURN",IF(COUNTIFS($A$1:A684,A685,$B$1:B684,"SALE",$E$1:E684,1)&gt;0,1,0),1))</f>
        <v/>
      </c>
      <c r="F685">
        <f>IF(E685=1,IF(B685="RECEIPT",Transactions!E685,IF(AND(B685="RETURN",LOWER(TRIM(Transactions!H685))="resellable"),Transactions!E685,0)),0)</f>
        <v/>
      </c>
      <c r="G685">
        <f>IF(F685&gt;0,IF(B685="RECEIPT",Transactions!F685,IF(_xlfn.MAXIFS($H$2:H685,$A$2:A685,A685)&gt;0,INDEX(Transactions!$F:$F,_xlfn.MAXIFS($H$2:H685,$A$2:A685,A685)),W685)),0)</f>
        <v/>
      </c>
      <c r="H685">
        <f>IF(AND(E685=1,B685="RECEIPT"),ROW(),0)</f>
        <v/>
      </c>
      <c r="I685">
        <f>IF(E685=1,IF(OR(B685="SALE",B685="WRITEOFF"),Transactions!E685,0),0)</f>
        <v/>
      </c>
      <c r="J685">
        <f>SUMIFS($F$1:F684,$A$1:A684,A685)</f>
        <v/>
      </c>
      <c r="K685">
        <f>SUMIFS($I$1:I684,$A$1:A684,A685)</f>
        <v/>
      </c>
      <c r="L685">
        <f>IFERROR(VLOOKUP(A685,Opening!$A:$C,3,0),0)</f>
        <v/>
      </c>
      <c r="M685">
        <f>IF(I685=0,0,MAX(0,MIN(INDEX(Month!H$2:H$13,MATCH($A685,Month!$A$2:$A$13,0))-K685,I685)))</f>
        <v/>
      </c>
      <c r="N685">
        <f>IF(I685=0,0,MAX(0,MIN(INDEX(Month!I$2:I$13,MATCH($A685,Month!$A$2:$A$13,0))-K685,I685)))</f>
        <v/>
      </c>
      <c r="O685">
        <f>IF(I685=0,0,MAX(0,MIN(INDEX(Month!J$2:J$13,MATCH($A685,Month!$A$2:$A$13,0))-K685,I685)))</f>
        <v/>
      </c>
      <c r="P685">
        <f>IF(I685=0,0,(MIN(MAX(K685,0),L685)*W685+SUMPRODUCT((Calc!$A$2:$A$1001=A685)*Calc!$G$2:$G$1001*(((K685-(L685+Calc!$J$2:$J$1001))&gt;0)*((K685-(L685+Calc!$J$2:$J$1001))&lt;Calc!$F$2:$F$1001)*(K685-(L685+Calc!$J$2:$J$1001))+((K685-(L685+Calc!$J$2:$J$1001))&gt;=Calc!$F$2:$F$1001)*Calc!$F$2:$F$1001))))</f>
        <v/>
      </c>
      <c r="Q685">
        <f>IF(I685=0,0,(MIN(MAX((K685+M685),0),L685)*W685+SUMPRODUCT((Calc!$A$2:$A$1001=A685)*Calc!$G$2:$G$1001*((((K685+M685)-(L685+Calc!$J$2:$J$1001))&gt;0)*(((K685+M685)-(L685+Calc!$J$2:$J$1001))&lt;Calc!$F$2:$F$1001)*((K685+M685)-(L685+Calc!$J$2:$J$1001))+(((K685+M685)-(L685+Calc!$J$2:$J$1001))&gt;=Calc!$F$2:$F$1001)*Calc!$F$2:$F$1001))))</f>
        <v/>
      </c>
      <c r="R685">
        <f>IF(I685=0,0,(MIN(MAX((K685+N685),0),L685)*W685+SUMPRODUCT((Calc!$A$2:$A$1001=A685)*Calc!$G$2:$G$1001*((((K685+N685)-(L685+Calc!$J$2:$J$1001))&gt;0)*(((K685+N685)-(L685+Calc!$J$2:$J$1001))&lt;Calc!$F$2:$F$1001)*((K685+N685)-(L685+Calc!$J$2:$J$1001))+(((K685+N685)-(L685+Calc!$J$2:$J$1001))&gt;=Calc!$F$2:$F$1001)*Calc!$F$2:$F$1001))))</f>
        <v/>
      </c>
      <c r="S685">
        <f>IF(I685=0,0,(MIN(MAX((K685+O685),0),L685)*W685+SUMPRODUCT((Calc!$A$2:$A$1001=A685)*Calc!$G$2:$G$1001*((((K685+O685)-(L685+Calc!$J$2:$J$1001))&gt;0)*(((K685+O685)-(L685+Calc!$J$2:$J$1001))&lt;Calc!$F$2:$F$1001)*((K685+O685)-(L685+Calc!$J$2:$J$1001))+(((K685+O685)-(L685+Calc!$J$2:$J$1001))&gt;=Calc!$F$2:$F$1001)*Calc!$F$2:$F$1001))))</f>
        <v/>
      </c>
      <c r="T685">
        <f>IF(AND(E685=1,B685="RETURN"),Transactions!E685*Transactions!G685,0)</f>
        <v/>
      </c>
      <c r="U685">
        <f>IF(AND(E685=1,B685="EXPENSE"),Transactions!J685,0)</f>
        <v/>
      </c>
      <c r="V685">
        <f>IF(AND(Transactions!A685&lt;&gt;"",E685=0),ROW(),"")</f>
        <v/>
      </c>
      <c r="W685">
        <f>IFERROR(VLOOKUP(A685,Opening!$A:$D,4,0),0)</f>
        <v/>
      </c>
    </row>
    <row r="686">
      <c r="A686">
        <f>IF(Transactions!D686="","",UPPER(TRIM(Transactions!D686)))</f>
        <v/>
      </c>
      <c r="B686">
        <f>IF(Transactions!C686="","",UPPER(TRIM(Transactions!C686)))</f>
        <v/>
      </c>
      <c r="C686">
        <f>IF(Transactions!B686="",0,YEAR(Transactions!B686)*100+MONTH(Transactions!B686))</f>
        <v/>
      </c>
      <c r="D686">
        <f>IF(Transactions!A686="",1,IF(COUNTIF(Transactions!$A$1:A685,Transactions!A686)&gt;0,1,0))</f>
        <v/>
      </c>
      <c r="E686">
        <f>IF(D686=1,0,IF(B686="RETURN",IF(COUNTIFS($A$1:A685,A686,$B$1:B685,"SALE",$E$1:E685,1)&gt;0,1,0),1))</f>
        <v/>
      </c>
      <c r="F686">
        <f>IF(E686=1,IF(B686="RECEIPT",Transactions!E686,IF(AND(B686="RETURN",LOWER(TRIM(Transactions!H686))="resellable"),Transactions!E686,0)),0)</f>
        <v/>
      </c>
      <c r="G686">
        <f>IF(F686&gt;0,IF(B686="RECEIPT",Transactions!F686,IF(_xlfn.MAXIFS($H$2:H686,$A$2:A686,A686)&gt;0,INDEX(Transactions!$F:$F,_xlfn.MAXIFS($H$2:H686,$A$2:A686,A686)),W686)),0)</f>
        <v/>
      </c>
      <c r="H686">
        <f>IF(AND(E686=1,B686="RECEIPT"),ROW(),0)</f>
        <v/>
      </c>
      <c r="I686">
        <f>IF(E686=1,IF(OR(B686="SALE",B686="WRITEOFF"),Transactions!E686,0),0)</f>
        <v/>
      </c>
      <c r="J686">
        <f>SUMIFS($F$1:F685,$A$1:A685,A686)</f>
        <v/>
      </c>
      <c r="K686">
        <f>SUMIFS($I$1:I685,$A$1:A685,A686)</f>
        <v/>
      </c>
      <c r="L686">
        <f>IFERROR(VLOOKUP(A686,Opening!$A:$C,3,0),0)</f>
        <v/>
      </c>
      <c r="M686">
        <f>IF(I686=0,0,MAX(0,MIN(INDEX(Month!H$2:H$13,MATCH($A686,Month!$A$2:$A$13,0))-K686,I686)))</f>
        <v/>
      </c>
      <c r="N686">
        <f>IF(I686=0,0,MAX(0,MIN(INDEX(Month!I$2:I$13,MATCH($A686,Month!$A$2:$A$13,0))-K686,I686)))</f>
        <v/>
      </c>
      <c r="O686">
        <f>IF(I686=0,0,MAX(0,MIN(INDEX(Month!J$2:J$13,MATCH($A686,Month!$A$2:$A$13,0))-K686,I686)))</f>
        <v/>
      </c>
      <c r="P686">
        <f>IF(I686=0,0,(MIN(MAX(K686,0),L686)*W686+SUMPRODUCT((Calc!$A$2:$A$1001=A686)*Calc!$G$2:$G$1001*(((K686-(L686+Calc!$J$2:$J$1001))&gt;0)*((K686-(L686+Calc!$J$2:$J$1001))&lt;Calc!$F$2:$F$1001)*(K686-(L686+Calc!$J$2:$J$1001))+((K686-(L686+Calc!$J$2:$J$1001))&gt;=Calc!$F$2:$F$1001)*Calc!$F$2:$F$1001))))</f>
        <v/>
      </c>
      <c r="Q686">
        <f>IF(I686=0,0,(MIN(MAX((K686+M686),0),L686)*W686+SUMPRODUCT((Calc!$A$2:$A$1001=A686)*Calc!$G$2:$G$1001*((((K686+M686)-(L686+Calc!$J$2:$J$1001))&gt;0)*(((K686+M686)-(L686+Calc!$J$2:$J$1001))&lt;Calc!$F$2:$F$1001)*((K686+M686)-(L686+Calc!$J$2:$J$1001))+(((K686+M686)-(L686+Calc!$J$2:$J$1001))&gt;=Calc!$F$2:$F$1001)*Calc!$F$2:$F$1001))))</f>
        <v/>
      </c>
      <c r="R686">
        <f>IF(I686=0,0,(MIN(MAX((K686+N686),0),L686)*W686+SUMPRODUCT((Calc!$A$2:$A$1001=A686)*Calc!$G$2:$G$1001*((((K686+N686)-(L686+Calc!$J$2:$J$1001))&gt;0)*(((K686+N686)-(L686+Calc!$J$2:$J$1001))&lt;Calc!$F$2:$F$1001)*((K686+N686)-(L686+Calc!$J$2:$J$1001))+(((K686+N686)-(L686+Calc!$J$2:$J$1001))&gt;=Calc!$F$2:$F$1001)*Calc!$F$2:$F$1001))))</f>
        <v/>
      </c>
      <c r="S686">
        <f>IF(I686=0,0,(MIN(MAX((K686+O686),0),L686)*W686+SUMPRODUCT((Calc!$A$2:$A$1001=A686)*Calc!$G$2:$G$1001*((((K686+O686)-(L686+Calc!$J$2:$J$1001))&gt;0)*(((K686+O686)-(L686+Calc!$J$2:$J$1001))&lt;Calc!$F$2:$F$1001)*((K686+O686)-(L686+Calc!$J$2:$J$1001))+(((K686+O686)-(L686+Calc!$J$2:$J$1001))&gt;=Calc!$F$2:$F$1001)*Calc!$F$2:$F$1001))))</f>
        <v/>
      </c>
      <c r="T686">
        <f>IF(AND(E686=1,B686="RETURN"),Transactions!E686*Transactions!G686,0)</f>
        <v/>
      </c>
      <c r="U686">
        <f>IF(AND(E686=1,B686="EXPENSE"),Transactions!J686,0)</f>
        <v/>
      </c>
      <c r="V686">
        <f>IF(AND(Transactions!A686&lt;&gt;"",E686=0),ROW(),"")</f>
        <v/>
      </c>
      <c r="W686">
        <f>IFERROR(VLOOKUP(A686,Opening!$A:$D,4,0),0)</f>
        <v/>
      </c>
    </row>
    <row r="687">
      <c r="A687">
        <f>IF(Transactions!D687="","",UPPER(TRIM(Transactions!D687)))</f>
        <v/>
      </c>
      <c r="B687">
        <f>IF(Transactions!C687="","",UPPER(TRIM(Transactions!C687)))</f>
        <v/>
      </c>
      <c r="C687">
        <f>IF(Transactions!B687="",0,YEAR(Transactions!B687)*100+MONTH(Transactions!B687))</f>
        <v/>
      </c>
      <c r="D687">
        <f>IF(Transactions!A687="",1,IF(COUNTIF(Transactions!$A$1:A686,Transactions!A687)&gt;0,1,0))</f>
        <v/>
      </c>
      <c r="E687">
        <f>IF(D687=1,0,IF(B687="RETURN",IF(COUNTIFS($A$1:A686,A687,$B$1:B686,"SALE",$E$1:E686,1)&gt;0,1,0),1))</f>
        <v/>
      </c>
      <c r="F687">
        <f>IF(E687=1,IF(B687="RECEIPT",Transactions!E687,IF(AND(B687="RETURN",LOWER(TRIM(Transactions!H687))="resellable"),Transactions!E687,0)),0)</f>
        <v/>
      </c>
      <c r="G687">
        <f>IF(F687&gt;0,IF(B687="RECEIPT",Transactions!F687,IF(_xlfn.MAXIFS($H$2:H687,$A$2:A687,A687)&gt;0,INDEX(Transactions!$F:$F,_xlfn.MAXIFS($H$2:H687,$A$2:A687,A687)),W687)),0)</f>
        <v/>
      </c>
      <c r="H687">
        <f>IF(AND(E687=1,B687="RECEIPT"),ROW(),0)</f>
        <v/>
      </c>
      <c r="I687">
        <f>IF(E687=1,IF(OR(B687="SALE",B687="WRITEOFF"),Transactions!E687,0),0)</f>
        <v/>
      </c>
      <c r="J687">
        <f>SUMIFS($F$1:F686,$A$1:A686,A687)</f>
        <v/>
      </c>
      <c r="K687">
        <f>SUMIFS($I$1:I686,$A$1:A686,A687)</f>
        <v/>
      </c>
      <c r="L687">
        <f>IFERROR(VLOOKUP(A687,Opening!$A:$C,3,0),0)</f>
        <v/>
      </c>
      <c r="M687">
        <f>IF(I687=0,0,MAX(0,MIN(INDEX(Month!H$2:H$13,MATCH($A687,Month!$A$2:$A$13,0))-K687,I687)))</f>
        <v/>
      </c>
      <c r="N687">
        <f>IF(I687=0,0,MAX(0,MIN(INDEX(Month!I$2:I$13,MATCH($A687,Month!$A$2:$A$13,0))-K687,I687)))</f>
        <v/>
      </c>
      <c r="O687">
        <f>IF(I687=0,0,MAX(0,MIN(INDEX(Month!J$2:J$13,MATCH($A687,Month!$A$2:$A$13,0))-K687,I687)))</f>
        <v/>
      </c>
      <c r="P687">
        <f>IF(I687=0,0,(MIN(MAX(K687,0),L687)*W687+SUMPRODUCT((Calc!$A$2:$A$1001=A687)*Calc!$G$2:$G$1001*(((K687-(L687+Calc!$J$2:$J$1001))&gt;0)*((K687-(L687+Calc!$J$2:$J$1001))&lt;Calc!$F$2:$F$1001)*(K687-(L687+Calc!$J$2:$J$1001))+((K687-(L687+Calc!$J$2:$J$1001))&gt;=Calc!$F$2:$F$1001)*Calc!$F$2:$F$1001))))</f>
        <v/>
      </c>
      <c r="Q687">
        <f>IF(I687=0,0,(MIN(MAX((K687+M687),0),L687)*W687+SUMPRODUCT((Calc!$A$2:$A$1001=A687)*Calc!$G$2:$G$1001*((((K687+M687)-(L687+Calc!$J$2:$J$1001))&gt;0)*(((K687+M687)-(L687+Calc!$J$2:$J$1001))&lt;Calc!$F$2:$F$1001)*((K687+M687)-(L687+Calc!$J$2:$J$1001))+(((K687+M687)-(L687+Calc!$J$2:$J$1001))&gt;=Calc!$F$2:$F$1001)*Calc!$F$2:$F$1001))))</f>
        <v/>
      </c>
      <c r="R687">
        <f>IF(I687=0,0,(MIN(MAX((K687+N687),0),L687)*W687+SUMPRODUCT((Calc!$A$2:$A$1001=A687)*Calc!$G$2:$G$1001*((((K687+N687)-(L687+Calc!$J$2:$J$1001))&gt;0)*(((K687+N687)-(L687+Calc!$J$2:$J$1001))&lt;Calc!$F$2:$F$1001)*((K687+N687)-(L687+Calc!$J$2:$J$1001))+(((K687+N687)-(L687+Calc!$J$2:$J$1001))&gt;=Calc!$F$2:$F$1001)*Calc!$F$2:$F$1001))))</f>
        <v/>
      </c>
      <c r="S687">
        <f>IF(I687=0,0,(MIN(MAX((K687+O687),0),L687)*W687+SUMPRODUCT((Calc!$A$2:$A$1001=A687)*Calc!$G$2:$G$1001*((((K687+O687)-(L687+Calc!$J$2:$J$1001))&gt;0)*(((K687+O687)-(L687+Calc!$J$2:$J$1001))&lt;Calc!$F$2:$F$1001)*((K687+O687)-(L687+Calc!$J$2:$J$1001))+(((K687+O687)-(L687+Calc!$J$2:$J$1001))&gt;=Calc!$F$2:$F$1001)*Calc!$F$2:$F$1001))))</f>
        <v/>
      </c>
      <c r="T687">
        <f>IF(AND(E687=1,B687="RETURN"),Transactions!E687*Transactions!G687,0)</f>
        <v/>
      </c>
      <c r="U687">
        <f>IF(AND(E687=1,B687="EXPENSE"),Transactions!J687,0)</f>
        <v/>
      </c>
      <c r="V687">
        <f>IF(AND(Transactions!A687&lt;&gt;"",E687=0),ROW(),"")</f>
        <v/>
      </c>
      <c r="W687">
        <f>IFERROR(VLOOKUP(A687,Opening!$A:$D,4,0),0)</f>
        <v/>
      </c>
    </row>
    <row r="688">
      <c r="A688">
        <f>IF(Transactions!D688="","",UPPER(TRIM(Transactions!D688)))</f>
        <v/>
      </c>
      <c r="B688">
        <f>IF(Transactions!C688="","",UPPER(TRIM(Transactions!C688)))</f>
        <v/>
      </c>
      <c r="C688">
        <f>IF(Transactions!B688="",0,YEAR(Transactions!B688)*100+MONTH(Transactions!B688))</f>
        <v/>
      </c>
      <c r="D688">
        <f>IF(Transactions!A688="",1,IF(COUNTIF(Transactions!$A$1:A687,Transactions!A688)&gt;0,1,0))</f>
        <v/>
      </c>
      <c r="E688">
        <f>IF(D688=1,0,IF(B688="RETURN",IF(COUNTIFS($A$1:A687,A688,$B$1:B687,"SALE",$E$1:E687,1)&gt;0,1,0),1))</f>
        <v/>
      </c>
      <c r="F688">
        <f>IF(E688=1,IF(B688="RECEIPT",Transactions!E688,IF(AND(B688="RETURN",LOWER(TRIM(Transactions!H688))="resellable"),Transactions!E688,0)),0)</f>
        <v/>
      </c>
      <c r="G688">
        <f>IF(F688&gt;0,IF(B688="RECEIPT",Transactions!F688,IF(_xlfn.MAXIFS($H$2:H688,$A$2:A688,A688)&gt;0,INDEX(Transactions!$F:$F,_xlfn.MAXIFS($H$2:H688,$A$2:A688,A688)),W688)),0)</f>
        <v/>
      </c>
      <c r="H688">
        <f>IF(AND(E688=1,B688="RECEIPT"),ROW(),0)</f>
        <v/>
      </c>
      <c r="I688">
        <f>IF(E688=1,IF(OR(B688="SALE",B688="WRITEOFF"),Transactions!E688,0),0)</f>
        <v/>
      </c>
      <c r="J688">
        <f>SUMIFS($F$1:F687,$A$1:A687,A688)</f>
        <v/>
      </c>
      <c r="K688">
        <f>SUMIFS($I$1:I687,$A$1:A687,A688)</f>
        <v/>
      </c>
      <c r="L688">
        <f>IFERROR(VLOOKUP(A688,Opening!$A:$C,3,0),0)</f>
        <v/>
      </c>
      <c r="M688">
        <f>IF(I688=0,0,MAX(0,MIN(INDEX(Month!H$2:H$13,MATCH($A688,Month!$A$2:$A$13,0))-K688,I688)))</f>
        <v/>
      </c>
      <c r="N688">
        <f>IF(I688=0,0,MAX(0,MIN(INDEX(Month!I$2:I$13,MATCH($A688,Month!$A$2:$A$13,0))-K688,I688)))</f>
        <v/>
      </c>
      <c r="O688">
        <f>IF(I688=0,0,MAX(0,MIN(INDEX(Month!J$2:J$13,MATCH($A688,Month!$A$2:$A$13,0))-K688,I688)))</f>
        <v/>
      </c>
      <c r="P688">
        <f>IF(I688=0,0,(MIN(MAX(K688,0),L688)*W688+SUMPRODUCT((Calc!$A$2:$A$1001=A688)*Calc!$G$2:$G$1001*(((K688-(L688+Calc!$J$2:$J$1001))&gt;0)*((K688-(L688+Calc!$J$2:$J$1001))&lt;Calc!$F$2:$F$1001)*(K688-(L688+Calc!$J$2:$J$1001))+((K688-(L688+Calc!$J$2:$J$1001))&gt;=Calc!$F$2:$F$1001)*Calc!$F$2:$F$1001))))</f>
        <v/>
      </c>
      <c r="Q688">
        <f>IF(I688=0,0,(MIN(MAX((K688+M688),0),L688)*W688+SUMPRODUCT((Calc!$A$2:$A$1001=A688)*Calc!$G$2:$G$1001*((((K688+M688)-(L688+Calc!$J$2:$J$1001))&gt;0)*(((K688+M688)-(L688+Calc!$J$2:$J$1001))&lt;Calc!$F$2:$F$1001)*((K688+M688)-(L688+Calc!$J$2:$J$1001))+(((K688+M688)-(L688+Calc!$J$2:$J$1001))&gt;=Calc!$F$2:$F$1001)*Calc!$F$2:$F$1001))))</f>
        <v/>
      </c>
      <c r="R688">
        <f>IF(I688=0,0,(MIN(MAX((K688+N688),0),L688)*W688+SUMPRODUCT((Calc!$A$2:$A$1001=A688)*Calc!$G$2:$G$1001*((((K688+N688)-(L688+Calc!$J$2:$J$1001))&gt;0)*(((K688+N688)-(L688+Calc!$J$2:$J$1001))&lt;Calc!$F$2:$F$1001)*((K688+N688)-(L688+Calc!$J$2:$J$1001))+(((K688+N688)-(L688+Calc!$J$2:$J$1001))&gt;=Calc!$F$2:$F$1001)*Calc!$F$2:$F$1001))))</f>
        <v/>
      </c>
      <c r="S688">
        <f>IF(I688=0,0,(MIN(MAX((K688+O688),0),L688)*W688+SUMPRODUCT((Calc!$A$2:$A$1001=A688)*Calc!$G$2:$G$1001*((((K688+O688)-(L688+Calc!$J$2:$J$1001))&gt;0)*(((K688+O688)-(L688+Calc!$J$2:$J$1001))&lt;Calc!$F$2:$F$1001)*((K688+O688)-(L688+Calc!$J$2:$J$1001))+(((K688+O688)-(L688+Calc!$J$2:$J$1001))&gt;=Calc!$F$2:$F$1001)*Calc!$F$2:$F$1001))))</f>
        <v/>
      </c>
      <c r="T688">
        <f>IF(AND(E688=1,B688="RETURN"),Transactions!E688*Transactions!G688,0)</f>
        <v/>
      </c>
      <c r="U688">
        <f>IF(AND(E688=1,B688="EXPENSE"),Transactions!J688,0)</f>
        <v/>
      </c>
      <c r="V688">
        <f>IF(AND(Transactions!A688&lt;&gt;"",E688=0),ROW(),"")</f>
        <v/>
      </c>
      <c r="W688">
        <f>IFERROR(VLOOKUP(A688,Opening!$A:$D,4,0),0)</f>
        <v/>
      </c>
    </row>
    <row r="689">
      <c r="A689">
        <f>IF(Transactions!D689="","",UPPER(TRIM(Transactions!D689)))</f>
        <v/>
      </c>
      <c r="B689">
        <f>IF(Transactions!C689="","",UPPER(TRIM(Transactions!C689)))</f>
        <v/>
      </c>
      <c r="C689">
        <f>IF(Transactions!B689="",0,YEAR(Transactions!B689)*100+MONTH(Transactions!B689))</f>
        <v/>
      </c>
      <c r="D689">
        <f>IF(Transactions!A689="",1,IF(COUNTIF(Transactions!$A$1:A688,Transactions!A689)&gt;0,1,0))</f>
        <v/>
      </c>
      <c r="E689">
        <f>IF(D689=1,0,IF(B689="RETURN",IF(COUNTIFS($A$1:A688,A689,$B$1:B688,"SALE",$E$1:E688,1)&gt;0,1,0),1))</f>
        <v/>
      </c>
      <c r="F689">
        <f>IF(E689=1,IF(B689="RECEIPT",Transactions!E689,IF(AND(B689="RETURN",LOWER(TRIM(Transactions!H689))="resellable"),Transactions!E689,0)),0)</f>
        <v/>
      </c>
      <c r="G689">
        <f>IF(F689&gt;0,IF(B689="RECEIPT",Transactions!F689,IF(_xlfn.MAXIFS($H$2:H689,$A$2:A689,A689)&gt;0,INDEX(Transactions!$F:$F,_xlfn.MAXIFS($H$2:H689,$A$2:A689,A689)),W689)),0)</f>
        <v/>
      </c>
      <c r="H689">
        <f>IF(AND(E689=1,B689="RECEIPT"),ROW(),0)</f>
        <v/>
      </c>
      <c r="I689">
        <f>IF(E689=1,IF(OR(B689="SALE",B689="WRITEOFF"),Transactions!E689,0),0)</f>
        <v/>
      </c>
      <c r="J689">
        <f>SUMIFS($F$1:F688,$A$1:A688,A689)</f>
        <v/>
      </c>
      <c r="K689">
        <f>SUMIFS($I$1:I688,$A$1:A688,A689)</f>
        <v/>
      </c>
      <c r="L689">
        <f>IFERROR(VLOOKUP(A689,Opening!$A:$C,3,0),0)</f>
        <v/>
      </c>
      <c r="M689">
        <f>IF(I689=0,0,MAX(0,MIN(INDEX(Month!H$2:H$13,MATCH($A689,Month!$A$2:$A$13,0))-K689,I689)))</f>
        <v/>
      </c>
      <c r="N689">
        <f>IF(I689=0,0,MAX(0,MIN(INDEX(Month!I$2:I$13,MATCH($A689,Month!$A$2:$A$13,0))-K689,I689)))</f>
        <v/>
      </c>
      <c r="O689">
        <f>IF(I689=0,0,MAX(0,MIN(INDEX(Month!J$2:J$13,MATCH($A689,Month!$A$2:$A$13,0))-K689,I689)))</f>
        <v/>
      </c>
      <c r="P689">
        <f>IF(I689=0,0,(MIN(MAX(K689,0),L689)*W689+SUMPRODUCT((Calc!$A$2:$A$1001=A689)*Calc!$G$2:$G$1001*(((K689-(L689+Calc!$J$2:$J$1001))&gt;0)*((K689-(L689+Calc!$J$2:$J$1001))&lt;Calc!$F$2:$F$1001)*(K689-(L689+Calc!$J$2:$J$1001))+((K689-(L689+Calc!$J$2:$J$1001))&gt;=Calc!$F$2:$F$1001)*Calc!$F$2:$F$1001))))</f>
        <v/>
      </c>
      <c r="Q689">
        <f>IF(I689=0,0,(MIN(MAX((K689+M689),0),L689)*W689+SUMPRODUCT((Calc!$A$2:$A$1001=A689)*Calc!$G$2:$G$1001*((((K689+M689)-(L689+Calc!$J$2:$J$1001))&gt;0)*(((K689+M689)-(L689+Calc!$J$2:$J$1001))&lt;Calc!$F$2:$F$1001)*((K689+M689)-(L689+Calc!$J$2:$J$1001))+(((K689+M689)-(L689+Calc!$J$2:$J$1001))&gt;=Calc!$F$2:$F$1001)*Calc!$F$2:$F$1001))))</f>
        <v/>
      </c>
      <c r="R689">
        <f>IF(I689=0,0,(MIN(MAX((K689+N689),0),L689)*W689+SUMPRODUCT((Calc!$A$2:$A$1001=A689)*Calc!$G$2:$G$1001*((((K689+N689)-(L689+Calc!$J$2:$J$1001))&gt;0)*(((K689+N689)-(L689+Calc!$J$2:$J$1001))&lt;Calc!$F$2:$F$1001)*((K689+N689)-(L689+Calc!$J$2:$J$1001))+(((K689+N689)-(L689+Calc!$J$2:$J$1001))&gt;=Calc!$F$2:$F$1001)*Calc!$F$2:$F$1001))))</f>
        <v/>
      </c>
      <c r="S689">
        <f>IF(I689=0,0,(MIN(MAX((K689+O689),0),L689)*W689+SUMPRODUCT((Calc!$A$2:$A$1001=A689)*Calc!$G$2:$G$1001*((((K689+O689)-(L689+Calc!$J$2:$J$1001))&gt;0)*(((K689+O689)-(L689+Calc!$J$2:$J$1001))&lt;Calc!$F$2:$F$1001)*((K689+O689)-(L689+Calc!$J$2:$J$1001))+(((K689+O689)-(L689+Calc!$J$2:$J$1001))&gt;=Calc!$F$2:$F$1001)*Calc!$F$2:$F$1001))))</f>
        <v/>
      </c>
      <c r="T689">
        <f>IF(AND(E689=1,B689="RETURN"),Transactions!E689*Transactions!G689,0)</f>
        <v/>
      </c>
      <c r="U689">
        <f>IF(AND(E689=1,B689="EXPENSE"),Transactions!J689,0)</f>
        <v/>
      </c>
      <c r="V689">
        <f>IF(AND(Transactions!A689&lt;&gt;"",E689=0),ROW(),"")</f>
        <v/>
      </c>
      <c r="W689">
        <f>IFERROR(VLOOKUP(A689,Opening!$A:$D,4,0),0)</f>
        <v/>
      </c>
    </row>
    <row r="690">
      <c r="A690">
        <f>IF(Transactions!D690="","",UPPER(TRIM(Transactions!D690)))</f>
        <v/>
      </c>
      <c r="B690">
        <f>IF(Transactions!C690="","",UPPER(TRIM(Transactions!C690)))</f>
        <v/>
      </c>
      <c r="C690">
        <f>IF(Transactions!B690="",0,YEAR(Transactions!B690)*100+MONTH(Transactions!B690))</f>
        <v/>
      </c>
      <c r="D690">
        <f>IF(Transactions!A690="",1,IF(COUNTIF(Transactions!$A$1:A689,Transactions!A690)&gt;0,1,0))</f>
        <v/>
      </c>
      <c r="E690">
        <f>IF(D690=1,0,IF(B690="RETURN",IF(COUNTIFS($A$1:A689,A690,$B$1:B689,"SALE",$E$1:E689,1)&gt;0,1,0),1))</f>
        <v/>
      </c>
      <c r="F690">
        <f>IF(E690=1,IF(B690="RECEIPT",Transactions!E690,IF(AND(B690="RETURN",LOWER(TRIM(Transactions!H690))="resellable"),Transactions!E690,0)),0)</f>
        <v/>
      </c>
      <c r="G690">
        <f>IF(F690&gt;0,IF(B690="RECEIPT",Transactions!F690,IF(_xlfn.MAXIFS($H$2:H690,$A$2:A690,A690)&gt;0,INDEX(Transactions!$F:$F,_xlfn.MAXIFS($H$2:H690,$A$2:A690,A690)),W690)),0)</f>
        <v/>
      </c>
      <c r="H690">
        <f>IF(AND(E690=1,B690="RECEIPT"),ROW(),0)</f>
        <v/>
      </c>
      <c r="I690">
        <f>IF(E690=1,IF(OR(B690="SALE",B690="WRITEOFF"),Transactions!E690,0),0)</f>
        <v/>
      </c>
      <c r="J690">
        <f>SUMIFS($F$1:F689,$A$1:A689,A690)</f>
        <v/>
      </c>
      <c r="K690">
        <f>SUMIFS($I$1:I689,$A$1:A689,A690)</f>
        <v/>
      </c>
      <c r="L690">
        <f>IFERROR(VLOOKUP(A690,Opening!$A:$C,3,0),0)</f>
        <v/>
      </c>
      <c r="M690">
        <f>IF(I690=0,0,MAX(0,MIN(INDEX(Month!H$2:H$13,MATCH($A690,Month!$A$2:$A$13,0))-K690,I690)))</f>
        <v/>
      </c>
      <c r="N690">
        <f>IF(I690=0,0,MAX(0,MIN(INDEX(Month!I$2:I$13,MATCH($A690,Month!$A$2:$A$13,0))-K690,I690)))</f>
        <v/>
      </c>
      <c r="O690">
        <f>IF(I690=0,0,MAX(0,MIN(INDEX(Month!J$2:J$13,MATCH($A690,Month!$A$2:$A$13,0))-K690,I690)))</f>
        <v/>
      </c>
      <c r="P690">
        <f>IF(I690=0,0,(MIN(MAX(K690,0),L690)*W690+SUMPRODUCT((Calc!$A$2:$A$1001=A690)*Calc!$G$2:$G$1001*(((K690-(L690+Calc!$J$2:$J$1001))&gt;0)*((K690-(L690+Calc!$J$2:$J$1001))&lt;Calc!$F$2:$F$1001)*(K690-(L690+Calc!$J$2:$J$1001))+((K690-(L690+Calc!$J$2:$J$1001))&gt;=Calc!$F$2:$F$1001)*Calc!$F$2:$F$1001))))</f>
        <v/>
      </c>
      <c r="Q690">
        <f>IF(I690=0,0,(MIN(MAX((K690+M690),0),L690)*W690+SUMPRODUCT((Calc!$A$2:$A$1001=A690)*Calc!$G$2:$G$1001*((((K690+M690)-(L690+Calc!$J$2:$J$1001))&gt;0)*(((K690+M690)-(L690+Calc!$J$2:$J$1001))&lt;Calc!$F$2:$F$1001)*((K690+M690)-(L690+Calc!$J$2:$J$1001))+(((K690+M690)-(L690+Calc!$J$2:$J$1001))&gt;=Calc!$F$2:$F$1001)*Calc!$F$2:$F$1001))))</f>
        <v/>
      </c>
      <c r="R690">
        <f>IF(I690=0,0,(MIN(MAX((K690+N690),0),L690)*W690+SUMPRODUCT((Calc!$A$2:$A$1001=A690)*Calc!$G$2:$G$1001*((((K690+N690)-(L690+Calc!$J$2:$J$1001))&gt;0)*(((K690+N690)-(L690+Calc!$J$2:$J$1001))&lt;Calc!$F$2:$F$1001)*((K690+N690)-(L690+Calc!$J$2:$J$1001))+(((K690+N690)-(L690+Calc!$J$2:$J$1001))&gt;=Calc!$F$2:$F$1001)*Calc!$F$2:$F$1001))))</f>
        <v/>
      </c>
      <c r="S690">
        <f>IF(I690=0,0,(MIN(MAX((K690+O690),0),L690)*W690+SUMPRODUCT((Calc!$A$2:$A$1001=A690)*Calc!$G$2:$G$1001*((((K690+O690)-(L690+Calc!$J$2:$J$1001))&gt;0)*(((K690+O690)-(L690+Calc!$J$2:$J$1001))&lt;Calc!$F$2:$F$1001)*((K690+O690)-(L690+Calc!$J$2:$J$1001))+(((K690+O690)-(L690+Calc!$J$2:$J$1001))&gt;=Calc!$F$2:$F$1001)*Calc!$F$2:$F$1001))))</f>
        <v/>
      </c>
      <c r="T690">
        <f>IF(AND(E690=1,B690="RETURN"),Transactions!E690*Transactions!G690,0)</f>
        <v/>
      </c>
      <c r="U690">
        <f>IF(AND(E690=1,B690="EXPENSE"),Transactions!J690,0)</f>
        <v/>
      </c>
      <c r="V690">
        <f>IF(AND(Transactions!A690&lt;&gt;"",E690=0),ROW(),"")</f>
        <v/>
      </c>
      <c r="W690">
        <f>IFERROR(VLOOKUP(A690,Opening!$A:$D,4,0),0)</f>
        <v/>
      </c>
    </row>
    <row r="691">
      <c r="A691">
        <f>IF(Transactions!D691="","",UPPER(TRIM(Transactions!D691)))</f>
        <v/>
      </c>
      <c r="B691">
        <f>IF(Transactions!C691="","",UPPER(TRIM(Transactions!C691)))</f>
        <v/>
      </c>
      <c r="C691">
        <f>IF(Transactions!B691="",0,YEAR(Transactions!B691)*100+MONTH(Transactions!B691))</f>
        <v/>
      </c>
      <c r="D691">
        <f>IF(Transactions!A691="",1,IF(COUNTIF(Transactions!$A$1:A690,Transactions!A691)&gt;0,1,0))</f>
        <v/>
      </c>
      <c r="E691">
        <f>IF(D691=1,0,IF(B691="RETURN",IF(COUNTIFS($A$1:A690,A691,$B$1:B690,"SALE",$E$1:E690,1)&gt;0,1,0),1))</f>
        <v/>
      </c>
      <c r="F691">
        <f>IF(E691=1,IF(B691="RECEIPT",Transactions!E691,IF(AND(B691="RETURN",LOWER(TRIM(Transactions!H691))="resellable"),Transactions!E691,0)),0)</f>
        <v/>
      </c>
      <c r="G691">
        <f>IF(F691&gt;0,IF(B691="RECEIPT",Transactions!F691,IF(_xlfn.MAXIFS($H$2:H691,$A$2:A691,A691)&gt;0,INDEX(Transactions!$F:$F,_xlfn.MAXIFS($H$2:H691,$A$2:A691,A691)),W691)),0)</f>
        <v/>
      </c>
      <c r="H691">
        <f>IF(AND(E691=1,B691="RECEIPT"),ROW(),0)</f>
        <v/>
      </c>
      <c r="I691">
        <f>IF(E691=1,IF(OR(B691="SALE",B691="WRITEOFF"),Transactions!E691,0),0)</f>
        <v/>
      </c>
      <c r="J691">
        <f>SUMIFS($F$1:F690,$A$1:A690,A691)</f>
        <v/>
      </c>
      <c r="K691">
        <f>SUMIFS($I$1:I690,$A$1:A690,A691)</f>
        <v/>
      </c>
      <c r="L691">
        <f>IFERROR(VLOOKUP(A691,Opening!$A:$C,3,0),0)</f>
        <v/>
      </c>
      <c r="M691">
        <f>IF(I691=0,0,MAX(0,MIN(INDEX(Month!H$2:H$13,MATCH($A691,Month!$A$2:$A$13,0))-K691,I691)))</f>
        <v/>
      </c>
      <c r="N691">
        <f>IF(I691=0,0,MAX(0,MIN(INDEX(Month!I$2:I$13,MATCH($A691,Month!$A$2:$A$13,0))-K691,I691)))</f>
        <v/>
      </c>
      <c r="O691">
        <f>IF(I691=0,0,MAX(0,MIN(INDEX(Month!J$2:J$13,MATCH($A691,Month!$A$2:$A$13,0))-K691,I691)))</f>
        <v/>
      </c>
      <c r="P691">
        <f>IF(I691=0,0,(MIN(MAX(K691,0),L691)*W691+SUMPRODUCT((Calc!$A$2:$A$1001=A691)*Calc!$G$2:$G$1001*(((K691-(L691+Calc!$J$2:$J$1001))&gt;0)*((K691-(L691+Calc!$J$2:$J$1001))&lt;Calc!$F$2:$F$1001)*(K691-(L691+Calc!$J$2:$J$1001))+((K691-(L691+Calc!$J$2:$J$1001))&gt;=Calc!$F$2:$F$1001)*Calc!$F$2:$F$1001))))</f>
        <v/>
      </c>
      <c r="Q691">
        <f>IF(I691=0,0,(MIN(MAX((K691+M691),0),L691)*W691+SUMPRODUCT((Calc!$A$2:$A$1001=A691)*Calc!$G$2:$G$1001*((((K691+M691)-(L691+Calc!$J$2:$J$1001))&gt;0)*(((K691+M691)-(L691+Calc!$J$2:$J$1001))&lt;Calc!$F$2:$F$1001)*((K691+M691)-(L691+Calc!$J$2:$J$1001))+(((K691+M691)-(L691+Calc!$J$2:$J$1001))&gt;=Calc!$F$2:$F$1001)*Calc!$F$2:$F$1001))))</f>
        <v/>
      </c>
      <c r="R691">
        <f>IF(I691=0,0,(MIN(MAX((K691+N691),0),L691)*W691+SUMPRODUCT((Calc!$A$2:$A$1001=A691)*Calc!$G$2:$G$1001*((((K691+N691)-(L691+Calc!$J$2:$J$1001))&gt;0)*(((K691+N691)-(L691+Calc!$J$2:$J$1001))&lt;Calc!$F$2:$F$1001)*((K691+N691)-(L691+Calc!$J$2:$J$1001))+(((K691+N691)-(L691+Calc!$J$2:$J$1001))&gt;=Calc!$F$2:$F$1001)*Calc!$F$2:$F$1001))))</f>
        <v/>
      </c>
      <c r="S691">
        <f>IF(I691=0,0,(MIN(MAX((K691+O691),0),L691)*W691+SUMPRODUCT((Calc!$A$2:$A$1001=A691)*Calc!$G$2:$G$1001*((((K691+O691)-(L691+Calc!$J$2:$J$1001))&gt;0)*(((K691+O691)-(L691+Calc!$J$2:$J$1001))&lt;Calc!$F$2:$F$1001)*((K691+O691)-(L691+Calc!$J$2:$J$1001))+(((K691+O691)-(L691+Calc!$J$2:$J$1001))&gt;=Calc!$F$2:$F$1001)*Calc!$F$2:$F$1001))))</f>
        <v/>
      </c>
      <c r="T691">
        <f>IF(AND(E691=1,B691="RETURN"),Transactions!E691*Transactions!G691,0)</f>
        <v/>
      </c>
      <c r="U691">
        <f>IF(AND(E691=1,B691="EXPENSE"),Transactions!J691,0)</f>
        <v/>
      </c>
      <c r="V691">
        <f>IF(AND(Transactions!A691&lt;&gt;"",E691=0),ROW(),"")</f>
        <v/>
      </c>
      <c r="W691">
        <f>IFERROR(VLOOKUP(A691,Opening!$A:$D,4,0),0)</f>
        <v/>
      </c>
    </row>
    <row r="692">
      <c r="A692">
        <f>IF(Transactions!D692="","",UPPER(TRIM(Transactions!D692)))</f>
        <v/>
      </c>
      <c r="B692">
        <f>IF(Transactions!C692="","",UPPER(TRIM(Transactions!C692)))</f>
        <v/>
      </c>
      <c r="C692">
        <f>IF(Transactions!B692="",0,YEAR(Transactions!B692)*100+MONTH(Transactions!B692))</f>
        <v/>
      </c>
      <c r="D692">
        <f>IF(Transactions!A692="",1,IF(COUNTIF(Transactions!$A$1:A691,Transactions!A692)&gt;0,1,0))</f>
        <v/>
      </c>
      <c r="E692">
        <f>IF(D692=1,0,IF(B692="RETURN",IF(COUNTIFS($A$1:A691,A692,$B$1:B691,"SALE",$E$1:E691,1)&gt;0,1,0),1))</f>
        <v/>
      </c>
      <c r="F692">
        <f>IF(E692=1,IF(B692="RECEIPT",Transactions!E692,IF(AND(B692="RETURN",LOWER(TRIM(Transactions!H692))="resellable"),Transactions!E692,0)),0)</f>
        <v/>
      </c>
      <c r="G692">
        <f>IF(F692&gt;0,IF(B692="RECEIPT",Transactions!F692,IF(_xlfn.MAXIFS($H$2:H692,$A$2:A692,A692)&gt;0,INDEX(Transactions!$F:$F,_xlfn.MAXIFS($H$2:H692,$A$2:A692,A692)),W692)),0)</f>
        <v/>
      </c>
      <c r="H692">
        <f>IF(AND(E692=1,B692="RECEIPT"),ROW(),0)</f>
        <v/>
      </c>
      <c r="I692">
        <f>IF(E692=1,IF(OR(B692="SALE",B692="WRITEOFF"),Transactions!E692,0),0)</f>
        <v/>
      </c>
      <c r="J692">
        <f>SUMIFS($F$1:F691,$A$1:A691,A692)</f>
        <v/>
      </c>
      <c r="K692">
        <f>SUMIFS($I$1:I691,$A$1:A691,A692)</f>
        <v/>
      </c>
      <c r="L692">
        <f>IFERROR(VLOOKUP(A692,Opening!$A:$C,3,0),0)</f>
        <v/>
      </c>
      <c r="M692">
        <f>IF(I692=0,0,MAX(0,MIN(INDEX(Month!H$2:H$13,MATCH($A692,Month!$A$2:$A$13,0))-K692,I692)))</f>
        <v/>
      </c>
      <c r="N692">
        <f>IF(I692=0,0,MAX(0,MIN(INDEX(Month!I$2:I$13,MATCH($A692,Month!$A$2:$A$13,0))-K692,I692)))</f>
        <v/>
      </c>
      <c r="O692">
        <f>IF(I692=0,0,MAX(0,MIN(INDEX(Month!J$2:J$13,MATCH($A692,Month!$A$2:$A$13,0))-K692,I692)))</f>
        <v/>
      </c>
      <c r="P692">
        <f>IF(I692=0,0,(MIN(MAX(K692,0),L692)*W692+SUMPRODUCT((Calc!$A$2:$A$1001=A692)*Calc!$G$2:$G$1001*(((K692-(L692+Calc!$J$2:$J$1001))&gt;0)*((K692-(L692+Calc!$J$2:$J$1001))&lt;Calc!$F$2:$F$1001)*(K692-(L692+Calc!$J$2:$J$1001))+((K692-(L692+Calc!$J$2:$J$1001))&gt;=Calc!$F$2:$F$1001)*Calc!$F$2:$F$1001))))</f>
        <v/>
      </c>
      <c r="Q692">
        <f>IF(I692=0,0,(MIN(MAX((K692+M692),0),L692)*W692+SUMPRODUCT((Calc!$A$2:$A$1001=A692)*Calc!$G$2:$G$1001*((((K692+M692)-(L692+Calc!$J$2:$J$1001))&gt;0)*(((K692+M692)-(L692+Calc!$J$2:$J$1001))&lt;Calc!$F$2:$F$1001)*((K692+M692)-(L692+Calc!$J$2:$J$1001))+(((K692+M692)-(L692+Calc!$J$2:$J$1001))&gt;=Calc!$F$2:$F$1001)*Calc!$F$2:$F$1001))))</f>
        <v/>
      </c>
      <c r="R692">
        <f>IF(I692=0,0,(MIN(MAX((K692+N692),0),L692)*W692+SUMPRODUCT((Calc!$A$2:$A$1001=A692)*Calc!$G$2:$G$1001*((((K692+N692)-(L692+Calc!$J$2:$J$1001))&gt;0)*(((K692+N692)-(L692+Calc!$J$2:$J$1001))&lt;Calc!$F$2:$F$1001)*((K692+N692)-(L692+Calc!$J$2:$J$1001))+(((K692+N692)-(L692+Calc!$J$2:$J$1001))&gt;=Calc!$F$2:$F$1001)*Calc!$F$2:$F$1001))))</f>
        <v/>
      </c>
      <c r="S692">
        <f>IF(I692=0,0,(MIN(MAX((K692+O692),0),L692)*W692+SUMPRODUCT((Calc!$A$2:$A$1001=A692)*Calc!$G$2:$G$1001*((((K692+O692)-(L692+Calc!$J$2:$J$1001))&gt;0)*(((K692+O692)-(L692+Calc!$J$2:$J$1001))&lt;Calc!$F$2:$F$1001)*((K692+O692)-(L692+Calc!$J$2:$J$1001))+(((K692+O692)-(L692+Calc!$J$2:$J$1001))&gt;=Calc!$F$2:$F$1001)*Calc!$F$2:$F$1001))))</f>
        <v/>
      </c>
      <c r="T692">
        <f>IF(AND(E692=1,B692="RETURN"),Transactions!E692*Transactions!G692,0)</f>
        <v/>
      </c>
      <c r="U692">
        <f>IF(AND(E692=1,B692="EXPENSE"),Transactions!J692,0)</f>
        <v/>
      </c>
      <c r="V692">
        <f>IF(AND(Transactions!A692&lt;&gt;"",E692=0),ROW(),"")</f>
        <v/>
      </c>
      <c r="W692">
        <f>IFERROR(VLOOKUP(A692,Opening!$A:$D,4,0),0)</f>
        <v/>
      </c>
    </row>
    <row r="693">
      <c r="A693">
        <f>IF(Transactions!D693="","",UPPER(TRIM(Transactions!D693)))</f>
        <v/>
      </c>
      <c r="B693">
        <f>IF(Transactions!C693="","",UPPER(TRIM(Transactions!C693)))</f>
        <v/>
      </c>
      <c r="C693">
        <f>IF(Transactions!B693="",0,YEAR(Transactions!B693)*100+MONTH(Transactions!B693))</f>
        <v/>
      </c>
      <c r="D693">
        <f>IF(Transactions!A693="",1,IF(COUNTIF(Transactions!$A$1:A692,Transactions!A693)&gt;0,1,0))</f>
        <v/>
      </c>
      <c r="E693">
        <f>IF(D693=1,0,IF(B693="RETURN",IF(COUNTIFS($A$1:A692,A693,$B$1:B692,"SALE",$E$1:E692,1)&gt;0,1,0),1))</f>
        <v/>
      </c>
      <c r="F693">
        <f>IF(E693=1,IF(B693="RECEIPT",Transactions!E693,IF(AND(B693="RETURN",LOWER(TRIM(Transactions!H693))="resellable"),Transactions!E693,0)),0)</f>
        <v/>
      </c>
      <c r="G693">
        <f>IF(F693&gt;0,IF(B693="RECEIPT",Transactions!F693,IF(_xlfn.MAXIFS($H$2:H693,$A$2:A693,A693)&gt;0,INDEX(Transactions!$F:$F,_xlfn.MAXIFS($H$2:H693,$A$2:A693,A693)),W693)),0)</f>
        <v/>
      </c>
      <c r="H693">
        <f>IF(AND(E693=1,B693="RECEIPT"),ROW(),0)</f>
        <v/>
      </c>
      <c r="I693">
        <f>IF(E693=1,IF(OR(B693="SALE",B693="WRITEOFF"),Transactions!E693,0),0)</f>
        <v/>
      </c>
      <c r="J693">
        <f>SUMIFS($F$1:F692,$A$1:A692,A693)</f>
        <v/>
      </c>
      <c r="K693">
        <f>SUMIFS($I$1:I692,$A$1:A692,A693)</f>
        <v/>
      </c>
      <c r="L693">
        <f>IFERROR(VLOOKUP(A693,Opening!$A:$C,3,0),0)</f>
        <v/>
      </c>
      <c r="M693">
        <f>IF(I693=0,0,MAX(0,MIN(INDEX(Month!H$2:H$13,MATCH($A693,Month!$A$2:$A$13,0))-K693,I693)))</f>
        <v/>
      </c>
      <c r="N693">
        <f>IF(I693=0,0,MAX(0,MIN(INDEX(Month!I$2:I$13,MATCH($A693,Month!$A$2:$A$13,0))-K693,I693)))</f>
        <v/>
      </c>
      <c r="O693">
        <f>IF(I693=0,0,MAX(0,MIN(INDEX(Month!J$2:J$13,MATCH($A693,Month!$A$2:$A$13,0))-K693,I693)))</f>
        <v/>
      </c>
      <c r="P693">
        <f>IF(I693=0,0,(MIN(MAX(K693,0),L693)*W693+SUMPRODUCT((Calc!$A$2:$A$1001=A693)*Calc!$G$2:$G$1001*(((K693-(L693+Calc!$J$2:$J$1001))&gt;0)*((K693-(L693+Calc!$J$2:$J$1001))&lt;Calc!$F$2:$F$1001)*(K693-(L693+Calc!$J$2:$J$1001))+((K693-(L693+Calc!$J$2:$J$1001))&gt;=Calc!$F$2:$F$1001)*Calc!$F$2:$F$1001))))</f>
        <v/>
      </c>
      <c r="Q693">
        <f>IF(I693=0,0,(MIN(MAX((K693+M693),0),L693)*W693+SUMPRODUCT((Calc!$A$2:$A$1001=A693)*Calc!$G$2:$G$1001*((((K693+M693)-(L693+Calc!$J$2:$J$1001))&gt;0)*(((K693+M693)-(L693+Calc!$J$2:$J$1001))&lt;Calc!$F$2:$F$1001)*((K693+M693)-(L693+Calc!$J$2:$J$1001))+(((K693+M693)-(L693+Calc!$J$2:$J$1001))&gt;=Calc!$F$2:$F$1001)*Calc!$F$2:$F$1001))))</f>
        <v/>
      </c>
      <c r="R693">
        <f>IF(I693=0,0,(MIN(MAX((K693+N693),0),L693)*W693+SUMPRODUCT((Calc!$A$2:$A$1001=A693)*Calc!$G$2:$G$1001*((((K693+N693)-(L693+Calc!$J$2:$J$1001))&gt;0)*(((K693+N693)-(L693+Calc!$J$2:$J$1001))&lt;Calc!$F$2:$F$1001)*((K693+N693)-(L693+Calc!$J$2:$J$1001))+(((K693+N693)-(L693+Calc!$J$2:$J$1001))&gt;=Calc!$F$2:$F$1001)*Calc!$F$2:$F$1001))))</f>
        <v/>
      </c>
      <c r="S693">
        <f>IF(I693=0,0,(MIN(MAX((K693+O693),0),L693)*W693+SUMPRODUCT((Calc!$A$2:$A$1001=A693)*Calc!$G$2:$G$1001*((((K693+O693)-(L693+Calc!$J$2:$J$1001))&gt;0)*(((K693+O693)-(L693+Calc!$J$2:$J$1001))&lt;Calc!$F$2:$F$1001)*((K693+O693)-(L693+Calc!$J$2:$J$1001))+(((K693+O693)-(L693+Calc!$J$2:$J$1001))&gt;=Calc!$F$2:$F$1001)*Calc!$F$2:$F$1001))))</f>
        <v/>
      </c>
      <c r="T693">
        <f>IF(AND(E693=1,B693="RETURN"),Transactions!E693*Transactions!G693,0)</f>
        <v/>
      </c>
      <c r="U693">
        <f>IF(AND(E693=1,B693="EXPENSE"),Transactions!J693,0)</f>
        <v/>
      </c>
      <c r="V693">
        <f>IF(AND(Transactions!A693&lt;&gt;"",E693=0),ROW(),"")</f>
        <v/>
      </c>
      <c r="W693">
        <f>IFERROR(VLOOKUP(A693,Opening!$A:$D,4,0),0)</f>
        <v/>
      </c>
    </row>
    <row r="694">
      <c r="A694">
        <f>IF(Transactions!D694="","",UPPER(TRIM(Transactions!D694)))</f>
        <v/>
      </c>
      <c r="B694">
        <f>IF(Transactions!C694="","",UPPER(TRIM(Transactions!C694)))</f>
        <v/>
      </c>
      <c r="C694">
        <f>IF(Transactions!B694="",0,YEAR(Transactions!B694)*100+MONTH(Transactions!B694))</f>
        <v/>
      </c>
      <c r="D694">
        <f>IF(Transactions!A694="",1,IF(COUNTIF(Transactions!$A$1:A693,Transactions!A694)&gt;0,1,0))</f>
        <v/>
      </c>
      <c r="E694">
        <f>IF(D694=1,0,IF(B694="RETURN",IF(COUNTIFS($A$1:A693,A694,$B$1:B693,"SALE",$E$1:E693,1)&gt;0,1,0),1))</f>
        <v/>
      </c>
      <c r="F694">
        <f>IF(E694=1,IF(B694="RECEIPT",Transactions!E694,IF(AND(B694="RETURN",LOWER(TRIM(Transactions!H694))="resellable"),Transactions!E694,0)),0)</f>
        <v/>
      </c>
      <c r="G694">
        <f>IF(F694&gt;0,IF(B694="RECEIPT",Transactions!F694,IF(_xlfn.MAXIFS($H$2:H694,$A$2:A694,A694)&gt;0,INDEX(Transactions!$F:$F,_xlfn.MAXIFS($H$2:H694,$A$2:A694,A694)),W694)),0)</f>
        <v/>
      </c>
      <c r="H694">
        <f>IF(AND(E694=1,B694="RECEIPT"),ROW(),0)</f>
        <v/>
      </c>
      <c r="I694">
        <f>IF(E694=1,IF(OR(B694="SALE",B694="WRITEOFF"),Transactions!E694,0),0)</f>
        <v/>
      </c>
      <c r="J694">
        <f>SUMIFS($F$1:F693,$A$1:A693,A694)</f>
        <v/>
      </c>
      <c r="K694">
        <f>SUMIFS($I$1:I693,$A$1:A693,A694)</f>
        <v/>
      </c>
      <c r="L694">
        <f>IFERROR(VLOOKUP(A694,Opening!$A:$C,3,0),0)</f>
        <v/>
      </c>
      <c r="M694">
        <f>IF(I694=0,0,MAX(0,MIN(INDEX(Month!H$2:H$13,MATCH($A694,Month!$A$2:$A$13,0))-K694,I694)))</f>
        <v/>
      </c>
      <c r="N694">
        <f>IF(I694=0,0,MAX(0,MIN(INDEX(Month!I$2:I$13,MATCH($A694,Month!$A$2:$A$13,0))-K694,I694)))</f>
        <v/>
      </c>
      <c r="O694">
        <f>IF(I694=0,0,MAX(0,MIN(INDEX(Month!J$2:J$13,MATCH($A694,Month!$A$2:$A$13,0))-K694,I694)))</f>
        <v/>
      </c>
      <c r="P694">
        <f>IF(I694=0,0,(MIN(MAX(K694,0),L694)*W694+SUMPRODUCT((Calc!$A$2:$A$1001=A694)*Calc!$G$2:$G$1001*(((K694-(L694+Calc!$J$2:$J$1001))&gt;0)*((K694-(L694+Calc!$J$2:$J$1001))&lt;Calc!$F$2:$F$1001)*(K694-(L694+Calc!$J$2:$J$1001))+((K694-(L694+Calc!$J$2:$J$1001))&gt;=Calc!$F$2:$F$1001)*Calc!$F$2:$F$1001))))</f>
        <v/>
      </c>
      <c r="Q694">
        <f>IF(I694=0,0,(MIN(MAX((K694+M694),0),L694)*W694+SUMPRODUCT((Calc!$A$2:$A$1001=A694)*Calc!$G$2:$G$1001*((((K694+M694)-(L694+Calc!$J$2:$J$1001))&gt;0)*(((K694+M694)-(L694+Calc!$J$2:$J$1001))&lt;Calc!$F$2:$F$1001)*((K694+M694)-(L694+Calc!$J$2:$J$1001))+(((K694+M694)-(L694+Calc!$J$2:$J$1001))&gt;=Calc!$F$2:$F$1001)*Calc!$F$2:$F$1001))))</f>
        <v/>
      </c>
      <c r="R694">
        <f>IF(I694=0,0,(MIN(MAX((K694+N694),0),L694)*W694+SUMPRODUCT((Calc!$A$2:$A$1001=A694)*Calc!$G$2:$G$1001*((((K694+N694)-(L694+Calc!$J$2:$J$1001))&gt;0)*(((K694+N694)-(L694+Calc!$J$2:$J$1001))&lt;Calc!$F$2:$F$1001)*((K694+N694)-(L694+Calc!$J$2:$J$1001))+(((K694+N694)-(L694+Calc!$J$2:$J$1001))&gt;=Calc!$F$2:$F$1001)*Calc!$F$2:$F$1001))))</f>
        <v/>
      </c>
      <c r="S694">
        <f>IF(I694=0,0,(MIN(MAX((K694+O694),0),L694)*W694+SUMPRODUCT((Calc!$A$2:$A$1001=A694)*Calc!$G$2:$G$1001*((((K694+O694)-(L694+Calc!$J$2:$J$1001))&gt;0)*(((K694+O694)-(L694+Calc!$J$2:$J$1001))&lt;Calc!$F$2:$F$1001)*((K694+O694)-(L694+Calc!$J$2:$J$1001))+(((K694+O694)-(L694+Calc!$J$2:$J$1001))&gt;=Calc!$F$2:$F$1001)*Calc!$F$2:$F$1001))))</f>
        <v/>
      </c>
      <c r="T694">
        <f>IF(AND(E694=1,B694="RETURN"),Transactions!E694*Transactions!G694,0)</f>
        <v/>
      </c>
      <c r="U694">
        <f>IF(AND(E694=1,B694="EXPENSE"),Transactions!J694,0)</f>
        <v/>
      </c>
      <c r="V694">
        <f>IF(AND(Transactions!A694&lt;&gt;"",E694=0),ROW(),"")</f>
        <v/>
      </c>
      <c r="W694">
        <f>IFERROR(VLOOKUP(A694,Opening!$A:$D,4,0),0)</f>
        <v/>
      </c>
    </row>
    <row r="695">
      <c r="A695">
        <f>IF(Transactions!D695="","",UPPER(TRIM(Transactions!D695)))</f>
        <v/>
      </c>
      <c r="B695">
        <f>IF(Transactions!C695="","",UPPER(TRIM(Transactions!C695)))</f>
        <v/>
      </c>
      <c r="C695">
        <f>IF(Transactions!B695="",0,YEAR(Transactions!B695)*100+MONTH(Transactions!B695))</f>
        <v/>
      </c>
      <c r="D695">
        <f>IF(Transactions!A695="",1,IF(COUNTIF(Transactions!$A$1:A694,Transactions!A695)&gt;0,1,0))</f>
        <v/>
      </c>
      <c r="E695">
        <f>IF(D695=1,0,IF(B695="RETURN",IF(COUNTIFS($A$1:A694,A695,$B$1:B694,"SALE",$E$1:E694,1)&gt;0,1,0),1))</f>
        <v/>
      </c>
      <c r="F695">
        <f>IF(E695=1,IF(B695="RECEIPT",Transactions!E695,IF(AND(B695="RETURN",LOWER(TRIM(Transactions!H695))="resellable"),Transactions!E695,0)),0)</f>
        <v/>
      </c>
      <c r="G695">
        <f>IF(F695&gt;0,IF(B695="RECEIPT",Transactions!F695,IF(_xlfn.MAXIFS($H$2:H695,$A$2:A695,A695)&gt;0,INDEX(Transactions!$F:$F,_xlfn.MAXIFS($H$2:H695,$A$2:A695,A695)),W695)),0)</f>
        <v/>
      </c>
      <c r="H695">
        <f>IF(AND(E695=1,B695="RECEIPT"),ROW(),0)</f>
        <v/>
      </c>
      <c r="I695">
        <f>IF(E695=1,IF(OR(B695="SALE",B695="WRITEOFF"),Transactions!E695,0),0)</f>
        <v/>
      </c>
      <c r="J695">
        <f>SUMIFS($F$1:F694,$A$1:A694,A695)</f>
        <v/>
      </c>
      <c r="K695">
        <f>SUMIFS($I$1:I694,$A$1:A694,A695)</f>
        <v/>
      </c>
      <c r="L695">
        <f>IFERROR(VLOOKUP(A695,Opening!$A:$C,3,0),0)</f>
        <v/>
      </c>
      <c r="M695">
        <f>IF(I695=0,0,MAX(0,MIN(INDEX(Month!H$2:H$13,MATCH($A695,Month!$A$2:$A$13,0))-K695,I695)))</f>
        <v/>
      </c>
      <c r="N695">
        <f>IF(I695=0,0,MAX(0,MIN(INDEX(Month!I$2:I$13,MATCH($A695,Month!$A$2:$A$13,0))-K695,I695)))</f>
        <v/>
      </c>
      <c r="O695">
        <f>IF(I695=0,0,MAX(0,MIN(INDEX(Month!J$2:J$13,MATCH($A695,Month!$A$2:$A$13,0))-K695,I695)))</f>
        <v/>
      </c>
      <c r="P695">
        <f>IF(I695=0,0,(MIN(MAX(K695,0),L695)*W695+SUMPRODUCT((Calc!$A$2:$A$1001=A695)*Calc!$G$2:$G$1001*(((K695-(L695+Calc!$J$2:$J$1001))&gt;0)*((K695-(L695+Calc!$J$2:$J$1001))&lt;Calc!$F$2:$F$1001)*(K695-(L695+Calc!$J$2:$J$1001))+((K695-(L695+Calc!$J$2:$J$1001))&gt;=Calc!$F$2:$F$1001)*Calc!$F$2:$F$1001))))</f>
        <v/>
      </c>
      <c r="Q695">
        <f>IF(I695=0,0,(MIN(MAX((K695+M695),0),L695)*W695+SUMPRODUCT((Calc!$A$2:$A$1001=A695)*Calc!$G$2:$G$1001*((((K695+M695)-(L695+Calc!$J$2:$J$1001))&gt;0)*(((K695+M695)-(L695+Calc!$J$2:$J$1001))&lt;Calc!$F$2:$F$1001)*((K695+M695)-(L695+Calc!$J$2:$J$1001))+(((K695+M695)-(L695+Calc!$J$2:$J$1001))&gt;=Calc!$F$2:$F$1001)*Calc!$F$2:$F$1001))))</f>
        <v/>
      </c>
      <c r="R695">
        <f>IF(I695=0,0,(MIN(MAX((K695+N695),0),L695)*W695+SUMPRODUCT((Calc!$A$2:$A$1001=A695)*Calc!$G$2:$G$1001*((((K695+N695)-(L695+Calc!$J$2:$J$1001))&gt;0)*(((K695+N695)-(L695+Calc!$J$2:$J$1001))&lt;Calc!$F$2:$F$1001)*((K695+N695)-(L695+Calc!$J$2:$J$1001))+(((K695+N695)-(L695+Calc!$J$2:$J$1001))&gt;=Calc!$F$2:$F$1001)*Calc!$F$2:$F$1001))))</f>
        <v/>
      </c>
      <c r="S695">
        <f>IF(I695=0,0,(MIN(MAX((K695+O695),0),L695)*W695+SUMPRODUCT((Calc!$A$2:$A$1001=A695)*Calc!$G$2:$G$1001*((((K695+O695)-(L695+Calc!$J$2:$J$1001))&gt;0)*(((K695+O695)-(L695+Calc!$J$2:$J$1001))&lt;Calc!$F$2:$F$1001)*((K695+O695)-(L695+Calc!$J$2:$J$1001))+(((K695+O695)-(L695+Calc!$J$2:$J$1001))&gt;=Calc!$F$2:$F$1001)*Calc!$F$2:$F$1001))))</f>
        <v/>
      </c>
      <c r="T695">
        <f>IF(AND(E695=1,B695="RETURN"),Transactions!E695*Transactions!G695,0)</f>
        <v/>
      </c>
      <c r="U695">
        <f>IF(AND(E695=1,B695="EXPENSE"),Transactions!J695,0)</f>
        <v/>
      </c>
      <c r="V695">
        <f>IF(AND(Transactions!A695&lt;&gt;"",E695=0),ROW(),"")</f>
        <v/>
      </c>
      <c r="W695">
        <f>IFERROR(VLOOKUP(A695,Opening!$A:$D,4,0),0)</f>
        <v/>
      </c>
    </row>
    <row r="696">
      <c r="A696">
        <f>IF(Transactions!D696="","",UPPER(TRIM(Transactions!D696)))</f>
        <v/>
      </c>
      <c r="B696">
        <f>IF(Transactions!C696="","",UPPER(TRIM(Transactions!C696)))</f>
        <v/>
      </c>
      <c r="C696">
        <f>IF(Transactions!B696="",0,YEAR(Transactions!B696)*100+MONTH(Transactions!B696))</f>
        <v/>
      </c>
      <c r="D696">
        <f>IF(Transactions!A696="",1,IF(COUNTIF(Transactions!$A$1:A695,Transactions!A696)&gt;0,1,0))</f>
        <v/>
      </c>
      <c r="E696">
        <f>IF(D696=1,0,IF(B696="RETURN",IF(COUNTIFS($A$1:A695,A696,$B$1:B695,"SALE",$E$1:E695,1)&gt;0,1,0),1))</f>
        <v/>
      </c>
      <c r="F696">
        <f>IF(E696=1,IF(B696="RECEIPT",Transactions!E696,IF(AND(B696="RETURN",LOWER(TRIM(Transactions!H696))="resellable"),Transactions!E696,0)),0)</f>
        <v/>
      </c>
      <c r="G696">
        <f>IF(F696&gt;0,IF(B696="RECEIPT",Transactions!F696,IF(_xlfn.MAXIFS($H$2:H696,$A$2:A696,A696)&gt;0,INDEX(Transactions!$F:$F,_xlfn.MAXIFS($H$2:H696,$A$2:A696,A696)),W696)),0)</f>
        <v/>
      </c>
      <c r="H696">
        <f>IF(AND(E696=1,B696="RECEIPT"),ROW(),0)</f>
        <v/>
      </c>
      <c r="I696">
        <f>IF(E696=1,IF(OR(B696="SALE",B696="WRITEOFF"),Transactions!E696,0),0)</f>
        <v/>
      </c>
      <c r="J696">
        <f>SUMIFS($F$1:F695,$A$1:A695,A696)</f>
        <v/>
      </c>
      <c r="K696">
        <f>SUMIFS($I$1:I695,$A$1:A695,A696)</f>
        <v/>
      </c>
      <c r="L696">
        <f>IFERROR(VLOOKUP(A696,Opening!$A:$C,3,0),0)</f>
        <v/>
      </c>
      <c r="M696">
        <f>IF(I696=0,0,MAX(0,MIN(INDEX(Month!H$2:H$13,MATCH($A696,Month!$A$2:$A$13,0))-K696,I696)))</f>
        <v/>
      </c>
      <c r="N696">
        <f>IF(I696=0,0,MAX(0,MIN(INDEX(Month!I$2:I$13,MATCH($A696,Month!$A$2:$A$13,0))-K696,I696)))</f>
        <v/>
      </c>
      <c r="O696">
        <f>IF(I696=0,0,MAX(0,MIN(INDEX(Month!J$2:J$13,MATCH($A696,Month!$A$2:$A$13,0))-K696,I696)))</f>
        <v/>
      </c>
      <c r="P696">
        <f>IF(I696=0,0,(MIN(MAX(K696,0),L696)*W696+SUMPRODUCT((Calc!$A$2:$A$1001=A696)*Calc!$G$2:$G$1001*(((K696-(L696+Calc!$J$2:$J$1001))&gt;0)*((K696-(L696+Calc!$J$2:$J$1001))&lt;Calc!$F$2:$F$1001)*(K696-(L696+Calc!$J$2:$J$1001))+((K696-(L696+Calc!$J$2:$J$1001))&gt;=Calc!$F$2:$F$1001)*Calc!$F$2:$F$1001))))</f>
        <v/>
      </c>
      <c r="Q696">
        <f>IF(I696=0,0,(MIN(MAX((K696+M696),0),L696)*W696+SUMPRODUCT((Calc!$A$2:$A$1001=A696)*Calc!$G$2:$G$1001*((((K696+M696)-(L696+Calc!$J$2:$J$1001))&gt;0)*(((K696+M696)-(L696+Calc!$J$2:$J$1001))&lt;Calc!$F$2:$F$1001)*((K696+M696)-(L696+Calc!$J$2:$J$1001))+(((K696+M696)-(L696+Calc!$J$2:$J$1001))&gt;=Calc!$F$2:$F$1001)*Calc!$F$2:$F$1001))))</f>
        <v/>
      </c>
      <c r="R696">
        <f>IF(I696=0,0,(MIN(MAX((K696+N696),0),L696)*W696+SUMPRODUCT((Calc!$A$2:$A$1001=A696)*Calc!$G$2:$G$1001*((((K696+N696)-(L696+Calc!$J$2:$J$1001))&gt;0)*(((K696+N696)-(L696+Calc!$J$2:$J$1001))&lt;Calc!$F$2:$F$1001)*((K696+N696)-(L696+Calc!$J$2:$J$1001))+(((K696+N696)-(L696+Calc!$J$2:$J$1001))&gt;=Calc!$F$2:$F$1001)*Calc!$F$2:$F$1001))))</f>
        <v/>
      </c>
      <c r="S696">
        <f>IF(I696=0,0,(MIN(MAX((K696+O696),0),L696)*W696+SUMPRODUCT((Calc!$A$2:$A$1001=A696)*Calc!$G$2:$G$1001*((((K696+O696)-(L696+Calc!$J$2:$J$1001))&gt;0)*(((K696+O696)-(L696+Calc!$J$2:$J$1001))&lt;Calc!$F$2:$F$1001)*((K696+O696)-(L696+Calc!$J$2:$J$1001))+(((K696+O696)-(L696+Calc!$J$2:$J$1001))&gt;=Calc!$F$2:$F$1001)*Calc!$F$2:$F$1001))))</f>
        <v/>
      </c>
      <c r="T696">
        <f>IF(AND(E696=1,B696="RETURN"),Transactions!E696*Transactions!G696,0)</f>
        <v/>
      </c>
      <c r="U696">
        <f>IF(AND(E696=1,B696="EXPENSE"),Transactions!J696,0)</f>
        <v/>
      </c>
      <c r="V696">
        <f>IF(AND(Transactions!A696&lt;&gt;"",E696=0),ROW(),"")</f>
        <v/>
      </c>
      <c r="W696">
        <f>IFERROR(VLOOKUP(A696,Opening!$A:$D,4,0),0)</f>
        <v/>
      </c>
    </row>
    <row r="697">
      <c r="A697">
        <f>IF(Transactions!D697="","",UPPER(TRIM(Transactions!D697)))</f>
        <v/>
      </c>
      <c r="B697">
        <f>IF(Transactions!C697="","",UPPER(TRIM(Transactions!C697)))</f>
        <v/>
      </c>
      <c r="C697">
        <f>IF(Transactions!B697="",0,YEAR(Transactions!B697)*100+MONTH(Transactions!B697))</f>
        <v/>
      </c>
      <c r="D697">
        <f>IF(Transactions!A697="",1,IF(COUNTIF(Transactions!$A$1:A696,Transactions!A697)&gt;0,1,0))</f>
        <v/>
      </c>
      <c r="E697">
        <f>IF(D697=1,0,IF(B697="RETURN",IF(COUNTIFS($A$1:A696,A697,$B$1:B696,"SALE",$E$1:E696,1)&gt;0,1,0),1))</f>
        <v/>
      </c>
      <c r="F697">
        <f>IF(E697=1,IF(B697="RECEIPT",Transactions!E697,IF(AND(B697="RETURN",LOWER(TRIM(Transactions!H697))="resellable"),Transactions!E697,0)),0)</f>
        <v/>
      </c>
      <c r="G697">
        <f>IF(F697&gt;0,IF(B697="RECEIPT",Transactions!F697,IF(_xlfn.MAXIFS($H$2:H697,$A$2:A697,A697)&gt;0,INDEX(Transactions!$F:$F,_xlfn.MAXIFS($H$2:H697,$A$2:A697,A697)),W697)),0)</f>
        <v/>
      </c>
      <c r="H697">
        <f>IF(AND(E697=1,B697="RECEIPT"),ROW(),0)</f>
        <v/>
      </c>
      <c r="I697">
        <f>IF(E697=1,IF(OR(B697="SALE",B697="WRITEOFF"),Transactions!E697,0),0)</f>
        <v/>
      </c>
      <c r="J697">
        <f>SUMIFS($F$1:F696,$A$1:A696,A697)</f>
        <v/>
      </c>
      <c r="K697">
        <f>SUMIFS($I$1:I696,$A$1:A696,A697)</f>
        <v/>
      </c>
      <c r="L697">
        <f>IFERROR(VLOOKUP(A697,Opening!$A:$C,3,0),0)</f>
        <v/>
      </c>
      <c r="M697">
        <f>IF(I697=0,0,MAX(0,MIN(INDEX(Month!H$2:H$13,MATCH($A697,Month!$A$2:$A$13,0))-K697,I697)))</f>
        <v/>
      </c>
      <c r="N697">
        <f>IF(I697=0,0,MAX(0,MIN(INDEX(Month!I$2:I$13,MATCH($A697,Month!$A$2:$A$13,0))-K697,I697)))</f>
        <v/>
      </c>
      <c r="O697">
        <f>IF(I697=0,0,MAX(0,MIN(INDEX(Month!J$2:J$13,MATCH($A697,Month!$A$2:$A$13,0))-K697,I697)))</f>
        <v/>
      </c>
      <c r="P697">
        <f>IF(I697=0,0,(MIN(MAX(K697,0),L697)*W697+SUMPRODUCT((Calc!$A$2:$A$1001=A697)*Calc!$G$2:$G$1001*(((K697-(L697+Calc!$J$2:$J$1001))&gt;0)*((K697-(L697+Calc!$J$2:$J$1001))&lt;Calc!$F$2:$F$1001)*(K697-(L697+Calc!$J$2:$J$1001))+((K697-(L697+Calc!$J$2:$J$1001))&gt;=Calc!$F$2:$F$1001)*Calc!$F$2:$F$1001))))</f>
        <v/>
      </c>
      <c r="Q697">
        <f>IF(I697=0,0,(MIN(MAX((K697+M697),0),L697)*W697+SUMPRODUCT((Calc!$A$2:$A$1001=A697)*Calc!$G$2:$G$1001*((((K697+M697)-(L697+Calc!$J$2:$J$1001))&gt;0)*(((K697+M697)-(L697+Calc!$J$2:$J$1001))&lt;Calc!$F$2:$F$1001)*((K697+M697)-(L697+Calc!$J$2:$J$1001))+(((K697+M697)-(L697+Calc!$J$2:$J$1001))&gt;=Calc!$F$2:$F$1001)*Calc!$F$2:$F$1001))))</f>
        <v/>
      </c>
      <c r="R697">
        <f>IF(I697=0,0,(MIN(MAX((K697+N697),0),L697)*W697+SUMPRODUCT((Calc!$A$2:$A$1001=A697)*Calc!$G$2:$G$1001*((((K697+N697)-(L697+Calc!$J$2:$J$1001))&gt;0)*(((K697+N697)-(L697+Calc!$J$2:$J$1001))&lt;Calc!$F$2:$F$1001)*((K697+N697)-(L697+Calc!$J$2:$J$1001))+(((K697+N697)-(L697+Calc!$J$2:$J$1001))&gt;=Calc!$F$2:$F$1001)*Calc!$F$2:$F$1001))))</f>
        <v/>
      </c>
      <c r="S697">
        <f>IF(I697=0,0,(MIN(MAX((K697+O697),0),L697)*W697+SUMPRODUCT((Calc!$A$2:$A$1001=A697)*Calc!$G$2:$G$1001*((((K697+O697)-(L697+Calc!$J$2:$J$1001))&gt;0)*(((K697+O697)-(L697+Calc!$J$2:$J$1001))&lt;Calc!$F$2:$F$1001)*((K697+O697)-(L697+Calc!$J$2:$J$1001))+(((K697+O697)-(L697+Calc!$J$2:$J$1001))&gt;=Calc!$F$2:$F$1001)*Calc!$F$2:$F$1001))))</f>
        <v/>
      </c>
      <c r="T697">
        <f>IF(AND(E697=1,B697="RETURN"),Transactions!E697*Transactions!G697,0)</f>
        <v/>
      </c>
      <c r="U697">
        <f>IF(AND(E697=1,B697="EXPENSE"),Transactions!J697,0)</f>
        <v/>
      </c>
      <c r="V697">
        <f>IF(AND(Transactions!A697&lt;&gt;"",E697=0),ROW(),"")</f>
        <v/>
      </c>
      <c r="W697">
        <f>IFERROR(VLOOKUP(A697,Opening!$A:$D,4,0),0)</f>
        <v/>
      </c>
    </row>
    <row r="698">
      <c r="A698">
        <f>IF(Transactions!D698="","",UPPER(TRIM(Transactions!D698)))</f>
        <v/>
      </c>
      <c r="B698">
        <f>IF(Transactions!C698="","",UPPER(TRIM(Transactions!C698)))</f>
        <v/>
      </c>
      <c r="C698">
        <f>IF(Transactions!B698="",0,YEAR(Transactions!B698)*100+MONTH(Transactions!B698))</f>
        <v/>
      </c>
      <c r="D698">
        <f>IF(Transactions!A698="",1,IF(COUNTIF(Transactions!$A$1:A697,Transactions!A698)&gt;0,1,0))</f>
        <v/>
      </c>
      <c r="E698">
        <f>IF(D698=1,0,IF(B698="RETURN",IF(COUNTIFS($A$1:A697,A698,$B$1:B697,"SALE",$E$1:E697,1)&gt;0,1,0),1))</f>
        <v/>
      </c>
      <c r="F698">
        <f>IF(E698=1,IF(B698="RECEIPT",Transactions!E698,IF(AND(B698="RETURN",LOWER(TRIM(Transactions!H698))="resellable"),Transactions!E698,0)),0)</f>
        <v/>
      </c>
      <c r="G698">
        <f>IF(F698&gt;0,IF(B698="RECEIPT",Transactions!F698,IF(_xlfn.MAXIFS($H$2:H698,$A$2:A698,A698)&gt;0,INDEX(Transactions!$F:$F,_xlfn.MAXIFS($H$2:H698,$A$2:A698,A698)),W698)),0)</f>
        <v/>
      </c>
      <c r="H698">
        <f>IF(AND(E698=1,B698="RECEIPT"),ROW(),0)</f>
        <v/>
      </c>
      <c r="I698">
        <f>IF(E698=1,IF(OR(B698="SALE",B698="WRITEOFF"),Transactions!E698,0),0)</f>
        <v/>
      </c>
      <c r="J698">
        <f>SUMIFS($F$1:F697,$A$1:A697,A698)</f>
        <v/>
      </c>
      <c r="K698">
        <f>SUMIFS($I$1:I697,$A$1:A697,A698)</f>
        <v/>
      </c>
      <c r="L698">
        <f>IFERROR(VLOOKUP(A698,Opening!$A:$C,3,0),0)</f>
        <v/>
      </c>
      <c r="M698">
        <f>IF(I698=0,0,MAX(0,MIN(INDEX(Month!H$2:H$13,MATCH($A698,Month!$A$2:$A$13,0))-K698,I698)))</f>
        <v/>
      </c>
      <c r="N698">
        <f>IF(I698=0,0,MAX(0,MIN(INDEX(Month!I$2:I$13,MATCH($A698,Month!$A$2:$A$13,0))-K698,I698)))</f>
        <v/>
      </c>
      <c r="O698">
        <f>IF(I698=0,0,MAX(0,MIN(INDEX(Month!J$2:J$13,MATCH($A698,Month!$A$2:$A$13,0))-K698,I698)))</f>
        <v/>
      </c>
      <c r="P698">
        <f>IF(I698=0,0,(MIN(MAX(K698,0),L698)*W698+SUMPRODUCT((Calc!$A$2:$A$1001=A698)*Calc!$G$2:$G$1001*(((K698-(L698+Calc!$J$2:$J$1001))&gt;0)*((K698-(L698+Calc!$J$2:$J$1001))&lt;Calc!$F$2:$F$1001)*(K698-(L698+Calc!$J$2:$J$1001))+((K698-(L698+Calc!$J$2:$J$1001))&gt;=Calc!$F$2:$F$1001)*Calc!$F$2:$F$1001))))</f>
        <v/>
      </c>
      <c r="Q698">
        <f>IF(I698=0,0,(MIN(MAX((K698+M698),0),L698)*W698+SUMPRODUCT((Calc!$A$2:$A$1001=A698)*Calc!$G$2:$G$1001*((((K698+M698)-(L698+Calc!$J$2:$J$1001))&gt;0)*(((K698+M698)-(L698+Calc!$J$2:$J$1001))&lt;Calc!$F$2:$F$1001)*((K698+M698)-(L698+Calc!$J$2:$J$1001))+(((K698+M698)-(L698+Calc!$J$2:$J$1001))&gt;=Calc!$F$2:$F$1001)*Calc!$F$2:$F$1001))))</f>
        <v/>
      </c>
      <c r="R698">
        <f>IF(I698=0,0,(MIN(MAX((K698+N698),0),L698)*W698+SUMPRODUCT((Calc!$A$2:$A$1001=A698)*Calc!$G$2:$G$1001*((((K698+N698)-(L698+Calc!$J$2:$J$1001))&gt;0)*(((K698+N698)-(L698+Calc!$J$2:$J$1001))&lt;Calc!$F$2:$F$1001)*((K698+N698)-(L698+Calc!$J$2:$J$1001))+(((K698+N698)-(L698+Calc!$J$2:$J$1001))&gt;=Calc!$F$2:$F$1001)*Calc!$F$2:$F$1001))))</f>
        <v/>
      </c>
      <c r="S698">
        <f>IF(I698=0,0,(MIN(MAX((K698+O698),0),L698)*W698+SUMPRODUCT((Calc!$A$2:$A$1001=A698)*Calc!$G$2:$G$1001*((((K698+O698)-(L698+Calc!$J$2:$J$1001))&gt;0)*(((K698+O698)-(L698+Calc!$J$2:$J$1001))&lt;Calc!$F$2:$F$1001)*((K698+O698)-(L698+Calc!$J$2:$J$1001))+(((K698+O698)-(L698+Calc!$J$2:$J$1001))&gt;=Calc!$F$2:$F$1001)*Calc!$F$2:$F$1001))))</f>
        <v/>
      </c>
      <c r="T698">
        <f>IF(AND(E698=1,B698="RETURN"),Transactions!E698*Transactions!G698,0)</f>
        <v/>
      </c>
      <c r="U698">
        <f>IF(AND(E698=1,B698="EXPENSE"),Transactions!J698,0)</f>
        <v/>
      </c>
      <c r="V698">
        <f>IF(AND(Transactions!A698&lt;&gt;"",E698=0),ROW(),"")</f>
        <v/>
      </c>
      <c r="W698">
        <f>IFERROR(VLOOKUP(A698,Opening!$A:$D,4,0),0)</f>
        <v/>
      </c>
    </row>
    <row r="699">
      <c r="A699">
        <f>IF(Transactions!D699="","",UPPER(TRIM(Transactions!D699)))</f>
        <v/>
      </c>
      <c r="B699">
        <f>IF(Transactions!C699="","",UPPER(TRIM(Transactions!C699)))</f>
        <v/>
      </c>
      <c r="C699">
        <f>IF(Transactions!B699="",0,YEAR(Transactions!B699)*100+MONTH(Transactions!B699))</f>
        <v/>
      </c>
      <c r="D699">
        <f>IF(Transactions!A699="",1,IF(COUNTIF(Transactions!$A$1:A698,Transactions!A699)&gt;0,1,0))</f>
        <v/>
      </c>
      <c r="E699">
        <f>IF(D699=1,0,IF(B699="RETURN",IF(COUNTIFS($A$1:A698,A699,$B$1:B698,"SALE",$E$1:E698,1)&gt;0,1,0),1))</f>
        <v/>
      </c>
      <c r="F699">
        <f>IF(E699=1,IF(B699="RECEIPT",Transactions!E699,IF(AND(B699="RETURN",LOWER(TRIM(Transactions!H699))="resellable"),Transactions!E699,0)),0)</f>
        <v/>
      </c>
      <c r="G699">
        <f>IF(F699&gt;0,IF(B699="RECEIPT",Transactions!F699,IF(_xlfn.MAXIFS($H$2:H699,$A$2:A699,A699)&gt;0,INDEX(Transactions!$F:$F,_xlfn.MAXIFS($H$2:H699,$A$2:A699,A699)),W699)),0)</f>
        <v/>
      </c>
      <c r="H699">
        <f>IF(AND(E699=1,B699="RECEIPT"),ROW(),0)</f>
        <v/>
      </c>
      <c r="I699">
        <f>IF(E699=1,IF(OR(B699="SALE",B699="WRITEOFF"),Transactions!E699,0),0)</f>
        <v/>
      </c>
      <c r="J699">
        <f>SUMIFS($F$1:F698,$A$1:A698,A699)</f>
        <v/>
      </c>
      <c r="K699">
        <f>SUMIFS($I$1:I698,$A$1:A698,A699)</f>
        <v/>
      </c>
      <c r="L699">
        <f>IFERROR(VLOOKUP(A699,Opening!$A:$C,3,0),0)</f>
        <v/>
      </c>
      <c r="M699">
        <f>IF(I699=0,0,MAX(0,MIN(INDEX(Month!H$2:H$13,MATCH($A699,Month!$A$2:$A$13,0))-K699,I699)))</f>
        <v/>
      </c>
      <c r="N699">
        <f>IF(I699=0,0,MAX(0,MIN(INDEX(Month!I$2:I$13,MATCH($A699,Month!$A$2:$A$13,0))-K699,I699)))</f>
        <v/>
      </c>
      <c r="O699">
        <f>IF(I699=0,0,MAX(0,MIN(INDEX(Month!J$2:J$13,MATCH($A699,Month!$A$2:$A$13,0))-K699,I699)))</f>
        <v/>
      </c>
      <c r="P699">
        <f>IF(I699=0,0,(MIN(MAX(K699,0),L699)*W699+SUMPRODUCT((Calc!$A$2:$A$1001=A699)*Calc!$G$2:$G$1001*(((K699-(L699+Calc!$J$2:$J$1001))&gt;0)*((K699-(L699+Calc!$J$2:$J$1001))&lt;Calc!$F$2:$F$1001)*(K699-(L699+Calc!$J$2:$J$1001))+((K699-(L699+Calc!$J$2:$J$1001))&gt;=Calc!$F$2:$F$1001)*Calc!$F$2:$F$1001))))</f>
        <v/>
      </c>
      <c r="Q699">
        <f>IF(I699=0,0,(MIN(MAX((K699+M699),0),L699)*W699+SUMPRODUCT((Calc!$A$2:$A$1001=A699)*Calc!$G$2:$G$1001*((((K699+M699)-(L699+Calc!$J$2:$J$1001))&gt;0)*(((K699+M699)-(L699+Calc!$J$2:$J$1001))&lt;Calc!$F$2:$F$1001)*((K699+M699)-(L699+Calc!$J$2:$J$1001))+(((K699+M699)-(L699+Calc!$J$2:$J$1001))&gt;=Calc!$F$2:$F$1001)*Calc!$F$2:$F$1001))))</f>
        <v/>
      </c>
      <c r="R699">
        <f>IF(I699=0,0,(MIN(MAX((K699+N699),0),L699)*W699+SUMPRODUCT((Calc!$A$2:$A$1001=A699)*Calc!$G$2:$G$1001*((((K699+N699)-(L699+Calc!$J$2:$J$1001))&gt;0)*(((K699+N699)-(L699+Calc!$J$2:$J$1001))&lt;Calc!$F$2:$F$1001)*((K699+N699)-(L699+Calc!$J$2:$J$1001))+(((K699+N699)-(L699+Calc!$J$2:$J$1001))&gt;=Calc!$F$2:$F$1001)*Calc!$F$2:$F$1001))))</f>
        <v/>
      </c>
      <c r="S699">
        <f>IF(I699=0,0,(MIN(MAX((K699+O699),0),L699)*W699+SUMPRODUCT((Calc!$A$2:$A$1001=A699)*Calc!$G$2:$G$1001*((((K699+O699)-(L699+Calc!$J$2:$J$1001))&gt;0)*(((K699+O699)-(L699+Calc!$J$2:$J$1001))&lt;Calc!$F$2:$F$1001)*((K699+O699)-(L699+Calc!$J$2:$J$1001))+(((K699+O699)-(L699+Calc!$J$2:$J$1001))&gt;=Calc!$F$2:$F$1001)*Calc!$F$2:$F$1001))))</f>
        <v/>
      </c>
      <c r="T699">
        <f>IF(AND(E699=1,B699="RETURN"),Transactions!E699*Transactions!G699,0)</f>
        <v/>
      </c>
      <c r="U699">
        <f>IF(AND(E699=1,B699="EXPENSE"),Transactions!J699,0)</f>
        <v/>
      </c>
      <c r="V699">
        <f>IF(AND(Transactions!A699&lt;&gt;"",E699=0),ROW(),"")</f>
        <v/>
      </c>
      <c r="W699">
        <f>IFERROR(VLOOKUP(A699,Opening!$A:$D,4,0),0)</f>
        <v/>
      </c>
    </row>
    <row r="700">
      <c r="A700">
        <f>IF(Transactions!D700="","",UPPER(TRIM(Transactions!D700)))</f>
        <v/>
      </c>
      <c r="B700">
        <f>IF(Transactions!C700="","",UPPER(TRIM(Transactions!C700)))</f>
        <v/>
      </c>
      <c r="C700">
        <f>IF(Transactions!B700="",0,YEAR(Transactions!B700)*100+MONTH(Transactions!B700))</f>
        <v/>
      </c>
      <c r="D700">
        <f>IF(Transactions!A700="",1,IF(COUNTIF(Transactions!$A$1:A699,Transactions!A700)&gt;0,1,0))</f>
        <v/>
      </c>
      <c r="E700">
        <f>IF(D700=1,0,IF(B700="RETURN",IF(COUNTIFS($A$1:A699,A700,$B$1:B699,"SALE",$E$1:E699,1)&gt;0,1,0),1))</f>
        <v/>
      </c>
      <c r="F700">
        <f>IF(E700=1,IF(B700="RECEIPT",Transactions!E700,IF(AND(B700="RETURN",LOWER(TRIM(Transactions!H700))="resellable"),Transactions!E700,0)),0)</f>
        <v/>
      </c>
      <c r="G700">
        <f>IF(F700&gt;0,IF(B700="RECEIPT",Transactions!F700,IF(_xlfn.MAXIFS($H$2:H700,$A$2:A700,A700)&gt;0,INDEX(Transactions!$F:$F,_xlfn.MAXIFS($H$2:H700,$A$2:A700,A700)),W700)),0)</f>
        <v/>
      </c>
      <c r="H700">
        <f>IF(AND(E700=1,B700="RECEIPT"),ROW(),0)</f>
        <v/>
      </c>
      <c r="I700">
        <f>IF(E700=1,IF(OR(B700="SALE",B700="WRITEOFF"),Transactions!E700,0),0)</f>
        <v/>
      </c>
      <c r="J700">
        <f>SUMIFS($F$1:F699,$A$1:A699,A700)</f>
        <v/>
      </c>
      <c r="K700">
        <f>SUMIFS($I$1:I699,$A$1:A699,A700)</f>
        <v/>
      </c>
      <c r="L700">
        <f>IFERROR(VLOOKUP(A700,Opening!$A:$C,3,0),0)</f>
        <v/>
      </c>
      <c r="M700">
        <f>IF(I700=0,0,MAX(0,MIN(INDEX(Month!H$2:H$13,MATCH($A700,Month!$A$2:$A$13,0))-K700,I700)))</f>
        <v/>
      </c>
      <c r="N700">
        <f>IF(I700=0,0,MAX(0,MIN(INDEX(Month!I$2:I$13,MATCH($A700,Month!$A$2:$A$13,0))-K700,I700)))</f>
        <v/>
      </c>
      <c r="O700">
        <f>IF(I700=0,0,MAX(0,MIN(INDEX(Month!J$2:J$13,MATCH($A700,Month!$A$2:$A$13,0))-K700,I700)))</f>
        <v/>
      </c>
      <c r="P700">
        <f>IF(I700=0,0,(MIN(MAX(K700,0),L700)*W700+SUMPRODUCT((Calc!$A$2:$A$1001=A700)*Calc!$G$2:$G$1001*(((K700-(L700+Calc!$J$2:$J$1001))&gt;0)*((K700-(L700+Calc!$J$2:$J$1001))&lt;Calc!$F$2:$F$1001)*(K700-(L700+Calc!$J$2:$J$1001))+((K700-(L700+Calc!$J$2:$J$1001))&gt;=Calc!$F$2:$F$1001)*Calc!$F$2:$F$1001))))</f>
        <v/>
      </c>
      <c r="Q700">
        <f>IF(I700=0,0,(MIN(MAX((K700+M700),0),L700)*W700+SUMPRODUCT((Calc!$A$2:$A$1001=A700)*Calc!$G$2:$G$1001*((((K700+M700)-(L700+Calc!$J$2:$J$1001))&gt;0)*(((K700+M700)-(L700+Calc!$J$2:$J$1001))&lt;Calc!$F$2:$F$1001)*((K700+M700)-(L700+Calc!$J$2:$J$1001))+(((K700+M700)-(L700+Calc!$J$2:$J$1001))&gt;=Calc!$F$2:$F$1001)*Calc!$F$2:$F$1001))))</f>
        <v/>
      </c>
      <c r="R700">
        <f>IF(I700=0,0,(MIN(MAX((K700+N700),0),L700)*W700+SUMPRODUCT((Calc!$A$2:$A$1001=A700)*Calc!$G$2:$G$1001*((((K700+N700)-(L700+Calc!$J$2:$J$1001))&gt;0)*(((K700+N700)-(L700+Calc!$J$2:$J$1001))&lt;Calc!$F$2:$F$1001)*((K700+N700)-(L700+Calc!$J$2:$J$1001))+(((K700+N700)-(L700+Calc!$J$2:$J$1001))&gt;=Calc!$F$2:$F$1001)*Calc!$F$2:$F$1001))))</f>
        <v/>
      </c>
      <c r="S700">
        <f>IF(I700=0,0,(MIN(MAX((K700+O700),0),L700)*W700+SUMPRODUCT((Calc!$A$2:$A$1001=A700)*Calc!$G$2:$G$1001*((((K700+O700)-(L700+Calc!$J$2:$J$1001))&gt;0)*(((K700+O700)-(L700+Calc!$J$2:$J$1001))&lt;Calc!$F$2:$F$1001)*((K700+O700)-(L700+Calc!$J$2:$J$1001))+(((K700+O700)-(L700+Calc!$J$2:$J$1001))&gt;=Calc!$F$2:$F$1001)*Calc!$F$2:$F$1001))))</f>
        <v/>
      </c>
      <c r="T700">
        <f>IF(AND(E700=1,B700="RETURN"),Transactions!E700*Transactions!G700,0)</f>
        <v/>
      </c>
      <c r="U700">
        <f>IF(AND(E700=1,B700="EXPENSE"),Transactions!J700,0)</f>
        <v/>
      </c>
      <c r="V700">
        <f>IF(AND(Transactions!A700&lt;&gt;"",E700=0),ROW(),"")</f>
        <v/>
      </c>
      <c r="W700">
        <f>IFERROR(VLOOKUP(A700,Opening!$A:$D,4,0),0)</f>
        <v/>
      </c>
    </row>
    <row r="701">
      <c r="A701">
        <f>IF(Transactions!D701="","",UPPER(TRIM(Transactions!D701)))</f>
        <v/>
      </c>
      <c r="B701">
        <f>IF(Transactions!C701="","",UPPER(TRIM(Transactions!C701)))</f>
        <v/>
      </c>
      <c r="C701">
        <f>IF(Transactions!B701="",0,YEAR(Transactions!B701)*100+MONTH(Transactions!B701))</f>
        <v/>
      </c>
      <c r="D701">
        <f>IF(Transactions!A701="",1,IF(COUNTIF(Transactions!$A$1:A700,Transactions!A701)&gt;0,1,0))</f>
        <v/>
      </c>
      <c r="E701">
        <f>IF(D701=1,0,IF(B701="RETURN",IF(COUNTIFS($A$1:A700,A701,$B$1:B700,"SALE",$E$1:E700,1)&gt;0,1,0),1))</f>
        <v/>
      </c>
      <c r="F701">
        <f>IF(E701=1,IF(B701="RECEIPT",Transactions!E701,IF(AND(B701="RETURN",LOWER(TRIM(Transactions!H701))="resellable"),Transactions!E701,0)),0)</f>
        <v/>
      </c>
      <c r="G701">
        <f>IF(F701&gt;0,IF(B701="RECEIPT",Transactions!F701,IF(_xlfn.MAXIFS($H$2:H701,$A$2:A701,A701)&gt;0,INDEX(Transactions!$F:$F,_xlfn.MAXIFS($H$2:H701,$A$2:A701,A701)),W701)),0)</f>
        <v/>
      </c>
      <c r="H701">
        <f>IF(AND(E701=1,B701="RECEIPT"),ROW(),0)</f>
        <v/>
      </c>
      <c r="I701">
        <f>IF(E701=1,IF(OR(B701="SALE",B701="WRITEOFF"),Transactions!E701,0),0)</f>
        <v/>
      </c>
      <c r="J701">
        <f>SUMIFS($F$1:F700,$A$1:A700,A701)</f>
        <v/>
      </c>
      <c r="K701">
        <f>SUMIFS($I$1:I700,$A$1:A700,A701)</f>
        <v/>
      </c>
      <c r="L701">
        <f>IFERROR(VLOOKUP(A701,Opening!$A:$C,3,0),0)</f>
        <v/>
      </c>
      <c r="M701">
        <f>IF(I701=0,0,MAX(0,MIN(INDEX(Month!H$2:H$13,MATCH($A701,Month!$A$2:$A$13,0))-K701,I701)))</f>
        <v/>
      </c>
      <c r="N701">
        <f>IF(I701=0,0,MAX(0,MIN(INDEX(Month!I$2:I$13,MATCH($A701,Month!$A$2:$A$13,0))-K701,I701)))</f>
        <v/>
      </c>
      <c r="O701">
        <f>IF(I701=0,0,MAX(0,MIN(INDEX(Month!J$2:J$13,MATCH($A701,Month!$A$2:$A$13,0))-K701,I701)))</f>
        <v/>
      </c>
      <c r="P701">
        <f>IF(I701=0,0,(MIN(MAX(K701,0),L701)*W701+SUMPRODUCT((Calc!$A$2:$A$1001=A701)*Calc!$G$2:$G$1001*(((K701-(L701+Calc!$J$2:$J$1001))&gt;0)*((K701-(L701+Calc!$J$2:$J$1001))&lt;Calc!$F$2:$F$1001)*(K701-(L701+Calc!$J$2:$J$1001))+((K701-(L701+Calc!$J$2:$J$1001))&gt;=Calc!$F$2:$F$1001)*Calc!$F$2:$F$1001))))</f>
        <v/>
      </c>
      <c r="Q701">
        <f>IF(I701=0,0,(MIN(MAX((K701+M701),0),L701)*W701+SUMPRODUCT((Calc!$A$2:$A$1001=A701)*Calc!$G$2:$G$1001*((((K701+M701)-(L701+Calc!$J$2:$J$1001))&gt;0)*(((K701+M701)-(L701+Calc!$J$2:$J$1001))&lt;Calc!$F$2:$F$1001)*((K701+M701)-(L701+Calc!$J$2:$J$1001))+(((K701+M701)-(L701+Calc!$J$2:$J$1001))&gt;=Calc!$F$2:$F$1001)*Calc!$F$2:$F$1001))))</f>
        <v/>
      </c>
      <c r="R701">
        <f>IF(I701=0,0,(MIN(MAX((K701+N701),0),L701)*W701+SUMPRODUCT((Calc!$A$2:$A$1001=A701)*Calc!$G$2:$G$1001*((((K701+N701)-(L701+Calc!$J$2:$J$1001))&gt;0)*(((K701+N701)-(L701+Calc!$J$2:$J$1001))&lt;Calc!$F$2:$F$1001)*((K701+N701)-(L701+Calc!$J$2:$J$1001))+(((K701+N701)-(L701+Calc!$J$2:$J$1001))&gt;=Calc!$F$2:$F$1001)*Calc!$F$2:$F$1001))))</f>
        <v/>
      </c>
      <c r="S701">
        <f>IF(I701=0,0,(MIN(MAX((K701+O701),0),L701)*W701+SUMPRODUCT((Calc!$A$2:$A$1001=A701)*Calc!$G$2:$G$1001*((((K701+O701)-(L701+Calc!$J$2:$J$1001))&gt;0)*(((K701+O701)-(L701+Calc!$J$2:$J$1001))&lt;Calc!$F$2:$F$1001)*((K701+O701)-(L701+Calc!$J$2:$J$1001))+(((K701+O701)-(L701+Calc!$J$2:$J$1001))&gt;=Calc!$F$2:$F$1001)*Calc!$F$2:$F$1001))))</f>
        <v/>
      </c>
      <c r="T701">
        <f>IF(AND(E701=1,B701="RETURN"),Transactions!E701*Transactions!G701,0)</f>
        <v/>
      </c>
      <c r="U701">
        <f>IF(AND(E701=1,B701="EXPENSE"),Transactions!J701,0)</f>
        <v/>
      </c>
      <c r="V701">
        <f>IF(AND(Transactions!A701&lt;&gt;"",E701=0),ROW(),"")</f>
        <v/>
      </c>
      <c r="W701">
        <f>IFERROR(VLOOKUP(A701,Opening!$A:$D,4,0),0)</f>
        <v/>
      </c>
    </row>
    <row r="702">
      <c r="A702">
        <f>IF(Transactions!D702="","",UPPER(TRIM(Transactions!D702)))</f>
        <v/>
      </c>
      <c r="B702">
        <f>IF(Transactions!C702="","",UPPER(TRIM(Transactions!C702)))</f>
        <v/>
      </c>
      <c r="C702">
        <f>IF(Transactions!B702="",0,YEAR(Transactions!B702)*100+MONTH(Transactions!B702))</f>
        <v/>
      </c>
      <c r="D702">
        <f>IF(Transactions!A702="",1,IF(COUNTIF(Transactions!$A$1:A701,Transactions!A702)&gt;0,1,0))</f>
        <v/>
      </c>
      <c r="E702">
        <f>IF(D702=1,0,IF(B702="RETURN",IF(COUNTIFS($A$1:A701,A702,$B$1:B701,"SALE",$E$1:E701,1)&gt;0,1,0),1))</f>
        <v/>
      </c>
      <c r="F702">
        <f>IF(E702=1,IF(B702="RECEIPT",Transactions!E702,IF(AND(B702="RETURN",LOWER(TRIM(Transactions!H702))="resellable"),Transactions!E702,0)),0)</f>
        <v/>
      </c>
      <c r="G702">
        <f>IF(F702&gt;0,IF(B702="RECEIPT",Transactions!F702,IF(_xlfn.MAXIFS($H$2:H702,$A$2:A702,A702)&gt;0,INDEX(Transactions!$F:$F,_xlfn.MAXIFS($H$2:H702,$A$2:A702,A702)),W702)),0)</f>
        <v/>
      </c>
      <c r="H702">
        <f>IF(AND(E702=1,B702="RECEIPT"),ROW(),0)</f>
        <v/>
      </c>
      <c r="I702">
        <f>IF(E702=1,IF(OR(B702="SALE",B702="WRITEOFF"),Transactions!E702,0),0)</f>
        <v/>
      </c>
      <c r="J702">
        <f>SUMIFS($F$1:F701,$A$1:A701,A702)</f>
        <v/>
      </c>
      <c r="K702">
        <f>SUMIFS($I$1:I701,$A$1:A701,A702)</f>
        <v/>
      </c>
      <c r="L702">
        <f>IFERROR(VLOOKUP(A702,Opening!$A:$C,3,0),0)</f>
        <v/>
      </c>
      <c r="M702">
        <f>IF(I702=0,0,MAX(0,MIN(INDEX(Month!H$2:H$13,MATCH($A702,Month!$A$2:$A$13,0))-K702,I702)))</f>
        <v/>
      </c>
      <c r="N702">
        <f>IF(I702=0,0,MAX(0,MIN(INDEX(Month!I$2:I$13,MATCH($A702,Month!$A$2:$A$13,0))-K702,I702)))</f>
        <v/>
      </c>
      <c r="O702">
        <f>IF(I702=0,0,MAX(0,MIN(INDEX(Month!J$2:J$13,MATCH($A702,Month!$A$2:$A$13,0))-K702,I702)))</f>
        <v/>
      </c>
      <c r="P702">
        <f>IF(I702=0,0,(MIN(MAX(K702,0),L702)*W702+SUMPRODUCT((Calc!$A$2:$A$1001=A702)*Calc!$G$2:$G$1001*(((K702-(L702+Calc!$J$2:$J$1001))&gt;0)*((K702-(L702+Calc!$J$2:$J$1001))&lt;Calc!$F$2:$F$1001)*(K702-(L702+Calc!$J$2:$J$1001))+((K702-(L702+Calc!$J$2:$J$1001))&gt;=Calc!$F$2:$F$1001)*Calc!$F$2:$F$1001))))</f>
        <v/>
      </c>
      <c r="Q702">
        <f>IF(I702=0,0,(MIN(MAX((K702+M702),0),L702)*W702+SUMPRODUCT((Calc!$A$2:$A$1001=A702)*Calc!$G$2:$G$1001*((((K702+M702)-(L702+Calc!$J$2:$J$1001))&gt;0)*(((K702+M702)-(L702+Calc!$J$2:$J$1001))&lt;Calc!$F$2:$F$1001)*((K702+M702)-(L702+Calc!$J$2:$J$1001))+(((K702+M702)-(L702+Calc!$J$2:$J$1001))&gt;=Calc!$F$2:$F$1001)*Calc!$F$2:$F$1001))))</f>
        <v/>
      </c>
      <c r="R702">
        <f>IF(I702=0,0,(MIN(MAX((K702+N702),0),L702)*W702+SUMPRODUCT((Calc!$A$2:$A$1001=A702)*Calc!$G$2:$G$1001*((((K702+N702)-(L702+Calc!$J$2:$J$1001))&gt;0)*(((K702+N702)-(L702+Calc!$J$2:$J$1001))&lt;Calc!$F$2:$F$1001)*((K702+N702)-(L702+Calc!$J$2:$J$1001))+(((K702+N702)-(L702+Calc!$J$2:$J$1001))&gt;=Calc!$F$2:$F$1001)*Calc!$F$2:$F$1001))))</f>
        <v/>
      </c>
      <c r="S702">
        <f>IF(I702=0,0,(MIN(MAX((K702+O702),0),L702)*W702+SUMPRODUCT((Calc!$A$2:$A$1001=A702)*Calc!$G$2:$G$1001*((((K702+O702)-(L702+Calc!$J$2:$J$1001))&gt;0)*(((K702+O702)-(L702+Calc!$J$2:$J$1001))&lt;Calc!$F$2:$F$1001)*((K702+O702)-(L702+Calc!$J$2:$J$1001))+(((K702+O702)-(L702+Calc!$J$2:$J$1001))&gt;=Calc!$F$2:$F$1001)*Calc!$F$2:$F$1001))))</f>
        <v/>
      </c>
      <c r="T702">
        <f>IF(AND(E702=1,B702="RETURN"),Transactions!E702*Transactions!G702,0)</f>
        <v/>
      </c>
      <c r="U702">
        <f>IF(AND(E702=1,B702="EXPENSE"),Transactions!J702,0)</f>
        <v/>
      </c>
      <c r="V702">
        <f>IF(AND(Transactions!A702&lt;&gt;"",E702=0),ROW(),"")</f>
        <v/>
      </c>
      <c r="W702">
        <f>IFERROR(VLOOKUP(A702,Opening!$A:$D,4,0),0)</f>
        <v/>
      </c>
    </row>
    <row r="703">
      <c r="A703">
        <f>IF(Transactions!D703="","",UPPER(TRIM(Transactions!D703)))</f>
        <v/>
      </c>
      <c r="B703">
        <f>IF(Transactions!C703="","",UPPER(TRIM(Transactions!C703)))</f>
        <v/>
      </c>
      <c r="C703">
        <f>IF(Transactions!B703="",0,YEAR(Transactions!B703)*100+MONTH(Transactions!B703))</f>
        <v/>
      </c>
      <c r="D703">
        <f>IF(Transactions!A703="",1,IF(COUNTIF(Transactions!$A$1:A702,Transactions!A703)&gt;0,1,0))</f>
        <v/>
      </c>
      <c r="E703">
        <f>IF(D703=1,0,IF(B703="RETURN",IF(COUNTIFS($A$1:A702,A703,$B$1:B702,"SALE",$E$1:E702,1)&gt;0,1,0),1))</f>
        <v/>
      </c>
      <c r="F703">
        <f>IF(E703=1,IF(B703="RECEIPT",Transactions!E703,IF(AND(B703="RETURN",LOWER(TRIM(Transactions!H703))="resellable"),Transactions!E703,0)),0)</f>
        <v/>
      </c>
      <c r="G703">
        <f>IF(F703&gt;0,IF(B703="RECEIPT",Transactions!F703,IF(_xlfn.MAXIFS($H$2:H703,$A$2:A703,A703)&gt;0,INDEX(Transactions!$F:$F,_xlfn.MAXIFS($H$2:H703,$A$2:A703,A703)),W703)),0)</f>
        <v/>
      </c>
      <c r="H703">
        <f>IF(AND(E703=1,B703="RECEIPT"),ROW(),0)</f>
        <v/>
      </c>
      <c r="I703">
        <f>IF(E703=1,IF(OR(B703="SALE",B703="WRITEOFF"),Transactions!E703,0),0)</f>
        <v/>
      </c>
      <c r="J703">
        <f>SUMIFS($F$1:F702,$A$1:A702,A703)</f>
        <v/>
      </c>
      <c r="K703">
        <f>SUMIFS($I$1:I702,$A$1:A702,A703)</f>
        <v/>
      </c>
      <c r="L703">
        <f>IFERROR(VLOOKUP(A703,Opening!$A:$C,3,0),0)</f>
        <v/>
      </c>
      <c r="M703">
        <f>IF(I703=0,0,MAX(0,MIN(INDEX(Month!H$2:H$13,MATCH($A703,Month!$A$2:$A$13,0))-K703,I703)))</f>
        <v/>
      </c>
      <c r="N703">
        <f>IF(I703=0,0,MAX(0,MIN(INDEX(Month!I$2:I$13,MATCH($A703,Month!$A$2:$A$13,0))-K703,I703)))</f>
        <v/>
      </c>
      <c r="O703">
        <f>IF(I703=0,0,MAX(0,MIN(INDEX(Month!J$2:J$13,MATCH($A703,Month!$A$2:$A$13,0))-K703,I703)))</f>
        <v/>
      </c>
      <c r="P703">
        <f>IF(I703=0,0,(MIN(MAX(K703,0),L703)*W703+SUMPRODUCT((Calc!$A$2:$A$1001=A703)*Calc!$G$2:$G$1001*(((K703-(L703+Calc!$J$2:$J$1001))&gt;0)*((K703-(L703+Calc!$J$2:$J$1001))&lt;Calc!$F$2:$F$1001)*(K703-(L703+Calc!$J$2:$J$1001))+((K703-(L703+Calc!$J$2:$J$1001))&gt;=Calc!$F$2:$F$1001)*Calc!$F$2:$F$1001))))</f>
        <v/>
      </c>
      <c r="Q703">
        <f>IF(I703=0,0,(MIN(MAX((K703+M703),0),L703)*W703+SUMPRODUCT((Calc!$A$2:$A$1001=A703)*Calc!$G$2:$G$1001*((((K703+M703)-(L703+Calc!$J$2:$J$1001))&gt;0)*(((K703+M703)-(L703+Calc!$J$2:$J$1001))&lt;Calc!$F$2:$F$1001)*((K703+M703)-(L703+Calc!$J$2:$J$1001))+(((K703+M703)-(L703+Calc!$J$2:$J$1001))&gt;=Calc!$F$2:$F$1001)*Calc!$F$2:$F$1001))))</f>
        <v/>
      </c>
      <c r="R703">
        <f>IF(I703=0,0,(MIN(MAX((K703+N703),0),L703)*W703+SUMPRODUCT((Calc!$A$2:$A$1001=A703)*Calc!$G$2:$G$1001*((((K703+N703)-(L703+Calc!$J$2:$J$1001))&gt;0)*(((K703+N703)-(L703+Calc!$J$2:$J$1001))&lt;Calc!$F$2:$F$1001)*((K703+N703)-(L703+Calc!$J$2:$J$1001))+(((K703+N703)-(L703+Calc!$J$2:$J$1001))&gt;=Calc!$F$2:$F$1001)*Calc!$F$2:$F$1001))))</f>
        <v/>
      </c>
      <c r="S703">
        <f>IF(I703=0,0,(MIN(MAX((K703+O703),0),L703)*W703+SUMPRODUCT((Calc!$A$2:$A$1001=A703)*Calc!$G$2:$G$1001*((((K703+O703)-(L703+Calc!$J$2:$J$1001))&gt;0)*(((K703+O703)-(L703+Calc!$J$2:$J$1001))&lt;Calc!$F$2:$F$1001)*((K703+O703)-(L703+Calc!$J$2:$J$1001))+(((K703+O703)-(L703+Calc!$J$2:$J$1001))&gt;=Calc!$F$2:$F$1001)*Calc!$F$2:$F$1001))))</f>
        <v/>
      </c>
      <c r="T703">
        <f>IF(AND(E703=1,B703="RETURN"),Transactions!E703*Transactions!G703,0)</f>
        <v/>
      </c>
      <c r="U703">
        <f>IF(AND(E703=1,B703="EXPENSE"),Transactions!J703,0)</f>
        <v/>
      </c>
      <c r="V703">
        <f>IF(AND(Transactions!A703&lt;&gt;"",E703=0),ROW(),"")</f>
        <v/>
      </c>
      <c r="W703">
        <f>IFERROR(VLOOKUP(A703,Opening!$A:$D,4,0),0)</f>
        <v/>
      </c>
    </row>
    <row r="704">
      <c r="A704">
        <f>IF(Transactions!D704="","",UPPER(TRIM(Transactions!D704)))</f>
        <v/>
      </c>
      <c r="B704">
        <f>IF(Transactions!C704="","",UPPER(TRIM(Transactions!C704)))</f>
        <v/>
      </c>
      <c r="C704">
        <f>IF(Transactions!B704="",0,YEAR(Transactions!B704)*100+MONTH(Transactions!B704))</f>
        <v/>
      </c>
      <c r="D704">
        <f>IF(Transactions!A704="",1,IF(COUNTIF(Transactions!$A$1:A703,Transactions!A704)&gt;0,1,0))</f>
        <v/>
      </c>
      <c r="E704">
        <f>IF(D704=1,0,IF(B704="RETURN",IF(COUNTIFS($A$1:A703,A704,$B$1:B703,"SALE",$E$1:E703,1)&gt;0,1,0),1))</f>
        <v/>
      </c>
      <c r="F704">
        <f>IF(E704=1,IF(B704="RECEIPT",Transactions!E704,IF(AND(B704="RETURN",LOWER(TRIM(Transactions!H704))="resellable"),Transactions!E704,0)),0)</f>
        <v/>
      </c>
      <c r="G704">
        <f>IF(F704&gt;0,IF(B704="RECEIPT",Transactions!F704,IF(_xlfn.MAXIFS($H$2:H704,$A$2:A704,A704)&gt;0,INDEX(Transactions!$F:$F,_xlfn.MAXIFS($H$2:H704,$A$2:A704,A704)),W704)),0)</f>
        <v/>
      </c>
      <c r="H704">
        <f>IF(AND(E704=1,B704="RECEIPT"),ROW(),0)</f>
        <v/>
      </c>
      <c r="I704">
        <f>IF(E704=1,IF(OR(B704="SALE",B704="WRITEOFF"),Transactions!E704,0),0)</f>
        <v/>
      </c>
      <c r="J704">
        <f>SUMIFS($F$1:F703,$A$1:A703,A704)</f>
        <v/>
      </c>
      <c r="K704">
        <f>SUMIFS($I$1:I703,$A$1:A703,A704)</f>
        <v/>
      </c>
      <c r="L704">
        <f>IFERROR(VLOOKUP(A704,Opening!$A:$C,3,0),0)</f>
        <v/>
      </c>
      <c r="M704">
        <f>IF(I704=0,0,MAX(0,MIN(INDEX(Month!H$2:H$13,MATCH($A704,Month!$A$2:$A$13,0))-K704,I704)))</f>
        <v/>
      </c>
      <c r="N704">
        <f>IF(I704=0,0,MAX(0,MIN(INDEX(Month!I$2:I$13,MATCH($A704,Month!$A$2:$A$13,0))-K704,I704)))</f>
        <v/>
      </c>
      <c r="O704">
        <f>IF(I704=0,0,MAX(0,MIN(INDEX(Month!J$2:J$13,MATCH($A704,Month!$A$2:$A$13,0))-K704,I704)))</f>
        <v/>
      </c>
      <c r="P704">
        <f>IF(I704=0,0,(MIN(MAX(K704,0),L704)*W704+SUMPRODUCT((Calc!$A$2:$A$1001=A704)*Calc!$G$2:$G$1001*(((K704-(L704+Calc!$J$2:$J$1001))&gt;0)*((K704-(L704+Calc!$J$2:$J$1001))&lt;Calc!$F$2:$F$1001)*(K704-(L704+Calc!$J$2:$J$1001))+((K704-(L704+Calc!$J$2:$J$1001))&gt;=Calc!$F$2:$F$1001)*Calc!$F$2:$F$1001))))</f>
        <v/>
      </c>
      <c r="Q704">
        <f>IF(I704=0,0,(MIN(MAX((K704+M704),0),L704)*W704+SUMPRODUCT((Calc!$A$2:$A$1001=A704)*Calc!$G$2:$G$1001*((((K704+M704)-(L704+Calc!$J$2:$J$1001))&gt;0)*(((K704+M704)-(L704+Calc!$J$2:$J$1001))&lt;Calc!$F$2:$F$1001)*((K704+M704)-(L704+Calc!$J$2:$J$1001))+(((K704+M704)-(L704+Calc!$J$2:$J$1001))&gt;=Calc!$F$2:$F$1001)*Calc!$F$2:$F$1001))))</f>
        <v/>
      </c>
      <c r="R704">
        <f>IF(I704=0,0,(MIN(MAX((K704+N704),0),L704)*W704+SUMPRODUCT((Calc!$A$2:$A$1001=A704)*Calc!$G$2:$G$1001*((((K704+N704)-(L704+Calc!$J$2:$J$1001))&gt;0)*(((K704+N704)-(L704+Calc!$J$2:$J$1001))&lt;Calc!$F$2:$F$1001)*((K704+N704)-(L704+Calc!$J$2:$J$1001))+(((K704+N704)-(L704+Calc!$J$2:$J$1001))&gt;=Calc!$F$2:$F$1001)*Calc!$F$2:$F$1001))))</f>
        <v/>
      </c>
      <c r="S704">
        <f>IF(I704=0,0,(MIN(MAX((K704+O704),0),L704)*W704+SUMPRODUCT((Calc!$A$2:$A$1001=A704)*Calc!$G$2:$G$1001*((((K704+O704)-(L704+Calc!$J$2:$J$1001))&gt;0)*(((K704+O704)-(L704+Calc!$J$2:$J$1001))&lt;Calc!$F$2:$F$1001)*((K704+O704)-(L704+Calc!$J$2:$J$1001))+(((K704+O704)-(L704+Calc!$J$2:$J$1001))&gt;=Calc!$F$2:$F$1001)*Calc!$F$2:$F$1001))))</f>
        <v/>
      </c>
      <c r="T704">
        <f>IF(AND(E704=1,B704="RETURN"),Transactions!E704*Transactions!G704,0)</f>
        <v/>
      </c>
      <c r="U704">
        <f>IF(AND(E704=1,B704="EXPENSE"),Transactions!J704,0)</f>
        <v/>
      </c>
      <c r="V704">
        <f>IF(AND(Transactions!A704&lt;&gt;"",E704=0),ROW(),"")</f>
        <v/>
      </c>
      <c r="W704">
        <f>IFERROR(VLOOKUP(A704,Opening!$A:$D,4,0),0)</f>
        <v/>
      </c>
    </row>
    <row r="705">
      <c r="A705">
        <f>IF(Transactions!D705="","",UPPER(TRIM(Transactions!D705)))</f>
        <v/>
      </c>
      <c r="B705">
        <f>IF(Transactions!C705="","",UPPER(TRIM(Transactions!C705)))</f>
        <v/>
      </c>
      <c r="C705">
        <f>IF(Transactions!B705="",0,YEAR(Transactions!B705)*100+MONTH(Transactions!B705))</f>
        <v/>
      </c>
      <c r="D705">
        <f>IF(Transactions!A705="",1,IF(COUNTIF(Transactions!$A$1:A704,Transactions!A705)&gt;0,1,0))</f>
        <v/>
      </c>
      <c r="E705">
        <f>IF(D705=1,0,IF(B705="RETURN",IF(COUNTIFS($A$1:A704,A705,$B$1:B704,"SALE",$E$1:E704,1)&gt;0,1,0),1))</f>
        <v/>
      </c>
      <c r="F705">
        <f>IF(E705=1,IF(B705="RECEIPT",Transactions!E705,IF(AND(B705="RETURN",LOWER(TRIM(Transactions!H705))="resellable"),Transactions!E705,0)),0)</f>
        <v/>
      </c>
      <c r="G705">
        <f>IF(F705&gt;0,IF(B705="RECEIPT",Transactions!F705,IF(_xlfn.MAXIFS($H$2:H705,$A$2:A705,A705)&gt;0,INDEX(Transactions!$F:$F,_xlfn.MAXIFS($H$2:H705,$A$2:A705,A705)),W705)),0)</f>
        <v/>
      </c>
      <c r="H705">
        <f>IF(AND(E705=1,B705="RECEIPT"),ROW(),0)</f>
        <v/>
      </c>
      <c r="I705">
        <f>IF(E705=1,IF(OR(B705="SALE",B705="WRITEOFF"),Transactions!E705,0),0)</f>
        <v/>
      </c>
      <c r="J705">
        <f>SUMIFS($F$1:F704,$A$1:A704,A705)</f>
        <v/>
      </c>
      <c r="K705">
        <f>SUMIFS($I$1:I704,$A$1:A704,A705)</f>
        <v/>
      </c>
      <c r="L705">
        <f>IFERROR(VLOOKUP(A705,Opening!$A:$C,3,0),0)</f>
        <v/>
      </c>
      <c r="M705">
        <f>IF(I705=0,0,MAX(0,MIN(INDEX(Month!H$2:H$13,MATCH($A705,Month!$A$2:$A$13,0))-K705,I705)))</f>
        <v/>
      </c>
      <c r="N705">
        <f>IF(I705=0,0,MAX(0,MIN(INDEX(Month!I$2:I$13,MATCH($A705,Month!$A$2:$A$13,0))-K705,I705)))</f>
        <v/>
      </c>
      <c r="O705">
        <f>IF(I705=0,0,MAX(0,MIN(INDEX(Month!J$2:J$13,MATCH($A705,Month!$A$2:$A$13,0))-K705,I705)))</f>
        <v/>
      </c>
      <c r="P705">
        <f>IF(I705=0,0,(MIN(MAX(K705,0),L705)*W705+SUMPRODUCT((Calc!$A$2:$A$1001=A705)*Calc!$G$2:$G$1001*(((K705-(L705+Calc!$J$2:$J$1001))&gt;0)*((K705-(L705+Calc!$J$2:$J$1001))&lt;Calc!$F$2:$F$1001)*(K705-(L705+Calc!$J$2:$J$1001))+((K705-(L705+Calc!$J$2:$J$1001))&gt;=Calc!$F$2:$F$1001)*Calc!$F$2:$F$1001))))</f>
        <v/>
      </c>
      <c r="Q705">
        <f>IF(I705=0,0,(MIN(MAX((K705+M705),0),L705)*W705+SUMPRODUCT((Calc!$A$2:$A$1001=A705)*Calc!$G$2:$G$1001*((((K705+M705)-(L705+Calc!$J$2:$J$1001))&gt;0)*(((K705+M705)-(L705+Calc!$J$2:$J$1001))&lt;Calc!$F$2:$F$1001)*((K705+M705)-(L705+Calc!$J$2:$J$1001))+(((K705+M705)-(L705+Calc!$J$2:$J$1001))&gt;=Calc!$F$2:$F$1001)*Calc!$F$2:$F$1001))))</f>
        <v/>
      </c>
      <c r="R705">
        <f>IF(I705=0,0,(MIN(MAX((K705+N705),0),L705)*W705+SUMPRODUCT((Calc!$A$2:$A$1001=A705)*Calc!$G$2:$G$1001*((((K705+N705)-(L705+Calc!$J$2:$J$1001))&gt;0)*(((K705+N705)-(L705+Calc!$J$2:$J$1001))&lt;Calc!$F$2:$F$1001)*((K705+N705)-(L705+Calc!$J$2:$J$1001))+(((K705+N705)-(L705+Calc!$J$2:$J$1001))&gt;=Calc!$F$2:$F$1001)*Calc!$F$2:$F$1001))))</f>
        <v/>
      </c>
      <c r="S705">
        <f>IF(I705=0,0,(MIN(MAX((K705+O705),0),L705)*W705+SUMPRODUCT((Calc!$A$2:$A$1001=A705)*Calc!$G$2:$G$1001*((((K705+O705)-(L705+Calc!$J$2:$J$1001))&gt;0)*(((K705+O705)-(L705+Calc!$J$2:$J$1001))&lt;Calc!$F$2:$F$1001)*((K705+O705)-(L705+Calc!$J$2:$J$1001))+(((K705+O705)-(L705+Calc!$J$2:$J$1001))&gt;=Calc!$F$2:$F$1001)*Calc!$F$2:$F$1001))))</f>
        <v/>
      </c>
      <c r="T705">
        <f>IF(AND(E705=1,B705="RETURN"),Transactions!E705*Transactions!G705,0)</f>
        <v/>
      </c>
      <c r="U705">
        <f>IF(AND(E705=1,B705="EXPENSE"),Transactions!J705,0)</f>
        <v/>
      </c>
      <c r="V705">
        <f>IF(AND(Transactions!A705&lt;&gt;"",E705=0),ROW(),"")</f>
        <v/>
      </c>
      <c r="W705">
        <f>IFERROR(VLOOKUP(A705,Opening!$A:$D,4,0),0)</f>
        <v/>
      </c>
    </row>
    <row r="706">
      <c r="A706">
        <f>IF(Transactions!D706="","",UPPER(TRIM(Transactions!D706)))</f>
        <v/>
      </c>
      <c r="B706">
        <f>IF(Transactions!C706="","",UPPER(TRIM(Transactions!C706)))</f>
        <v/>
      </c>
      <c r="C706">
        <f>IF(Transactions!B706="",0,YEAR(Transactions!B706)*100+MONTH(Transactions!B706))</f>
        <v/>
      </c>
      <c r="D706">
        <f>IF(Transactions!A706="",1,IF(COUNTIF(Transactions!$A$1:A705,Transactions!A706)&gt;0,1,0))</f>
        <v/>
      </c>
      <c r="E706">
        <f>IF(D706=1,0,IF(B706="RETURN",IF(COUNTIFS($A$1:A705,A706,$B$1:B705,"SALE",$E$1:E705,1)&gt;0,1,0),1))</f>
        <v/>
      </c>
      <c r="F706">
        <f>IF(E706=1,IF(B706="RECEIPT",Transactions!E706,IF(AND(B706="RETURN",LOWER(TRIM(Transactions!H706))="resellable"),Transactions!E706,0)),0)</f>
        <v/>
      </c>
      <c r="G706">
        <f>IF(F706&gt;0,IF(B706="RECEIPT",Transactions!F706,IF(_xlfn.MAXIFS($H$2:H706,$A$2:A706,A706)&gt;0,INDEX(Transactions!$F:$F,_xlfn.MAXIFS($H$2:H706,$A$2:A706,A706)),W706)),0)</f>
        <v/>
      </c>
      <c r="H706">
        <f>IF(AND(E706=1,B706="RECEIPT"),ROW(),0)</f>
        <v/>
      </c>
      <c r="I706">
        <f>IF(E706=1,IF(OR(B706="SALE",B706="WRITEOFF"),Transactions!E706,0),0)</f>
        <v/>
      </c>
      <c r="J706">
        <f>SUMIFS($F$1:F705,$A$1:A705,A706)</f>
        <v/>
      </c>
      <c r="K706">
        <f>SUMIFS($I$1:I705,$A$1:A705,A706)</f>
        <v/>
      </c>
      <c r="L706">
        <f>IFERROR(VLOOKUP(A706,Opening!$A:$C,3,0),0)</f>
        <v/>
      </c>
      <c r="M706">
        <f>IF(I706=0,0,MAX(0,MIN(INDEX(Month!H$2:H$13,MATCH($A706,Month!$A$2:$A$13,0))-K706,I706)))</f>
        <v/>
      </c>
      <c r="N706">
        <f>IF(I706=0,0,MAX(0,MIN(INDEX(Month!I$2:I$13,MATCH($A706,Month!$A$2:$A$13,0))-K706,I706)))</f>
        <v/>
      </c>
      <c r="O706">
        <f>IF(I706=0,0,MAX(0,MIN(INDEX(Month!J$2:J$13,MATCH($A706,Month!$A$2:$A$13,0))-K706,I706)))</f>
        <v/>
      </c>
      <c r="P706">
        <f>IF(I706=0,0,(MIN(MAX(K706,0),L706)*W706+SUMPRODUCT((Calc!$A$2:$A$1001=A706)*Calc!$G$2:$G$1001*(((K706-(L706+Calc!$J$2:$J$1001))&gt;0)*((K706-(L706+Calc!$J$2:$J$1001))&lt;Calc!$F$2:$F$1001)*(K706-(L706+Calc!$J$2:$J$1001))+((K706-(L706+Calc!$J$2:$J$1001))&gt;=Calc!$F$2:$F$1001)*Calc!$F$2:$F$1001))))</f>
        <v/>
      </c>
      <c r="Q706">
        <f>IF(I706=0,0,(MIN(MAX((K706+M706),0),L706)*W706+SUMPRODUCT((Calc!$A$2:$A$1001=A706)*Calc!$G$2:$G$1001*((((K706+M706)-(L706+Calc!$J$2:$J$1001))&gt;0)*(((K706+M706)-(L706+Calc!$J$2:$J$1001))&lt;Calc!$F$2:$F$1001)*((K706+M706)-(L706+Calc!$J$2:$J$1001))+(((K706+M706)-(L706+Calc!$J$2:$J$1001))&gt;=Calc!$F$2:$F$1001)*Calc!$F$2:$F$1001))))</f>
        <v/>
      </c>
      <c r="R706">
        <f>IF(I706=0,0,(MIN(MAX((K706+N706),0),L706)*W706+SUMPRODUCT((Calc!$A$2:$A$1001=A706)*Calc!$G$2:$G$1001*((((K706+N706)-(L706+Calc!$J$2:$J$1001))&gt;0)*(((K706+N706)-(L706+Calc!$J$2:$J$1001))&lt;Calc!$F$2:$F$1001)*((K706+N706)-(L706+Calc!$J$2:$J$1001))+(((K706+N706)-(L706+Calc!$J$2:$J$1001))&gt;=Calc!$F$2:$F$1001)*Calc!$F$2:$F$1001))))</f>
        <v/>
      </c>
      <c r="S706">
        <f>IF(I706=0,0,(MIN(MAX((K706+O706),0),L706)*W706+SUMPRODUCT((Calc!$A$2:$A$1001=A706)*Calc!$G$2:$G$1001*((((K706+O706)-(L706+Calc!$J$2:$J$1001))&gt;0)*(((K706+O706)-(L706+Calc!$J$2:$J$1001))&lt;Calc!$F$2:$F$1001)*((K706+O706)-(L706+Calc!$J$2:$J$1001))+(((K706+O706)-(L706+Calc!$J$2:$J$1001))&gt;=Calc!$F$2:$F$1001)*Calc!$F$2:$F$1001))))</f>
        <v/>
      </c>
      <c r="T706">
        <f>IF(AND(E706=1,B706="RETURN"),Transactions!E706*Transactions!G706,0)</f>
        <v/>
      </c>
      <c r="U706">
        <f>IF(AND(E706=1,B706="EXPENSE"),Transactions!J706,0)</f>
        <v/>
      </c>
      <c r="V706">
        <f>IF(AND(Transactions!A706&lt;&gt;"",E706=0),ROW(),"")</f>
        <v/>
      </c>
      <c r="W706">
        <f>IFERROR(VLOOKUP(A706,Opening!$A:$D,4,0),0)</f>
        <v/>
      </c>
    </row>
    <row r="707">
      <c r="A707">
        <f>IF(Transactions!D707="","",UPPER(TRIM(Transactions!D707)))</f>
        <v/>
      </c>
      <c r="B707">
        <f>IF(Transactions!C707="","",UPPER(TRIM(Transactions!C707)))</f>
        <v/>
      </c>
      <c r="C707">
        <f>IF(Transactions!B707="",0,YEAR(Transactions!B707)*100+MONTH(Transactions!B707))</f>
        <v/>
      </c>
      <c r="D707">
        <f>IF(Transactions!A707="",1,IF(COUNTIF(Transactions!$A$1:A706,Transactions!A707)&gt;0,1,0))</f>
        <v/>
      </c>
      <c r="E707">
        <f>IF(D707=1,0,IF(B707="RETURN",IF(COUNTIFS($A$1:A706,A707,$B$1:B706,"SALE",$E$1:E706,1)&gt;0,1,0),1))</f>
        <v/>
      </c>
      <c r="F707">
        <f>IF(E707=1,IF(B707="RECEIPT",Transactions!E707,IF(AND(B707="RETURN",LOWER(TRIM(Transactions!H707))="resellable"),Transactions!E707,0)),0)</f>
        <v/>
      </c>
      <c r="G707">
        <f>IF(F707&gt;0,IF(B707="RECEIPT",Transactions!F707,IF(_xlfn.MAXIFS($H$2:H707,$A$2:A707,A707)&gt;0,INDEX(Transactions!$F:$F,_xlfn.MAXIFS($H$2:H707,$A$2:A707,A707)),W707)),0)</f>
        <v/>
      </c>
      <c r="H707">
        <f>IF(AND(E707=1,B707="RECEIPT"),ROW(),0)</f>
        <v/>
      </c>
      <c r="I707">
        <f>IF(E707=1,IF(OR(B707="SALE",B707="WRITEOFF"),Transactions!E707,0),0)</f>
        <v/>
      </c>
      <c r="J707">
        <f>SUMIFS($F$1:F706,$A$1:A706,A707)</f>
        <v/>
      </c>
      <c r="K707">
        <f>SUMIFS($I$1:I706,$A$1:A706,A707)</f>
        <v/>
      </c>
      <c r="L707">
        <f>IFERROR(VLOOKUP(A707,Opening!$A:$C,3,0),0)</f>
        <v/>
      </c>
      <c r="M707">
        <f>IF(I707=0,0,MAX(0,MIN(INDEX(Month!H$2:H$13,MATCH($A707,Month!$A$2:$A$13,0))-K707,I707)))</f>
        <v/>
      </c>
      <c r="N707">
        <f>IF(I707=0,0,MAX(0,MIN(INDEX(Month!I$2:I$13,MATCH($A707,Month!$A$2:$A$13,0))-K707,I707)))</f>
        <v/>
      </c>
      <c r="O707">
        <f>IF(I707=0,0,MAX(0,MIN(INDEX(Month!J$2:J$13,MATCH($A707,Month!$A$2:$A$13,0))-K707,I707)))</f>
        <v/>
      </c>
      <c r="P707">
        <f>IF(I707=0,0,(MIN(MAX(K707,0),L707)*W707+SUMPRODUCT((Calc!$A$2:$A$1001=A707)*Calc!$G$2:$G$1001*(((K707-(L707+Calc!$J$2:$J$1001))&gt;0)*((K707-(L707+Calc!$J$2:$J$1001))&lt;Calc!$F$2:$F$1001)*(K707-(L707+Calc!$J$2:$J$1001))+((K707-(L707+Calc!$J$2:$J$1001))&gt;=Calc!$F$2:$F$1001)*Calc!$F$2:$F$1001))))</f>
        <v/>
      </c>
      <c r="Q707">
        <f>IF(I707=0,0,(MIN(MAX((K707+M707),0),L707)*W707+SUMPRODUCT((Calc!$A$2:$A$1001=A707)*Calc!$G$2:$G$1001*((((K707+M707)-(L707+Calc!$J$2:$J$1001))&gt;0)*(((K707+M707)-(L707+Calc!$J$2:$J$1001))&lt;Calc!$F$2:$F$1001)*((K707+M707)-(L707+Calc!$J$2:$J$1001))+(((K707+M707)-(L707+Calc!$J$2:$J$1001))&gt;=Calc!$F$2:$F$1001)*Calc!$F$2:$F$1001))))</f>
        <v/>
      </c>
      <c r="R707">
        <f>IF(I707=0,0,(MIN(MAX((K707+N707),0),L707)*W707+SUMPRODUCT((Calc!$A$2:$A$1001=A707)*Calc!$G$2:$G$1001*((((K707+N707)-(L707+Calc!$J$2:$J$1001))&gt;0)*(((K707+N707)-(L707+Calc!$J$2:$J$1001))&lt;Calc!$F$2:$F$1001)*((K707+N707)-(L707+Calc!$J$2:$J$1001))+(((K707+N707)-(L707+Calc!$J$2:$J$1001))&gt;=Calc!$F$2:$F$1001)*Calc!$F$2:$F$1001))))</f>
        <v/>
      </c>
      <c r="S707">
        <f>IF(I707=0,0,(MIN(MAX((K707+O707),0),L707)*W707+SUMPRODUCT((Calc!$A$2:$A$1001=A707)*Calc!$G$2:$G$1001*((((K707+O707)-(L707+Calc!$J$2:$J$1001))&gt;0)*(((K707+O707)-(L707+Calc!$J$2:$J$1001))&lt;Calc!$F$2:$F$1001)*((K707+O707)-(L707+Calc!$J$2:$J$1001))+(((K707+O707)-(L707+Calc!$J$2:$J$1001))&gt;=Calc!$F$2:$F$1001)*Calc!$F$2:$F$1001))))</f>
        <v/>
      </c>
      <c r="T707">
        <f>IF(AND(E707=1,B707="RETURN"),Transactions!E707*Transactions!G707,0)</f>
        <v/>
      </c>
      <c r="U707">
        <f>IF(AND(E707=1,B707="EXPENSE"),Transactions!J707,0)</f>
        <v/>
      </c>
      <c r="V707">
        <f>IF(AND(Transactions!A707&lt;&gt;"",E707=0),ROW(),"")</f>
        <v/>
      </c>
      <c r="W707">
        <f>IFERROR(VLOOKUP(A707,Opening!$A:$D,4,0),0)</f>
        <v/>
      </c>
    </row>
    <row r="708">
      <c r="A708">
        <f>IF(Transactions!D708="","",UPPER(TRIM(Transactions!D708)))</f>
        <v/>
      </c>
      <c r="B708">
        <f>IF(Transactions!C708="","",UPPER(TRIM(Transactions!C708)))</f>
        <v/>
      </c>
      <c r="C708">
        <f>IF(Transactions!B708="",0,YEAR(Transactions!B708)*100+MONTH(Transactions!B708))</f>
        <v/>
      </c>
      <c r="D708">
        <f>IF(Transactions!A708="",1,IF(COUNTIF(Transactions!$A$1:A707,Transactions!A708)&gt;0,1,0))</f>
        <v/>
      </c>
      <c r="E708">
        <f>IF(D708=1,0,IF(B708="RETURN",IF(COUNTIFS($A$1:A707,A708,$B$1:B707,"SALE",$E$1:E707,1)&gt;0,1,0),1))</f>
        <v/>
      </c>
      <c r="F708">
        <f>IF(E708=1,IF(B708="RECEIPT",Transactions!E708,IF(AND(B708="RETURN",LOWER(TRIM(Transactions!H708))="resellable"),Transactions!E708,0)),0)</f>
        <v/>
      </c>
      <c r="G708">
        <f>IF(F708&gt;0,IF(B708="RECEIPT",Transactions!F708,IF(_xlfn.MAXIFS($H$2:H708,$A$2:A708,A708)&gt;0,INDEX(Transactions!$F:$F,_xlfn.MAXIFS($H$2:H708,$A$2:A708,A708)),W708)),0)</f>
        <v/>
      </c>
      <c r="H708">
        <f>IF(AND(E708=1,B708="RECEIPT"),ROW(),0)</f>
        <v/>
      </c>
      <c r="I708">
        <f>IF(E708=1,IF(OR(B708="SALE",B708="WRITEOFF"),Transactions!E708,0),0)</f>
        <v/>
      </c>
      <c r="J708">
        <f>SUMIFS($F$1:F707,$A$1:A707,A708)</f>
        <v/>
      </c>
      <c r="K708">
        <f>SUMIFS($I$1:I707,$A$1:A707,A708)</f>
        <v/>
      </c>
      <c r="L708">
        <f>IFERROR(VLOOKUP(A708,Opening!$A:$C,3,0),0)</f>
        <v/>
      </c>
      <c r="M708">
        <f>IF(I708=0,0,MAX(0,MIN(INDEX(Month!H$2:H$13,MATCH($A708,Month!$A$2:$A$13,0))-K708,I708)))</f>
        <v/>
      </c>
      <c r="N708">
        <f>IF(I708=0,0,MAX(0,MIN(INDEX(Month!I$2:I$13,MATCH($A708,Month!$A$2:$A$13,0))-K708,I708)))</f>
        <v/>
      </c>
      <c r="O708">
        <f>IF(I708=0,0,MAX(0,MIN(INDEX(Month!J$2:J$13,MATCH($A708,Month!$A$2:$A$13,0))-K708,I708)))</f>
        <v/>
      </c>
      <c r="P708">
        <f>IF(I708=0,0,(MIN(MAX(K708,0),L708)*W708+SUMPRODUCT((Calc!$A$2:$A$1001=A708)*Calc!$G$2:$G$1001*(((K708-(L708+Calc!$J$2:$J$1001))&gt;0)*((K708-(L708+Calc!$J$2:$J$1001))&lt;Calc!$F$2:$F$1001)*(K708-(L708+Calc!$J$2:$J$1001))+((K708-(L708+Calc!$J$2:$J$1001))&gt;=Calc!$F$2:$F$1001)*Calc!$F$2:$F$1001))))</f>
        <v/>
      </c>
      <c r="Q708">
        <f>IF(I708=0,0,(MIN(MAX((K708+M708),0),L708)*W708+SUMPRODUCT((Calc!$A$2:$A$1001=A708)*Calc!$G$2:$G$1001*((((K708+M708)-(L708+Calc!$J$2:$J$1001))&gt;0)*(((K708+M708)-(L708+Calc!$J$2:$J$1001))&lt;Calc!$F$2:$F$1001)*((K708+M708)-(L708+Calc!$J$2:$J$1001))+(((K708+M708)-(L708+Calc!$J$2:$J$1001))&gt;=Calc!$F$2:$F$1001)*Calc!$F$2:$F$1001))))</f>
        <v/>
      </c>
      <c r="R708">
        <f>IF(I708=0,0,(MIN(MAX((K708+N708),0),L708)*W708+SUMPRODUCT((Calc!$A$2:$A$1001=A708)*Calc!$G$2:$G$1001*((((K708+N708)-(L708+Calc!$J$2:$J$1001))&gt;0)*(((K708+N708)-(L708+Calc!$J$2:$J$1001))&lt;Calc!$F$2:$F$1001)*((K708+N708)-(L708+Calc!$J$2:$J$1001))+(((K708+N708)-(L708+Calc!$J$2:$J$1001))&gt;=Calc!$F$2:$F$1001)*Calc!$F$2:$F$1001))))</f>
        <v/>
      </c>
      <c r="S708">
        <f>IF(I708=0,0,(MIN(MAX((K708+O708),0),L708)*W708+SUMPRODUCT((Calc!$A$2:$A$1001=A708)*Calc!$G$2:$G$1001*((((K708+O708)-(L708+Calc!$J$2:$J$1001))&gt;0)*(((K708+O708)-(L708+Calc!$J$2:$J$1001))&lt;Calc!$F$2:$F$1001)*((K708+O708)-(L708+Calc!$J$2:$J$1001))+(((K708+O708)-(L708+Calc!$J$2:$J$1001))&gt;=Calc!$F$2:$F$1001)*Calc!$F$2:$F$1001))))</f>
        <v/>
      </c>
      <c r="T708">
        <f>IF(AND(E708=1,B708="RETURN"),Transactions!E708*Transactions!G708,0)</f>
        <v/>
      </c>
      <c r="U708">
        <f>IF(AND(E708=1,B708="EXPENSE"),Transactions!J708,0)</f>
        <v/>
      </c>
      <c r="V708">
        <f>IF(AND(Transactions!A708&lt;&gt;"",E708=0),ROW(),"")</f>
        <v/>
      </c>
      <c r="W708">
        <f>IFERROR(VLOOKUP(A708,Opening!$A:$D,4,0),0)</f>
        <v/>
      </c>
    </row>
    <row r="709">
      <c r="A709">
        <f>IF(Transactions!D709="","",UPPER(TRIM(Transactions!D709)))</f>
        <v/>
      </c>
      <c r="B709">
        <f>IF(Transactions!C709="","",UPPER(TRIM(Transactions!C709)))</f>
        <v/>
      </c>
      <c r="C709">
        <f>IF(Transactions!B709="",0,YEAR(Transactions!B709)*100+MONTH(Transactions!B709))</f>
        <v/>
      </c>
      <c r="D709">
        <f>IF(Transactions!A709="",1,IF(COUNTIF(Transactions!$A$1:A708,Transactions!A709)&gt;0,1,0))</f>
        <v/>
      </c>
      <c r="E709">
        <f>IF(D709=1,0,IF(B709="RETURN",IF(COUNTIFS($A$1:A708,A709,$B$1:B708,"SALE",$E$1:E708,1)&gt;0,1,0),1))</f>
        <v/>
      </c>
      <c r="F709">
        <f>IF(E709=1,IF(B709="RECEIPT",Transactions!E709,IF(AND(B709="RETURN",LOWER(TRIM(Transactions!H709))="resellable"),Transactions!E709,0)),0)</f>
        <v/>
      </c>
      <c r="G709">
        <f>IF(F709&gt;0,IF(B709="RECEIPT",Transactions!F709,IF(_xlfn.MAXIFS($H$2:H709,$A$2:A709,A709)&gt;0,INDEX(Transactions!$F:$F,_xlfn.MAXIFS($H$2:H709,$A$2:A709,A709)),W709)),0)</f>
        <v/>
      </c>
      <c r="H709">
        <f>IF(AND(E709=1,B709="RECEIPT"),ROW(),0)</f>
        <v/>
      </c>
      <c r="I709">
        <f>IF(E709=1,IF(OR(B709="SALE",B709="WRITEOFF"),Transactions!E709,0),0)</f>
        <v/>
      </c>
      <c r="J709">
        <f>SUMIFS($F$1:F708,$A$1:A708,A709)</f>
        <v/>
      </c>
      <c r="K709">
        <f>SUMIFS($I$1:I708,$A$1:A708,A709)</f>
        <v/>
      </c>
      <c r="L709">
        <f>IFERROR(VLOOKUP(A709,Opening!$A:$C,3,0),0)</f>
        <v/>
      </c>
      <c r="M709">
        <f>IF(I709=0,0,MAX(0,MIN(INDEX(Month!H$2:H$13,MATCH($A709,Month!$A$2:$A$13,0))-K709,I709)))</f>
        <v/>
      </c>
      <c r="N709">
        <f>IF(I709=0,0,MAX(0,MIN(INDEX(Month!I$2:I$13,MATCH($A709,Month!$A$2:$A$13,0))-K709,I709)))</f>
        <v/>
      </c>
      <c r="O709">
        <f>IF(I709=0,0,MAX(0,MIN(INDEX(Month!J$2:J$13,MATCH($A709,Month!$A$2:$A$13,0))-K709,I709)))</f>
        <v/>
      </c>
      <c r="P709">
        <f>IF(I709=0,0,(MIN(MAX(K709,0),L709)*W709+SUMPRODUCT((Calc!$A$2:$A$1001=A709)*Calc!$G$2:$G$1001*(((K709-(L709+Calc!$J$2:$J$1001))&gt;0)*((K709-(L709+Calc!$J$2:$J$1001))&lt;Calc!$F$2:$F$1001)*(K709-(L709+Calc!$J$2:$J$1001))+((K709-(L709+Calc!$J$2:$J$1001))&gt;=Calc!$F$2:$F$1001)*Calc!$F$2:$F$1001))))</f>
        <v/>
      </c>
      <c r="Q709">
        <f>IF(I709=0,0,(MIN(MAX((K709+M709),0),L709)*W709+SUMPRODUCT((Calc!$A$2:$A$1001=A709)*Calc!$G$2:$G$1001*((((K709+M709)-(L709+Calc!$J$2:$J$1001))&gt;0)*(((K709+M709)-(L709+Calc!$J$2:$J$1001))&lt;Calc!$F$2:$F$1001)*((K709+M709)-(L709+Calc!$J$2:$J$1001))+(((K709+M709)-(L709+Calc!$J$2:$J$1001))&gt;=Calc!$F$2:$F$1001)*Calc!$F$2:$F$1001))))</f>
        <v/>
      </c>
      <c r="R709">
        <f>IF(I709=0,0,(MIN(MAX((K709+N709),0),L709)*W709+SUMPRODUCT((Calc!$A$2:$A$1001=A709)*Calc!$G$2:$G$1001*((((K709+N709)-(L709+Calc!$J$2:$J$1001))&gt;0)*(((K709+N709)-(L709+Calc!$J$2:$J$1001))&lt;Calc!$F$2:$F$1001)*((K709+N709)-(L709+Calc!$J$2:$J$1001))+(((K709+N709)-(L709+Calc!$J$2:$J$1001))&gt;=Calc!$F$2:$F$1001)*Calc!$F$2:$F$1001))))</f>
        <v/>
      </c>
      <c r="S709">
        <f>IF(I709=0,0,(MIN(MAX((K709+O709),0),L709)*W709+SUMPRODUCT((Calc!$A$2:$A$1001=A709)*Calc!$G$2:$G$1001*((((K709+O709)-(L709+Calc!$J$2:$J$1001))&gt;0)*(((K709+O709)-(L709+Calc!$J$2:$J$1001))&lt;Calc!$F$2:$F$1001)*((K709+O709)-(L709+Calc!$J$2:$J$1001))+(((K709+O709)-(L709+Calc!$J$2:$J$1001))&gt;=Calc!$F$2:$F$1001)*Calc!$F$2:$F$1001))))</f>
        <v/>
      </c>
      <c r="T709">
        <f>IF(AND(E709=1,B709="RETURN"),Transactions!E709*Transactions!G709,0)</f>
        <v/>
      </c>
      <c r="U709">
        <f>IF(AND(E709=1,B709="EXPENSE"),Transactions!J709,0)</f>
        <v/>
      </c>
      <c r="V709">
        <f>IF(AND(Transactions!A709&lt;&gt;"",E709=0),ROW(),"")</f>
        <v/>
      </c>
      <c r="W709">
        <f>IFERROR(VLOOKUP(A709,Opening!$A:$D,4,0),0)</f>
        <v/>
      </c>
    </row>
    <row r="710">
      <c r="A710">
        <f>IF(Transactions!D710="","",UPPER(TRIM(Transactions!D710)))</f>
        <v/>
      </c>
      <c r="B710">
        <f>IF(Transactions!C710="","",UPPER(TRIM(Transactions!C710)))</f>
        <v/>
      </c>
      <c r="C710">
        <f>IF(Transactions!B710="",0,YEAR(Transactions!B710)*100+MONTH(Transactions!B710))</f>
        <v/>
      </c>
      <c r="D710">
        <f>IF(Transactions!A710="",1,IF(COUNTIF(Transactions!$A$1:A709,Transactions!A710)&gt;0,1,0))</f>
        <v/>
      </c>
      <c r="E710">
        <f>IF(D710=1,0,IF(B710="RETURN",IF(COUNTIFS($A$1:A709,A710,$B$1:B709,"SALE",$E$1:E709,1)&gt;0,1,0),1))</f>
        <v/>
      </c>
      <c r="F710">
        <f>IF(E710=1,IF(B710="RECEIPT",Transactions!E710,IF(AND(B710="RETURN",LOWER(TRIM(Transactions!H710))="resellable"),Transactions!E710,0)),0)</f>
        <v/>
      </c>
      <c r="G710">
        <f>IF(F710&gt;0,IF(B710="RECEIPT",Transactions!F710,IF(_xlfn.MAXIFS($H$2:H710,$A$2:A710,A710)&gt;0,INDEX(Transactions!$F:$F,_xlfn.MAXIFS($H$2:H710,$A$2:A710,A710)),W710)),0)</f>
        <v/>
      </c>
      <c r="H710">
        <f>IF(AND(E710=1,B710="RECEIPT"),ROW(),0)</f>
        <v/>
      </c>
      <c r="I710">
        <f>IF(E710=1,IF(OR(B710="SALE",B710="WRITEOFF"),Transactions!E710,0),0)</f>
        <v/>
      </c>
      <c r="J710">
        <f>SUMIFS($F$1:F709,$A$1:A709,A710)</f>
        <v/>
      </c>
      <c r="K710">
        <f>SUMIFS($I$1:I709,$A$1:A709,A710)</f>
        <v/>
      </c>
      <c r="L710">
        <f>IFERROR(VLOOKUP(A710,Opening!$A:$C,3,0),0)</f>
        <v/>
      </c>
      <c r="M710">
        <f>IF(I710=0,0,MAX(0,MIN(INDEX(Month!H$2:H$13,MATCH($A710,Month!$A$2:$A$13,0))-K710,I710)))</f>
        <v/>
      </c>
      <c r="N710">
        <f>IF(I710=0,0,MAX(0,MIN(INDEX(Month!I$2:I$13,MATCH($A710,Month!$A$2:$A$13,0))-K710,I710)))</f>
        <v/>
      </c>
      <c r="O710">
        <f>IF(I710=0,0,MAX(0,MIN(INDEX(Month!J$2:J$13,MATCH($A710,Month!$A$2:$A$13,0))-K710,I710)))</f>
        <v/>
      </c>
      <c r="P710">
        <f>IF(I710=0,0,(MIN(MAX(K710,0),L710)*W710+SUMPRODUCT((Calc!$A$2:$A$1001=A710)*Calc!$G$2:$G$1001*(((K710-(L710+Calc!$J$2:$J$1001))&gt;0)*((K710-(L710+Calc!$J$2:$J$1001))&lt;Calc!$F$2:$F$1001)*(K710-(L710+Calc!$J$2:$J$1001))+((K710-(L710+Calc!$J$2:$J$1001))&gt;=Calc!$F$2:$F$1001)*Calc!$F$2:$F$1001))))</f>
        <v/>
      </c>
      <c r="Q710">
        <f>IF(I710=0,0,(MIN(MAX((K710+M710),0),L710)*W710+SUMPRODUCT((Calc!$A$2:$A$1001=A710)*Calc!$G$2:$G$1001*((((K710+M710)-(L710+Calc!$J$2:$J$1001))&gt;0)*(((K710+M710)-(L710+Calc!$J$2:$J$1001))&lt;Calc!$F$2:$F$1001)*((K710+M710)-(L710+Calc!$J$2:$J$1001))+(((K710+M710)-(L710+Calc!$J$2:$J$1001))&gt;=Calc!$F$2:$F$1001)*Calc!$F$2:$F$1001))))</f>
        <v/>
      </c>
      <c r="R710">
        <f>IF(I710=0,0,(MIN(MAX((K710+N710),0),L710)*W710+SUMPRODUCT((Calc!$A$2:$A$1001=A710)*Calc!$G$2:$G$1001*((((K710+N710)-(L710+Calc!$J$2:$J$1001))&gt;0)*(((K710+N710)-(L710+Calc!$J$2:$J$1001))&lt;Calc!$F$2:$F$1001)*((K710+N710)-(L710+Calc!$J$2:$J$1001))+(((K710+N710)-(L710+Calc!$J$2:$J$1001))&gt;=Calc!$F$2:$F$1001)*Calc!$F$2:$F$1001))))</f>
        <v/>
      </c>
      <c r="S710">
        <f>IF(I710=0,0,(MIN(MAX((K710+O710),0),L710)*W710+SUMPRODUCT((Calc!$A$2:$A$1001=A710)*Calc!$G$2:$G$1001*((((K710+O710)-(L710+Calc!$J$2:$J$1001))&gt;0)*(((K710+O710)-(L710+Calc!$J$2:$J$1001))&lt;Calc!$F$2:$F$1001)*((K710+O710)-(L710+Calc!$J$2:$J$1001))+(((K710+O710)-(L710+Calc!$J$2:$J$1001))&gt;=Calc!$F$2:$F$1001)*Calc!$F$2:$F$1001))))</f>
        <v/>
      </c>
      <c r="T710">
        <f>IF(AND(E710=1,B710="RETURN"),Transactions!E710*Transactions!G710,0)</f>
        <v/>
      </c>
      <c r="U710">
        <f>IF(AND(E710=1,B710="EXPENSE"),Transactions!J710,0)</f>
        <v/>
      </c>
      <c r="V710">
        <f>IF(AND(Transactions!A710&lt;&gt;"",E710=0),ROW(),"")</f>
        <v/>
      </c>
      <c r="W710">
        <f>IFERROR(VLOOKUP(A710,Opening!$A:$D,4,0),0)</f>
        <v/>
      </c>
    </row>
    <row r="711">
      <c r="A711">
        <f>IF(Transactions!D711="","",UPPER(TRIM(Transactions!D711)))</f>
        <v/>
      </c>
      <c r="B711">
        <f>IF(Transactions!C711="","",UPPER(TRIM(Transactions!C711)))</f>
        <v/>
      </c>
      <c r="C711">
        <f>IF(Transactions!B711="",0,YEAR(Transactions!B711)*100+MONTH(Transactions!B711))</f>
        <v/>
      </c>
      <c r="D711">
        <f>IF(Transactions!A711="",1,IF(COUNTIF(Transactions!$A$1:A710,Transactions!A711)&gt;0,1,0))</f>
        <v/>
      </c>
      <c r="E711">
        <f>IF(D711=1,0,IF(B711="RETURN",IF(COUNTIFS($A$1:A710,A711,$B$1:B710,"SALE",$E$1:E710,1)&gt;0,1,0),1))</f>
        <v/>
      </c>
      <c r="F711">
        <f>IF(E711=1,IF(B711="RECEIPT",Transactions!E711,IF(AND(B711="RETURN",LOWER(TRIM(Transactions!H711))="resellable"),Transactions!E711,0)),0)</f>
        <v/>
      </c>
      <c r="G711">
        <f>IF(F711&gt;0,IF(B711="RECEIPT",Transactions!F711,IF(_xlfn.MAXIFS($H$2:H711,$A$2:A711,A711)&gt;0,INDEX(Transactions!$F:$F,_xlfn.MAXIFS($H$2:H711,$A$2:A711,A711)),W711)),0)</f>
        <v/>
      </c>
      <c r="H711">
        <f>IF(AND(E711=1,B711="RECEIPT"),ROW(),0)</f>
        <v/>
      </c>
      <c r="I711">
        <f>IF(E711=1,IF(OR(B711="SALE",B711="WRITEOFF"),Transactions!E711,0),0)</f>
        <v/>
      </c>
      <c r="J711">
        <f>SUMIFS($F$1:F710,$A$1:A710,A711)</f>
        <v/>
      </c>
      <c r="K711">
        <f>SUMIFS($I$1:I710,$A$1:A710,A711)</f>
        <v/>
      </c>
      <c r="L711">
        <f>IFERROR(VLOOKUP(A711,Opening!$A:$C,3,0),0)</f>
        <v/>
      </c>
      <c r="M711">
        <f>IF(I711=0,0,MAX(0,MIN(INDEX(Month!H$2:H$13,MATCH($A711,Month!$A$2:$A$13,0))-K711,I711)))</f>
        <v/>
      </c>
      <c r="N711">
        <f>IF(I711=0,0,MAX(0,MIN(INDEX(Month!I$2:I$13,MATCH($A711,Month!$A$2:$A$13,0))-K711,I711)))</f>
        <v/>
      </c>
      <c r="O711">
        <f>IF(I711=0,0,MAX(0,MIN(INDEX(Month!J$2:J$13,MATCH($A711,Month!$A$2:$A$13,0))-K711,I711)))</f>
        <v/>
      </c>
      <c r="P711">
        <f>IF(I711=0,0,(MIN(MAX(K711,0),L711)*W711+SUMPRODUCT((Calc!$A$2:$A$1001=A711)*Calc!$G$2:$G$1001*(((K711-(L711+Calc!$J$2:$J$1001))&gt;0)*((K711-(L711+Calc!$J$2:$J$1001))&lt;Calc!$F$2:$F$1001)*(K711-(L711+Calc!$J$2:$J$1001))+((K711-(L711+Calc!$J$2:$J$1001))&gt;=Calc!$F$2:$F$1001)*Calc!$F$2:$F$1001))))</f>
        <v/>
      </c>
      <c r="Q711">
        <f>IF(I711=0,0,(MIN(MAX((K711+M711),0),L711)*W711+SUMPRODUCT((Calc!$A$2:$A$1001=A711)*Calc!$G$2:$G$1001*((((K711+M711)-(L711+Calc!$J$2:$J$1001))&gt;0)*(((K711+M711)-(L711+Calc!$J$2:$J$1001))&lt;Calc!$F$2:$F$1001)*((K711+M711)-(L711+Calc!$J$2:$J$1001))+(((K711+M711)-(L711+Calc!$J$2:$J$1001))&gt;=Calc!$F$2:$F$1001)*Calc!$F$2:$F$1001))))</f>
        <v/>
      </c>
      <c r="R711">
        <f>IF(I711=0,0,(MIN(MAX((K711+N711),0),L711)*W711+SUMPRODUCT((Calc!$A$2:$A$1001=A711)*Calc!$G$2:$G$1001*((((K711+N711)-(L711+Calc!$J$2:$J$1001))&gt;0)*(((K711+N711)-(L711+Calc!$J$2:$J$1001))&lt;Calc!$F$2:$F$1001)*((K711+N711)-(L711+Calc!$J$2:$J$1001))+(((K711+N711)-(L711+Calc!$J$2:$J$1001))&gt;=Calc!$F$2:$F$1001)*Calc!$F$2:$F$1001))))</f>
        <v/>
      </c>
      <c r="S711">
        <f>IF(I711=0,0,(MIN(MAX((K711+O711),0),L711)*W711+SUMPRODUCT((Calc!$A$2:$A$1001=A711)*Calc!$G$2:$G$1001*((((K711+O711)-(L711+Calc!$J$2:$J$1001))&gt;0)*(((K711+O711)-(L711+Calc!$J$2:$J$1001))&lt;Calc!$F$2:$F$1001)*((K711+O711)-(L711+Calc!$J$2:$J$1001))+(((K711+O711)-(L711+Calc!$J$2:$J$1001))&gt;=Calc!$F$2:$F$1001)*Calc!$F$2:$F$1001))))</f>
        <v/>
      </c>
      <c r="T711">
        <f>IF(AND(E711=1,B711="RETURN"),Transactions!E711*Transactions!G711,0)</f>
        <v/>
      </c>
      <c r="U711">
        <f>IF(AND(E711=1,B711="EXPENSE"),Transactions!J711,0)</f>
        <v/>
      </c>
      <c r="V711">
        <f>IF(AND(Transactions!A711&lt;&gt;"",E711=0),ROW(),"")</f>
        <v/>
      </c>
      <c r="W711">
        <f>IFERROR(VLOOKUP(A711,Opening!$A:$D,4,0),0)</f>
        <v/>
      </c>
    </row>
    <row r="712">
      <c r="A712">
        <f>IF(Transactions!D712="","",UPPER(TRIM(Transactions!D712)))</f>
        <v/>
      </c>
      <c r="B712">
        <f>IF(Transactions!C712="","",UPPER(TRIM(Transactions!C712)))</f>
        <v/>
      </c>
      <c r="C712">
        <f>IF(Transactions!B712="",0,YEAR(Transactions!B712)*100+MONTH(Transactions!B712))</f>
        <v/>
      </c>
      <c r="D712">
        <f>IF(Transactions!A712="",1,IF(COUNTIF(Transactions!$A$1:A711,Transactions!A712)&gt;0,1,0))</f>
        <v/>
      </c>
      <c r="E712">
        <f>IF(D712=1,0,IF(B712="RETURN",IF(COUNTIFS($A$1:A711,A712,$B$1:B711,"SALE",$E$1:E711,1)&gt;0,1,0),1))</f>
        <v/>
      </c>
      <c r="F712">
        <f>IF(E712=1,IF(B712="RECEIPT",Transactions!E712,IF(AND(B712="RETURN",LOWER(TRIM(Transactions!H712))="resellable"),Transactions!E712,0)),0)</f>
        <v/>
      </c>
      <c r="G712">
        <f>IF(F712&gt;0,IF(B712="RECEIPT",Transactions!F712,IF(_xlfn.MAXIFS($H$2:H712,$A$2:A712,A712)&gt;0,INDEX(Transactions!$F:$F,_xlfn.MAXIFS($H$2:H712,$A$2:A712,A712)),W712)),0)</f>
        <v/>
      </c>
      <c r="H712">
        <f>IF(AND(E712=1,B712="RECEIPT"),ROW(),0)</f>
        <v/>
      </c>
      <c r="I712">
        <f>IF(E712=1,IF(OR(B712="SALE",B712="WRITEOFF"),Transactions!E712,0),0)</f>
        <v/>
      </c>
      <c r="J712">
        <f>SUMIFS($F$1:F711,$A$1:A711,A712)</f>
        <v/>
      </c>
      <c r="K712">
        <f>SUMIFS($I$1:I711,$A$1:A711,A712)</f>
        <v/>
      </c>
      <c r="L712">
        <f>IFERROR(VLOOKUP(A712,Opening!$A:$C,3,0),0)</f>
        <v/>
      </c>
      <c r="M712">
        <f>IF(I712=0,0,MAX(0,MIN(INDEX(Month!H$2:H$13,MATCH($A712,Month!$A$2:$A$13,0))-K712,I712)))</f>
        <v/>
      </c>
      <c r="N712">
        <f>IF(I712=0,0,MAX(0,MIN(INDEX(Month!I$2:I$13,MATCH($A712,Month!$A$2:$A$13,0))-K712,I712)))</f>
        <v/>
      </c>
      <c r="O712">
        <f>IF(I712=0,0,MAX(0,MIN(INDEX(Month!J$2:J$13,MATCH($A712,Month!$A$2:$A$13,0))-K712,I712)))</f>
        <v/>
      </c>
      <c r="P712">
        <f>IF(I712=0,0,(MIN(MAX(K712,0),L712)*W712+SUMPRODUCT((Calc!$A$2:$A$1001=A712)*Calc!$G$2:$G$1001*(((K712-(L712+Calc!$J$2:$J$1001))&gt;0)*((K712-(L712+Calc!$J$2:$J$1001))&lt;Calc!$F$2:$F$1001)*(K712-(L712+Calc!$J$2:$J$1001))+((K712-(L712+Calc!$J$2:$J$1001))&gt;=Calc!$F$2:$F$1001)*Calc!$F$2:$F$1001))))</f>
        <v/>
      </c>
      <c r="Q712">
        <f>IF(I712=0,0,(MIN(MAX((K712+M712),0),L712)*W712+SUMPRODUCT((Calc!$A$2:$A$1001=A712)*Calc!$G$2:$G$1001*((((K712+M712)-(L712+Calc!$J$2:$J$1001))&gt;0)*(((K712+M712)-(L712+Calc!$J$2:$J$1001))&lt;Calc!$F$2:$F$1001)*((K712+M712)-(L712+Calc!$J$2:$J$1001))+(((K712+M712)-(L712+Calc!$J$2:$J$1001))&gt;=Calc!$F$2:$F$1001)*Calc!$F$2:$F$1001))))</f>
        <v/>
      </c>
      <c r="R712">
        <f>IF(I712=0,0,(MIN(MAX((K712+N712),0),L712)*W712+SUMPRODUCT((Calc!$A$2:$A$1001=A712)*Calc!$G$2:$G$1001*((((K712+N712)-(L712+Calc!$J$2:$J$1001))&gt;0)*(((K712+N712)-(L712+Calc!$J$2:$J$1001))&lt;Calc!$F$2:$F$1001)*((K712+N712)-(L712+Calc!$J$2:$J$1001))+(((K712+N712)-(L712+Calc!$J$2:$J$1001))&gt;=Calc!$F$2:$F$1001)*Calc!$F$2:$F$1001))))</f>
        <v/>
      </c>
      <c r="S712">
        <f>IF(I712=0,0,(MIN(MAX((K712+O712),0),L712)*W712+SUMPRODUCT((Calc!$A$2:$A$1001=A712)*Calc!$G$2:$G$1001*((((K712+O712)-(L712+Calc!$J$2:$J$1001))&gt;0)*(((K712+O712)-(L712+Calc!$J$2:$J$1001))&lt;Calc!$F$2:$F$1001)*((K712+O712)-(L712+Calc!$J$2:$J$1001))+(((K712+O712)-(L712+Calc!$J$2:$J$1001))&gt;=Calc!$F$2:$F$1001)*Calc!$F$2:$F$1001))))</f>
        <v/>
      </c>
      <c r="T712">
        <f>IF(AND(E712=1,B712="RETURN"),Transactions!E712*Transactions!G712,0)</f>
        <v/>
      </c>
      <c r="U712">
        <f>IF(AND(E712=1,B712="EXPENSE"),Transactions!J712,0)</f>
        <v/>
      </c>
      <c r="V712">
        <f>IF(AND(Transactions!A712&lt;&gt;"",E712=0),ROW(),"")</f>
        <v/>
      </c>
      <c r="W712">
        <f>IFERROR(VLOOKUP(A712,Opening!$A:$D,4,0),0)</f>
        <v/>
      </c>
    </row>
    <row r="713">
      <c r="A713">
        <f>IF(Transactions!D713="","",UPPER(TRIM(Transactions!D713)))</f>
        <v/>
      </c>
      <c r="B713">
        <f>IF(Transactions!C713="","",UPPER(TRIM(Transactions!C713)))</f>
        <v/>
      </c>
      <c r="C713">
        <f>IF(Transactions!B713="",0,YEAR(Transactions!B713)*100+MONTH(Transactions!B713))</f>
        <v/>
      </c>
      <c r="D713">
        <f>IF(Transactions!A713="",1,IF(COUNTIF(Transactions!$A$1:A712,Transactions!A713)&gt;0,1,0))</f>
        <v/>
      </c>
      <c r="E713">
        <f>IF(D713=1,0,IF(B713="RETURN",IF(COUNTIFS($A$1:A712,A713,$B$1:B712,"SALE",$E$1:E712,1)&gt;0,1,0),1))</f>
        <v/>
      </c>
      <c r="F713">
        <f>IF(E713=1,IF(B713="RECEIPT",Transactions!E713,IF(AND(B713="RETURN",LOWER(TRIM(Transactions!H713))="resellable"),Transactions!E713,0)),0)</f>
        <v/>
      </c>
      <c r="G713">
        <f>IF(F713&gt;0,IF(B713="RECEIPT",Transactions!F713,IF(_xlfn.MAXIFS($H$2:H713,$A$2:A713,A713)&gt;0,INDEX(Transactions!$F:$F,_xlfn.MAXIFS($H$2:H713,$A$2:A713,A713)),W713)),0)</f>
        <v/>
      </c>
      <c r="H713">
        <f>IF(AND(E713=1,B713="RECEIPT"),ROW(),0)</f>
        <v/>
      </c>
      <c r="I713">
        <f>IF(E713=1,IF(OR(B713="SALE",B713="WRITEOFF"),Transactions!E713,0),0)</f>
        <v/>
      </c>
      <c r="J713">
        <f>SUMIFS($F$1:F712,$A$1:A712,A713)</f>
        <v/>
      </c>
      <c r="K713">
        <f>SUMIFS($I$1:I712,$A$1:A712,A713)</f>
        <v/>
      </c>
      <c r="L713">
        <f>IFERROR(VLOOKUP(A713,Opening!$A:$C,3,0),0)</f>
        <v/>
      </c>
      <c r="M713">
        <f>IF(I713=0,0,MAX(0,MIN(INDEX(Month!H$2:H$13,MATCH($A713,Month!$A$2:$A$13,0))-K713,I713)))</f>
        <v/>
      </c>
      <c r="N713">
        <f>IF(I713=0,0,MAX(0,MIN(INDEX(Month!I$2:I$13,MATCH($A713,Month!$A$2:$A$13,0))-K713,I713)))</f>
        <v/>
      </c>
      <c r="O713">
        <f>IF(I713=0,0,MAX(0,MIN(INDEX(Month!J$2:J$13,MATCH($A713,Month!$A$2:$A$13,0))-K713,I713)))</f>
        <v/>
      </c>
      <c r="P713">
        <f>IF(I713=0,0,(MIN(MAX(K713,0),L713)*W713+SUMPRODUCT((Calc!$A$2:$A$1001=A713)*Calc!$G$2:$G$1001*(((K713-(L713+Calc!$J$2:$J$1001))&gt;0)*((K713-(L713+Calc!$J$2:$J$1001))&lt;Calc!$F$2:$F$1001)*(K713-(L713+Calc!$J$2:$J$1001))+((K713-(L713+Calc!$J$2:$J$1001))&gt;=Calc!$F$2:$F$1001)*Calc!$F$2:$F$1001))))</f>
        <v/>
      </c>
      <c r="Q713">
        <f>IF(I713=0,0,(MIN(MAX((K713+M713),0),L713)*W713+SUMPRODUCT((Calc!$A$2:$A$1001=A713)*Calc!$G$2:$G$1001*((((K713+M713)-(L713+Calc!$J$2:$J$1001))&gt;0)*(((K713+M713)-(L713+Calc!$J$2:$J$1001))&lt;Calc!$F$2:$F$1001)*((K713+M713)-(L713+Calc!$J$2:$J$1001))+(((K713+M713)-(L713+Calc!$J$2:$J$1001))&gt;=Calc!$F$2:$F$1001)*Calc!$F$2:$F$1001))))</f>
        <v/>
      </c>
      <c r="R713">
        <f>IF(I713=0,0,(MIN(MAX((K713+N713),0),L713)*W713+SUMPRODUCT((Calc!$A$2:$A$1001=A713)*Calc!$G$2:$G$1001*((((K713+N713)-(L713+Calc!$J$2:$J$1001))&gt;0)*(((K713+N713)-(L713+Calc!$J$2:$J$1001))&lt;Calc!$F$2:$F$1001)*((K713+N713)-(L713+Calc!$J$2:$J$1001))+(((K713+N713)-(L713+Calc!$J$2:$J$1001))&gt;=Calc!$F$2:$F$1001)*Calc!$F$2:$F$1001))))</f>
        <v/>
      </c>
      <c r="S713">
        <f>IF(I713=0,0,(MIN(MAX((K713+O713),0),L713)*W713+SUMPRODUCT((Calc!$A$2:$A$1001=A713)*Calc!$G$2:$G$1001*((((K713+O713)-(L713+Calc!$J$2:$J$1001))&gt;0)*(((K713+O713)-(L713+Calc!$J$2:$J$1001))&lt;Calc!$F$2:$F$1001)*((K713+O713)-(L713+Calc!$J$2:$J$1001))+(((K713+O713)-(L713+Calc!$J$2:$J$1001))&gt;=Calc!$F$2:$F$1001)*Calc!$F$2:$F$1001))))</f>
        <v/>
      </c>
      <c r="T713">
        <f>IF(AND(E713=1,B713="RETURN"),Transactions!E713*Transactions!G713,0)</f>
        <v/>
      </c>
      <c r="U713">
        <f>IF(AND(E713=1,B713="EXPENSE"),Transactions!J713,0)</f>
        <v/>
      </c>
      <c r="V713">
        <f>IF(AND(Transactions!A713&lt;&gt;"",E713=0),ROW(),"")</f>
        <v/>
      </c>
      <c r="W713">
        <f>IFERROR(VLOOKUP(A713,Opening!$A:$D,4,0),0)</f>
        <v/>
      </c>
    </row>
    <row r="714">
      <c r="A714">
        <f>IF(Transactions!D714="","",UPPER(TRIM(Transactions!D714)))</f>
        <v/>
      </c>
      <c r="B714">
        <f>IF(Transactions!C714="","",UPPER(TRIM(Transactions!C714)))</f>
        <v/>
      </c>
      <c r="C714">
        <f>IF(Transactions!B714="",0,YEAR(Transactions!B714)*100+MONTH(Transactions!B714))</f>
        <v/>
      </c>
      <c r="D714">
        <f>IF(Transactions!A714="",1,IF(COUNTIF(Transactions!$A$1:A713,Transactions!A714)&gt;0,1,0))</f>
        <v/>
      </c>
      <c r="E714">
        <f>IF(D714=1,0,IF(B714="RETURN",IF(COUNTIFS($A$1:A713,A714,$B$1:B713,"SALE",$E$1:E713,1)&gt;0,1,0),1))</f>
        <v/>
      </c>
      <c r="F714">
        <f>IF(E714=1,IF(B714="RECEIPT",Transactions!E714,IF(AND(B714="RETURN",LOWER(TRIM(Transactions!H714))="resellable"),Transactions!E714,0)),0)</f>
        <v/>
      </c>
      <c r="G714">
        <f>IF(F714&gt;0,IF(B714="RECEIPT",Transactions!F714,IF(_xlfn.MAXIFS($H$2:H714,$A$2:A714,A714)&gt;0,INDEX(Transactions!$F:$F,_xlfn.MAXIFS($H$2:H714,$A$2:A714,A714)),W714)),0)</f>
        <v/>
      </c>
      <c r="H714">
        <f>IF(AND(E714=1,B714="RECEIPT"),ROW(),0)</f>
        <v/>
      </c>
      <c r="I714">
        <f>IF(E714=1,IF(OR(B714="SALE",B714="WRITEOFF"),Transactions!E714,0),0)</f>
        <v/>
      </c>
      <c r="J714">
        <f>SUMIFS($F$1:F713,$A$1:A713,A714)</f>
        <v/>
      </c>
      <c r="K714">
        <f>SUMIFS($I$1:I713,$A$1:A713,A714)</f>
        <v/>
      </c>
      <c r="L714">
        <f>IFERROR(VLOOKUP(A714,Opening!$A:$C,3,0),0)</f>
        <v/>
      </c>
      <c r="M714">
        <f>IF(I714=0,0,MAX(0,MIN(INDEX(Month!H$2:H$13,MATCH($A714,Month!$A$2:$A$13,0))-K714,I714)))</f>
        <v/>
      </c>
      <c r="N714">
        <f>IF(I714=0,0,MAX(0,MIN(INDEX(Month!I$2:I$13,MATCH($A714,Month!$A$2:$A$13,0))-K714,I714)))</f>
        <v/>
      </c>
      <c r="O714">
        <f>IF(I714=0,0,MAX(0,MIN(INDEX(Month!J$2:J$13,MATCH($A714,Month!$A$2:$A$13,0))-K714,I714)))</f>
        <v/>
      </c>
      <c r="P714">
        <f>IF(I714=0,0,(MIN(MAX(K714,0),L714)*W714+SUMPRODUCT((Calc!$A$2:$A$1001=A714)*Calc!$G$2:$G$1001*(((K714-(L714+Calc!$J$2:$J$1001))&gt;0)*((K714-(L714+Calc!$J$2:$J$1001))&lt;Calc!$F$2:$F$1001)*(K714-(L714+Calc!$J$2:$J$1001))+((K714-(L714+Calc!$J$2:$J$1001))&gt;=Calc!$F$2:$F$1001)*Calc!$F$2:$F$1001))))</f>
        <v/>
      </c>
      <c r="Q714">
        <f>IF(I714=0,0,(MIN(MAX((K714+M714),0),L714)*W714+SUMPRODUCT((Calc!$A$2:$A$1001=A714)*Calc!$G$2:$G$1001*((((K714+M714)-(L714+Calc!$J$2:$J$1001))&gt;0)*(((K714+M714)-(L714+Calc!$J$2:$J$1001))&lt;Calc!$F$2:$F$1001)*((K714+M714)-(L714+Calc!$J$2:$J$1001))+(((K714+M714)-(L714+Calc!$J$2:$J$1001))&gt;=Calc!$F$2:$F$1001)*Calc!$F$2:$F$1001))))</f>
        <v/>
      </c>
      <c r="R714">
        <f>IF(I714=0,0,(MIN(MAX((K714+N714),0),L714)*W714+SUMPRODUCT((Calc!$A$2:$A$1001=A714)*Calc!$G$2:$G$1001*((((K714+N714)-(L714+Calc!$J$2:$J$1001))&gt;0)*(((K714+N714)-(L714+Calc!$J$2:$J$1001))&lt;Calc!$F$2:$F$1001)*((K714+N714)-(L714+Calc!$J$2:$J$1001))+(((K714+N714)-(L714+Calc!$J$2:$J$1001))&gt;=Calc!$F$2:$F$1001)*Calc!$F$2:$F$1001))))</f>
        <v/>
      </c>
      <c r="S714">
        <f>IF(I714=0,0,(MIN(MAX((K714+O714),0),L714)*W714+SUMPRODUCT((Calc!$A$2:$A$1001=A714)*Calc!$G$2:$G$1001*((((K714+O714)-(L714+Calc!$J$2:$J$1001))&gt;0)*(((K714+O714)-(L714+Calc!$J$2:$J$1001))&lt;Calc!$F$2:$F$1001)*((K714+O714)-(L714+Calc!$J$2:$J$1001))+(((K714+O714)-(L714+Calc!$J$2:$J$1001))&gt;=Calc!$F$2:$F$1001)*Calc!$F$2:$F$1001))))</f>
        <v/>
      </c>
      <c r="T714">
        <f>IF(AND(E714=1,B714="RETURN"),Transactions!E714*Transactions!G714,0)</f>
        <v/>
      </c>
      <c r="U714">
        <f>IF(AND(E714=1,B714="EXPENSE"),Transactions!J714,0)</f>
        <v/>
      </c>
      <c r="V714">
        <f>IF(AND(Transactions!A714&lt;&gt;"",E714=0),ROW(),"")</f>
        <v/>
      </c>
      <c r="W714">
        <f>IFERROR(VLOOKUP(A714,Opening!$A:$D,4,0),0)</f>
        <v/>
      </c>
    </row>
    <row r="715">
      <c r="A715">
        <f>IF(Transactions!D715="","",UPPER(TRIM(Transactions!D715)))</f>
        <v/>
      </c>
      <c r="B715">
        <f>IF(Transactions!C715="","",UPPER(TRIM(Transactions!C715)))</f>
        <v/>
      </c>
      <c r="C715">
        <f>IF(Transactions!B715="",0,YEAR(Transactions!B715)*100+MONTH(Transactions!B715))</f>
        <v/>
      </c>
      <c r="D715">
        <f>IF(Transactions!A715="",1,IF(COUNTIF(Transactions!$A$1:A714,Transactions!A715)&gt;0,1,0))</f>
        <v/>
      </c>
      <c r="E715">
        <f>IF(D715=1,0,IF(B715="RETURN",IF(COUNTIFS($A$1:A714,A715,$B$1:B714,"SALE",$E$1:E714,1)&gt;0,1,0),1))</f>
        <v/>
      </c>
      <c r="F715">
        <f>IF(E715=1,IF(B715="RECEIPT",Transactions!E715,IF(AND(B715="RETURN",LOWER(TRIM(Transactions!H715))="resellable"),Transactions!E715,0)),0)</f>
        <v/>
      </c>
      <c r="G715">
        <f>IF(F715&gt;0,IF(B715="RECEIPT",Transactions!F715,IF(_xlfn.MAXIFS($H$2:H715,$A$2:A715,A715)&gt;0,INDEX(Transactions!$F:$F,_xlfn.MAXIFS($H$2:H715,$A$2:A715,A715)),W715)),0)</f>
        <v/>
      </c>
      <c r="H715">
        <f>IF(AND(E715=1,B715="RECEIPT"),ROW(),0)</f>
        <v/>
      </c>
      <c r="I715">
        <f>IF(E715=1,IF(OR(B715="SALE",B715="WRITEOFF"),Transactions!E715,0),0)</f>
        <v/>
      </c>
      <c r="J715">
        <f>SUMIFS($F$1:F714,$A$1:A714,A715)</f>
        <v/>
      </c>
      <c r="K715">
        <f>SUMIFS($I$1:I714,$A$1:A714,A715)</f>
        <v/>
      </c>
      <c r="L715">
        <f>IFERROR(VLOOKUP(A715,Opening!$A:$C,3,0),0)</f>
        <v/>
      </c>
      <c r="M715">
        <f>IF(I715=0,0,MAX(0,MIN(INDEX(Month!H$2:H$13,MATCH($A715,Month!$A$2:$A$13,0))-K715,I715)))</f>
        <v/>
      </c>
      <c r="N715">
        <f>IF(I715=0,0,MAX(0,MIN(INDEX(Month!I$2:I$13,MATCH($A715,Month!$A$2:$A$13,0))-K715,I715)))</f>
        <v/>
      </c>
      <c r="O715">
        <f>IF(I715=0,0,MAX(0,MIN(INDEX(Month!J$2:J$13,MATCH($A715,Month!$A$2:$A$13,0))-K715,I715)))</f>
        <v/>
      </c>
      <c r="P715">
        <f>IF(I715=0,0,(MIN(MAX(K715,0),L715)*W715+SUMPRODUCT((Calc!$A$2:$A$1001=A715)*Calc!$G$2:$G$1001*(((K715-(L715+Calc!$J$2:$J$1001))&gt;0)*((K715-(L715+Calc!$J$2:$J$1001))&lt;Calc!$F$2:$F$1001)*(K715-(L715+Calc!$J$2:$J$1001))+((K715-(L715+Calc!$J$2:$J$1001))&gt;=Calc!$F$2:$F$1001)*Calc!$F$2:$F$1001))))</f>
        <v/>
      </c>
      <c r="Q715">
        <f>IF(I715=0,0,(MIN(MAX((K715+M715),0),L715)*W715+SUMPRODUCT((Calc!$A$2:$A$1001=A715)*Calc!$G$2:$G$1001*((((K715+M715)-(L715+Calc!$J$2:$J$1001))&gt;0)*(((K715+M715)-(L715+Calc!$J$2:$J$1001))&lt;Calc!$F$2:$F$1001)*((K715+M715)-(L715+Calc!$J$2:$J$1001))+(((K715+M715)-(L715+Calc!$J$2:$J$1001))&gt;=Calc!$F$2:$F$1001)*Calc!$F$2:$F$1001))))</f>
        <v/>
      </c>
      <c r="R715">
        <f>IF(I715=0,0,(MIN(MAX((K715+N715),0),L715)*W715+SUMPRODUCT((Calc!$A$2:$A$1001=A715)*Calc!$G$2:$G$1001*((((K715+N715)-(L715+Calc!$J$2:$J$1001))&gt;0)*(((K715+N715)-(L715+Calc!$J$2:$J$1001))&lt;Calc!$F$2:$F$1001)*((K715+N715)-(L715+Calc!$J$2:$J$1001))+(((K715+N715)-(L715+Calc!$J$2:$J$1001))&gt;=Calc!$F$2:$F$1001)*Calc!$F$2:$F$1001))))</f>
        <v/>
      </c>
      <c r="S715">
        <f>IF(I715=0,0,(MIN(MAX((K715+O715),0),L715)*W715+SUMPRODUCT((Calc!$A$2:$A$1001=A715)*Calc!$G$2:$G$1001*((((K715+O715)-(L715+Calc!$J$2:$J$1001))&gt;0)*(((K715+O715)-(L715+Calc!$J$2:$J$1001))&lt;Calc!$F$2:$F$1001)*((K715+O715)-(L715+Calc!$J$2:$J$1001))+(((K715+O715)-(L715+Calc!$J$2:$J$1001))&gt;=Calc!$F$2:$F$1001)*Calc!$F$2:$F$1001))))</f>
        <v/>
      </c>
      <c r="T715">
        <f>IF(AND(E715=1,B715="RETURN"),Transactions!E715*Transactions!G715,0)</f>
        <v/>
      </c>
      <c r="U715">
        <f>IF(AND(E715=1,B715="EXPENSE"),Transactions!J715,0)</f>
        <v/>
      </c>
      <c r="V715">
        <f>IF(AND(Transactions!A715&lt;&gt;"",E715=0),ROW(),"")</f>
        <v/>
      </c>
      <c r="W715">
        <f>IFERROR(VLOOKUP(A715,Opening!$A:$D,4,0),0)</f>
        <v/>
      </c>
    </row>
    <row r="716">
      <c r="A716">
        <f>IF(Transactions!D716="","",UPPER(TRIM(Transactions!D716)))</f>
        <v/>
      </c>
      <c r="B716">
        <f>IF(Transactions!C716="","",UPPER(TRIM(Transactions!C716)))</f>
        <v/>
      </c>
      <c r="C716">
        <f>IF(Transactions!B716="",0,YEAR(Transactions!B716)*100+MONTH(Transactions!B716))</f>
        <v/>
      </c>
      <c r="D716">
        <f>IF(Transactions!A716="",1,IF(COUNTIF(Transactions!$A$1:A715,Transactions!A716)&gt;0,1,0))</f>
        <v/>
      </c>
      <c r="E716">
        <f>IF(D716=1,0,IF(B716="RETURN",IF(COUNTIFS($A$1:A715,A716,$B$1:B715,"SALE",$E$1:E715,1)&gt;0,1,0),1))</f>
        <v/>
      </c>
      <c r="F716">
        <f>IF(E716=1,IF(B716="RECEIPT",Transactions!E716,IF(AND(B716="RETURN",LOWER(TRIM(Transactions!H716))="resellable"),Transactions!E716,0)),0)</f>
        <v/>
      </c>
      <c r="G716">
        <f>IF(F716&gt;0,IF(B716="RECEIPT",Transactions!F716,IF(_xlfn.MAXIFS($H$2:H716,$A$2:A716,A716)&gt;0,INDEX(Transactions!$F:$F,_xlfn.MAXIFS($H$2:H716,$A$2:A716,A716)),W716)),0)</f>
        <v/>
      </c>
      <c r="H716">
        <f>IF(AND(E716=1,B716="RECEIPT"),ROW(),0)</f>
        <v/>
      </c>
      <c r="I716">
        <f>IF(E716=1,IF(OR(B716="SALE",B716="WRITEOFF"),Transactions!E716,0),0)</f>
        <v/>
      </c>
      <c r="J716">
        <f>SUMIFS($F$1:F715,$A$1:A715,A716)</f>
        <v/>
      </c>
      <c r="K716">
        <f>SUMIFS($I$1:I715,$A$1:A715,A716)</f>
        <v/>
      </c>
      <c r="L716">
        <f>IFERROR(VLOOKUP(A716,Opening!$A:$C,3,0),0)</f>
        <v/>
      </c>
      <c r="M716">
        <f>IF(I716=0,0,MAX(0,MIN(INDEX(Month!H$2:H$13,MATCH($A716,Month!$A$2:$A$13,0))-K716,I716)))</f>
        <v/>
      </c>
      <c r="N716">
        <f>IF(I716=0,0,MAX(0,MIN(INDEX(Month!I$2:I$13,MATCH($A716,Month!$A$2:$A$13,0))-K716,I716)))</f>
        <v/>
      </c>
      <c r="O716">
        <f>IF(I716=0,0,MAX(0,MIN(INDEX(Month!J$2:J$13,MATCH($A716,Month!$A$2:$A$13,0))-K716,I716)))</f>
        <v/>
      </c>
      <c r="P716">
        <f>IF(I716=0,0,(MIN(MAX(K716,0),L716)*W716+SUMPRODUCT((Calc!$A$2:$A$1001=A716)*Calc!$G$2:$G$1001*(((K716-(L716+Calc!$J$2:$J$1001))&gt;0)*((K716-(L716+Calc!$J$2:$J$1001))&lt;Calc!$F$2:$F$1001)*(K716-(L716+Calc!$J$2:$J$1001))+((K716-(L716+Calc!$J$2:$J$1001))&gt;=Calc!$F$2:$F$1001)*Calc!$F$2:$F$1001))))</f>
        <v/>
      </c>
      <c r="Q716">
        <f>IF(I716=0,0,(MIN(MAX((K716+M716),0),L716)*W716+SUMPRODUCT((Calc!$A$2:$A$1001=A716)*Calc!$G$2:$G$1001*((((K716+M716)-(L716+Calc!$J$2:$J$1001))&gt;0)*(((K716+M716)-(L716+Calc!$J$2:$J$1001))&lt;Calc!$F$2:$F$1001)*((K716+M716)-(L716+Calc!$J$2:$J$1001))+(((K716+M716)-(L716+Calc!$J$2:$J$1001))&gt;=Calc!$F$2:$F$1001)*Calc!$F$2:$F$1001))))</f>
        <v/>
      </c>
      <c r="R716">
        <f>IF(I716=0,0,(MIN(MAX((K716+N716),0),L716)*W716+SUMPRODUCT((Calc!$A$2:$A$1001=A716)*Calc!$G$2:$G$1001*((((K716+N716)-(L716+Calc!$J$2:$J$1001))&gt;0)*(((K716+N716)-(L716+Calc!$J$2:$J$1001))&lt;Calc!$F$2:$F$1001)*((K716+N716)-(L716+Calc!$J$2:$J$1001))+(((K716+N716)-(L716+Calc!$J$2:$J$1001))&gt;=Calc!$F$2:$F$1001)*Calc!$F$2:$F$1001))))</f>
        <v/>
      </c>
      <c r="S716">
        <f>IF(I716=0,0,(MIN(MAX((K716+O716),0),L716)*W716+SUMPRODUCT((Calc!$A$2:$A$1001=A716)*Calc!$G$2:$G$1001*((((K716+O716)-(L716+Calc!$J$2:$J$1001))&gt;0)*(((K716+O716)-(L716+Calc!$J$2:$J$1001))&lt;Calc!$F$2:$F$1001)*((K716+O716)-(L716+Calc!$J$2:$J$1001))+(((K716+O716)-(L716+Calc!$J$2:$J$1001))&gt;=Calc!$F$2:$F$1001)*Calc!$F$2:$F$1001))))</f>
        <v/>
      </c>
      <c r="T716">
        <f>IF(AND(E716=1,B716="RETURN"),Transactions!E716*Transactions!G716,0)</f>
        <v/>
      </c>
      <c r="U716">
        <f>IF(AND(E716=1,B716="EXPENSE"),Transactions!J716,0)</f>
        <v/>
      </c>
      <c r="V716">
        <f>IF(AND(Transactions!A716&lt;&gt;"",E716=0),ROW(),"")</f>
        <v/>
      </c>
      <c r="W716">
        <f>IFERROR(VLOOKUP(A716,Opening!$A:$D,4,0),0)</f>
        <v/>
      </c>
    </row>
    <row r="717">
      <c r="A717">
        <f>IF(Transactions!D717="","",UPPER(TRIM(Transactions!D717)))</f>
        <v/>
      </c>
      <c r="B717">
        <f>IF(Transactions!C717="","",UPPER(TRIM(Transactions!C717)))</f>
        <v/>
      </c>
      <c r="C717">
        <f>IF(Transactions!B717="",0,YEAR(Transactions!B717)*100+MONTH(Transactions!B717))</f>
        <v/>
      </c>
      <c r="D717">
        <f>IF(Transactions!A717="",1,IF(COUNTIF(Transactions!$A$1:A716,Transactions!A717)&gt;0,1,0))</f>
        <v/>
      </c>
      <c r="E717">
        <f>IF(D717=1,0,IF(B717="RETURN",IF(COUNTIFS($A$1:A716,A717,$B$1:B716,"SALE",$E$1:E716,1)&gt;0,1,0),1))</f>
        <v/>
      </c>
      <c r="F717">
        <f>IF(E717=1,IF(B717="RECEIPT",Transactions!E717,IF(AND(B717="RETURN",LOWER(TRIM(Transactions!H717))="resellable"),Transactions!E717,0)),0)</f>
        <v/>
      </c>
      <c r="G717">
        <f>IF(F717&gt;0,IF(B717="RECEIPT",Transactions!F717,IF(_xlfn.MAXIFS($H$2:H717,$A$2:A717,A717)&gt;0,INDEX(Transactions!$F:$F,_xlfn.MAXIFS($H$2:H717,$A$2:A717,A717)),W717)),0)</f>
        <v/>
      </c>
      <c r="H717">
        <f>IF(AND(E717=1,B717="RECEIPT"),ROW(),0)</f>
        <v/>
      </c>
      <c r="I717">
        <f>IF(E717=1,IF(OR(B717="SALE",B717="WRITEOFF"),Transactions!E717,0),0)</f>
        <v/>
      </c>
      <c r="J717">
        <f>SUMIFS($F$1:F716,$A$1:A716,A717)</f>
        <v/>
      </c>
      <c r="K717">
        <f>SUMIFS($I$1:I716,$A$1:A716,A717)</f>
        <v/>
      </c>
      <c r="L717">
        <f>IFERROR(VLOOKUP(A717,Opening!$A:$C,3,0),0)</f>
        <v/>
      </c>
      <c r="M717">
        <f>IF(I717=0,0,MAX(0,MIN(INDEX(Month!H$2:H$13,MATCH($A717,Month!$A$2:$A$13,0))-K717,I717)))</f>
        <v/>
      </c>
      <c r="N717">
        <f>IF(I717=0,0,MAX(0,MIN(INDEX(Month!I$2:I$13,MATCH($A717,Month!$A$2:$A$13,0))-K717,I717)))</f>
        <v/>
      </c>
      <c r="O717">
        <f>IF(I717=0,0,MAX(0,MIN(INDEX(Month!J$2:J$13,MATCH($A717,Month!$A$2:$A$13,0))-K717,I717)))</f>
        <v/>
      </c>
      <c r="P717">
        <f>IF(I717=0,0,(MIN(MAX(K717,0),L717)*W717+SUMPRODUCT((Calc!$A$2:$A$1001=A717)*Calc!$G$2:$G$1001*(((K717-(L717+Calc!$J$2:$J$1001))&gt;0)*((K717-(L717+Calc!$J$2:$J$1001))&lt;Calc!$F$2:$F$1001)*(K717-(L717+Calc!$J$2:$J$1001))+((K717-(L717+Calc!$J$2:$J$1001))&gt;=Calc!$F$2:$F$1001)*Calc!$F$2:$F$1001))))</f>
        <v/>
      </c>
      <c r="Q717">
        <f>IF(I717=0,0,(MIN(MAX((K717+M717),0),L717)*W717+SUMPRODUCT((Calc!$A$2:$A$1001=A717)*Calc!$G$2:$G$1001*((((K717+M717)-(L717+Calc!$J$2:$J$1001))&gt;0)*(((K717+M717)-(L717+Calc!$J$2:$J$1001))&lt;Calc!$F$2:$F$1001)*((K717+M717)-(L717+Calc!$J$2:$J$1001))+(((K717+M717)-(L717+Calc!$J$2:$J$1001))&gt;=Calc!$F$2:$F$1001)*Calc!$F$2:$F$1001))))</f>
        <v/>
      </c>
      <c r="R717">
        <f>IF(I717=0,0,(MIN(MAX((K717+N717),0),L717)*W717+SUMPRODUCT((Calc!$A$2:$A$1001=A717)*Calc!$G$2:$G$1001*((((K717+N717)-(L717+Calc!$J$2:$J$1001))&gt;0)*(((K717+N717)-(L717+Calc!$J$2:$J$1001))&lt;Calc!$F$2:$F$1001)*((K717+N717)-(L717+Calc!$J$2:$J$1001))+(((K717+N717)-(L717+Calc!$J$2:$J$1001))&gt;=Calc!$F$2:$F$1001)*Calc!$F$2:$F$1001))))</f>
        <v/>
      </c>
      <c r="S717">
        <f>IF(I717=0,0,(MIN(MAX((K717+O717),0),L717)*W717+SUMPRODUCT((Calc!$A$2:$A$1001=A717)*Calc!$G$2:$G$1001*((((K717+O717)-(L717+Calc!$J$2:$J$1001))&gt;0)*(((K717+O717)-(L717+Calc!$J$2:$J$1001))&lt;Calc!$F$2:$F$1001)*((K717+O717)-(L717+Calc!$J$2:$J$1001))+(((K717+O717)-(L717+Calc!$J$2:$J$1001))&gt;=Calc!$F$2:$F$1001)*Calc!$F$2:$F$1001))))</f>
        <v/>
      </c>
      <c r="T717">
        <f>IF(AND(E717=1,B717="RETURN"),Transactions!E717*Transactions!G717,0)</f>
        <v/>
      </c>
      <c r="U717">
        <f>IF(AND(E717=1,B717="EXPENSE"),Transactions!J717,0)</f>
        <v/>
      </c>
      <c r="V717">
        <f>IF(AND(Transactions!A717&lt;&gt;"",E717=0),ROW(),"")</f>
        <v/>
      </c>
      <c r="W717">
        <f>IFERROR(VLOOKUP(A717,Opening!$A:$D,4,0),0)</f>
        <v/>
      </c>
    </row>
    <row r="718">
      <c r="A718">
        <f>IF(Transactions!D718="","",UPPER(TRIM(Transactions!D718)))</f>
        <v/>
      </c>
      <c r="B718">
        <f>IF(Transactions!C718="","",UPPER(TRIM(Transactions!C718)))</f>
        <v/>
      </c>
      <c r="C718">
        <f>IF(Transactions!B718="",0,YEAR(Transactions!B718)*100+MONTH(Transactions!B718))</f>
        <v/>
      </c>
      <c r="D718">
        <f>IF(Transactions!A718="",1,IF(COUNTIF(Transactions!$A$1:A717,Transactions!A718)&gt;0,1,0))</f>
        <v/>
      </c>
      <c r="E718">
        <f>IF(D718=1,0,IF(B718="RETURN",IF(COUNTIFS($A$1:A717,A718,$B$1:B717,"SALE",$E$1:E717,1)&gt;0,1,0),1))</f>
        <v/>
      </c>
      <c r="F718">
        <f>IF(E718=1,IF(B718="RECEIPT",Transactions!E718,IF(AND(B718="RETURN",LOWER(TRIM(Transactions!H718))="resellable"),Transactions!E718,0)),0)</f>
        <v/>
      </c>
      <c r="G718">
        <f>IF(F718&gt;0,IF(B718="RECEIPT",Transactions!F718,IF(_xlfn.MAXIFS($H$2:H718,$A$2:A718,A718)&gt;0,INDEX(Transactions!$F:$F,_xlfn.MAXIFS($H$2:H718,$A$2:A718,A718)),W718)),0)</f>
        <v/>
      </c>
      <c r="H718">
        <f>IF(AND(E718=1,B718="RECEIPT"),ROW(),0)</f>
        <v/>
      </c>
      <c r="I718">
        <f>IF(E718=1,IF(OR(B718="SALE",B718="WRITEOFF"),Transactions!E718,0),0)</f>
        <v/>
      </c>
      <c r="J718">
        <f>SUMIFS($F$1:F717,$A$1:A717,A718)</f>
        <v/>
      </c>
      <c r="K718">
        <f>SUMIFS($I$1:I717,$A$1:A717,A718)</f>
        <v/>
      </c>
      <c r="L718">
        <f>IFERROR(VLOOKUP(A718,Opening!$A:$C,3,0),0)</f>
        <v/>
      </c>
      <c r="M718">
        <f>IF(I718=0,0,MAX(0,MIN(INDEX(Month!H$2:H$13,MATCH($A718,Month!$A$2:$A$13,0))-K718,I718)))</f>
        <v/>
      </c>
      <c r="N718">
        <f>IF(I718=0,0,MAX(0,MIN(INDEX(Month!I$2:I$13,MATCH($A718,Month!$A$2:$A$13,0))-K718,I718)))</f>
        <v/>
      </c>
      <c r="O718">
        <f>IF(I718=0,0,MAX(0,MIN(INDEX(Month!J$2:J$13,MATCH($A718,Month!$A$2:$A$13,0))-K718,I718)))</f>
        <v/>
      </c>
      <c r="P718">
        <f>IF(I718=0,0,(MIN(MAX(K718,0),L718)*W718+SUMPRODUCT((Calc!$A$2:$A$1001=A718)*Calc!$G$2:$G$1001*(((K718-(L718+Calc!$J$2:$J$1001))&gt;0)*((K718-(L718+Calc!$J$2:$J$1001))&lt;Calc!$F$2:$F$1001)*(K718-(L718+Calc!$J$2:$J$1001))+((K718-(L718+Calc!$J$2:$J$1001))&gt;=Calc!$F$2:$F$1001)*Calc!$F$2:$F$1001))))</f>
        <v/>
      </c>
      <c r="Q718">
        <f>IF(I718=0,0,(MIN(MAX((K718+M718),0),L718)*W718+SUMPRODUCT((Calc!$A$2:$A$1001=A718)*Calc!$G$2:$G$1001*((((K718+M718)-(L718+Calc!$J$2:$J$1001))&gt;0)*(((K718+M718)-(L718+Calc!$J$2:$J$1001))&lt;Calc!$F$2:$F$1001)*((K718+M718)-(L718+Calc!$J$2:$J$1001))+(((K718+M718)-(L718+Calc!$J$2:$J$1001))&gt;=Calc!$F$2:$F$1001)*Calc!$F$2:$F$1001))))</f>
        <v/>
      </c>
      <c r="R718">
        <f>IF(I718=0,0,(MIN(MAX((K718+N718),0),L718)*W718+SUMPRODUCT((Calc!$A$2:$A$1001=A718)*Calc!$G$2:$G$1001*((((K718+N718)-(L718+Calc!$J$2:$J$1001))&gt;0)*(((K718+N718)-(L718+Calc!$J$2:$J$1001))&lt;Calc!$F$2:$F$1001)*((K718+N718)-(L718+Calc!$J$2:$J$1001))+(((K718+N718)-(L718+Calc!$J$2:$J$1001))&gt;=Calc!$F$2:$F$1001)*Calc!$F$2:$F$1001))))</f>
        <v/>
      </c>
      <c r="S718">
        <f>IF(I718=0,0,(MIN(MAX((K718+O718),0),L718)*W718+SUMPRODUCT((Calc!$A$2:$A$1001=A718)*Calc!$G$2:$G$1001*((((K718+O718)-(L718+Calc!$J$2:$J$1001))&gt;0)*(((K718+O718)-(L718+Calc!$J$2:$J$1001))&lt;Calc!$F$2:$F$1001)*((K718+O718)-(L718+Calc!$J$2:$J$1001))+(((K718+O718)-(L718+Calc!$J$2:$J$1001))&gt;=Calc!$F$2:$F$1001)*Calc!$F$2:$F$1001))))</f>
        <v/>
      </c>
      <c r="T718">
        <f>IF(AND(E718=1,B718="RETURN"),Transactions!E718*Transactions!G718,0)</f>
        <v/>
      </c>
      <c r="U718">
        <f>IF(AND(E718=1,B718="EXPENSE"),Transactions!J718,0)</f>
        <v/>
      </c>
      <c r="V718">
        <f>IF(AND(Transactions!A718&lt;&gt;"",E718=0),ROW(),"")</f>
        <v/>
      </c>
      <c r="W718">
        <f>IFERROR(VLOOKUP(A718,Opening!$A:$D,4,0),0)</f>
        <v/>
      </c>
    </row>
    <row r="719">
      <c r="A719">
        <f>IF(Transactions!D719="","",UPPER(TRIM(Transactions!D719)))</f>
        <v/>
      </c>
      <c r="B719">
        <f>IF(Transactions!C719="","",UPPER(TRIM(Transactions!C719)))</f>
        <v/>
      </c>
      <c r="C719">
        <f>IF(Transactions!B719="",0,YEAR(Transactions!B719)*100+MONTH(Transactions!B719))</f>
        <v/>
      </c>
      <c r="D719">
        <f>IF(Transactions!A719="",1,IF(COUNTIF(Transactions!$A$1:A718,Transactions!A719)&gt;0,1,0))</f>
        <v/>
      </c>
      <c r="E719">
        <f>IF(D719=1,0,IF(B719="RETURN",IF(COUNTIFS($A$1:A718,A719,$B$1:B718,"SALE",$E$1:E718,1)&gt;0,1,0),1))</f>
        <v/>
      </c>
      <c r="F719">
        <f>IF(E719=1,IF(B719="RECEIPT",Transactions!E719,IF(AND(B719="RETURN",LOWER(TRIM(Transactions!H719))="resellable"),Transactions!E719,0)),0)</f>
        <v/>
      </c>
      <c r="G719">
        <f>IF(F719&gt;0,IF(B719="RECEIPT",Transactions!F719,IF(_xlfn.MAXIFS($H$2:H719,$A$2:A719,A719)&gt;0,INDEX(Transactions!$F:$F,_xlfn.MAXIFS($H$2:H719,$A$2:A719,A719)),W719)),0)</f>
        <v/>
      </c>
      <c r="H719">
        <f>IF(AND(E719=1,B719="RECEIPT"),ROW(),0)</f>
        <v/>
      </c>
      <c r="I719">
        <f>IF(E719=1,IF(OR(B719="SALE",B719="WRITEOFF"),Transactions!E719,0),0)</f>
        <v/>
      </c>
      <c r="J719">
        <f>SUMIFS($F$1:F718,$A$1:A718,A719)</f>
        <v/>
      </c>
      <c r="K719">
        <f>SUMIFS($I$1:I718,$A$1:A718,A719)</f>
        <v/>
      </c>
      <c r="L719">
        <f>IFERROR(VLOOKUP(A719,Opening!$A:$C,3,0),0)</f>
        <v/>
      </c>
      <c r="M719">
        <f>IF(I719=0,0,MAX(0,MIN(INDEX(Month!H$2:H$13,MATCH($A719,Month!$A$2:$A$13,0))-K719,I719)))</f>
        <v/>
      </c>
      <c r="N719">
        <f>IF(I719=0,0,MAX(0,MIN(INDEX(Month!I$2:I$13,MATCH($A719,Month!$A$2:$A$13,0))-K719,I719)))</f>
        <v/>
      </c>
      <c r="O719">
        <f>IF(I719=0,0,MAX(0,MIN(INDEX(Month!J$2:J$13,MATCH($A719,Month!$A$2:$A$13,0))-K719,I719)))</f>
        <v/>
      </c>
      <c r="P719">
        <f>IF(I719=0,0,(MIN(MAX(K719,0),L719)*W719+SUMPRODUCT((Calc!$A$2:$A$1001=A719)*Calc!$G$2:$G$1001*(((K719-(L719+Calc!$J$2:$J$1001))&gt;0)*((K719-(L719+Calc!$J$2:$J$1001))&lt;Calc!$F$2:$F$1001)*(K719-(L719+Calc!$J$2:$J$1001))+((K719-(L719+Calc!$J$2:$J$1001))&gt;=Calc!$F$2:$F$1001)*Calc!$F$2:$F$1001))))</f>
        <v/>
      </c>
      <c r="Q719">
        <f>IF(I719=0,0,(MIN(MAX((K719+M719),0),L719)*W719+SUMPRODUCT((Calc!$A$2:$A$1001=A719)*Calc!$G$2:$G$1001*((((K719+M719)-(L719+Calc!$J$2:$J$1001))&gt;0)*(((K719+M719)-(L719+Calc!$J$2:$J$1001))&lt;Calc!$F$2:$F$1001)*((K719+M719)-(L719+Calc!$J$2:$J$1001))+(((K719+M719)-(L719+Calc!$J$2:$J$1001))&gt;=Calc!$F$2:$F$1001)*Calc!$F$2:$F$1001))))</f>
        <v/>
      </c>
      <c r="R719">
        <f>IF(I719=0,0,(MIN(MAX((K719+N719),0),L719)*W719+SUMPRODUCT((Calc!$A$2:$A$1001=A719)*Calc!$G$2:$G$1001*((((K719+N719)-(L719+Calc!$J$2:$J$1001))&gt;0)*(((K719+N719)-(L719+Calc!$J$2:$J$1001))&lt;Calc!$F$2:$F$1001)*((K719+N719)-(L719+Calc!$J$2:$J$1001))+(((K719+N719)-(L719+Calc!$J$2:$J$1001))&gt;=Calc!$F$2:$F$1001)*Calc!$F$2:$F$1001))))</f>
        <v/>
      </c>
      <c r="S719">
        <f>IF(I719=0,0,(MIN(MAX((K719+O719),0),L719)*W719+SUMPRODUCT((Calc!$A$2:$A$1001=A719)*Calc!$G$2:$G$1001*((((K719+O719)-(L719+Calc!$J$2:$J$1001))&gt;0)*(((K719+O719)-(L719+Calc!$J$2:$J$1001))&lt;Calc!$F$2:$F$1001)*((K719+O719)-(L719+Calc!$J$2:$J$1001))+(((K719+O719)-(L719+Calc!$J$2:$J$1001))&gt;=Calc!$F$2:$F$1001)*Calc!$F$2:$F$1001))))</f>
        <v/>
      </c>
      <c r="T719">
        <f>IF(AND(E719=1,B719="RETURN"),Transactions!E719*Transactions!G719,0)</f>
        <v/>
      </c>
      <c r="U719">
        <f>IF(AND(E719=1,B719="EXPENSE"),Transactions!J719,0)</f>
        <v/>
      </c>
      <c r="V719">
        <f>IF(AND(Transactions!A719&lt;&gt;"",E719=0),ROW(),"")</f>
        <v/>
      </c>
      <c r="W719">
        <f>IFERROR(VLOOKUP(A719,Opening!$A:$D,4,0),0)</f>
        <v/>
      </c>
    </row>
    <row r="720">
      <c r="A720">
        <f>IF(Transactions!D720="","",UPPER(TRIM(Transactions!D720)))</f>
        <v/>
      </c>
      <c r="B720">
        <f>IF(Transactions!C720="","",UPPER(TRIM(Transactions!C720)))</f>
        <v/>
      </c>
      <c r="C720">
        <f>IF(Transactions!B720="",0,YEAR(Transactions!B720)*100+MONTH(Transactions!B720))</f>
        <v/>
      </c>
      <c r="D720">
        <f>IF(Transactions!A720="",1,IF(COUNTIF(Transactions!$A$1:A719,Transactions!A720)&gt;0,1,0))</f>
        <v/>
      </c>
      <c r="E720">
        <f>IF(D720=1,0,IF(B720="RETURN",IF(COUNTIFS($A$1:A719,A720,$B$1:B719,"SALE",$E$1:E719,1)&gt;0,1,0),1))</f>
        <v/>
      </c>
      <c r="F720">
        <f>IF(E720=1,IF(B720="RECEIPT",Transactions!E720,IF(AND(B720="RETURN",LOWER(TRIM(Transactions!H720))="resellable"),Transactions!E720,0)),0)</f>
        <v/>
      </c>
      <c r="G720">
        <f>IF(F720&gt;0,IF(B720="RECEIPT",Transactions!F720,IF(_xlfn.MAXIFS($H$2:H720,$A$2:A720,A720)&gt;0,INDEX(Transactions!$F:$F,_xlfn.MAXIFS($H$2:H720,$A$2:A720,A720)),W720)),0)</f>
        <v/>
      </c>
      <c r="H720">
        <f>IF(AND(E720=1,B720="RECEIPT"),ROW(),0)</f>
        <v/>
      </c>
      <c r="I720">
        <f>IF(E720=1,IF(OR(B720="SALE",B720="WRITEOFF"),Transactions!E720,0),0)</f>
        <v/>
      </c>
      <c r="J720">
        <f>SUMIFS($F$1:F719,$A$1:A719,A720)</f>
        <v/>
      </c>
      <c r="K720">
        <f>SUMIFS($I$1:I719,$A$1:A719,A720)</f>
        <v/>
      </c>
      <c r="L720">
        <f>IFERROR(VLOOKUP(A720,Opening!$A:$C,3,0),0)</f>
        <v/>
      </c>
      <c r="M720">
        <f>IF(I720=0,0,MAX(0,MIN(INDEX(Month!H$2:H$13,MATCH($A720,Month!$A$2:$A$13,0))-K720,I720)))</f>
        <v/>
      </c>
      <c r="N720">
        <f>IF(I720=0,0,MAX(0,MIN(INDEX(Month!I$2:I$13,MATCH($A720,Month!$A$2:$A$13,0))-K720,I720)))</f>
        <v/>
      </c>
      <c r="O720">
        <f>IF(I720=0,0,MAX(0,MIN(INDEX(Month!J$2:J$13,MATCH($A720,Month!$A$2:$A$13,0))-K720,I720)))</f>
        <v/>
      </c>
      <c r="P720">
        <f>IF(I720=0,0,(MIN(MAX(K720,0),L720)*W720+SUMPRODUCT((Calc!$A$2:$A$1001=A720)*Calc!$G$2:$G$1001*(((K720-(L720+Calc!$J$2:$J$1001))&gt;0)*((K720-(L720+Calc!$J$2:$J$1001))&lt;Calc!$F$2:$F$1001)*(K720-(L720+Calc!$J$2:$J$1001))+((K720-(L720+Calc!$J$2:$J$1001))&gt;=Calc!$F$2:$F$1001)*Calc!$F$2:$F$1001))))</f>
        <v/>
      </c>
      <c r="Q720">
        <f>IF(I720=0,0,(MIN(MAX((K720+M720),0),L720)*W720+SUMPRODUCT((Calc!$A$2:$A$1001=A720)*Calc!$G$2:$G$1001*((((K720+M720)-(L720+Calc!$J$2:$J$1001))&gt;0)*(((K720+M720)-(L720+Calc!$J$2:$J$1001))&lt;Calc!$F$2:$F$1001)*((K720+M720)-(L720+Calc!$J$2:$J$1001))+(((K720+M720)-(L720+Calc!$J$2:$J$1001))&gt;=Calc!$F$2:$F$1001)*Calc!$F$2:$F$1001))))</f>
        <v/>
      </c>
      <c r="R720">
        <f>IF(I720=0,0,(MIN(MAX((K720+N720),0),L720)*W720+SUMPRODUCT((Calc!$A$2:$A$1001=A720)*Calc!$G$2:$G$1001*((((K720+N720)-(L720+Calc!$J$2:$J$1001))&gt;0)*(((K720+N720)-(L720+Calc!$J$2:$J$1001))&lt;Calc!$F$2:$F$1001)*((K720+N720)-(L720+Calc!$J$2:$J$1001))+(((K720+N720)-(L720+Calc!$J$2:$J$1001))&gt;=Calc!$F$2:$F$1001)*Calc!$F$2:$F$1001))))</f>
        <v/>
      </c>
      <c r="S720">
        <f>IF(I720=0,0,(MIN(MAX((K720+O720),0),L720)*W720+SUMPRODUCT((Calc!$A$2:$A$1001=A720)*Calc!$G$2:$G$1001*((((K720+O720)-(L720+Calc!$J$2:$J$1001))&gt;0)*(((K720+O720)-(L720+Calc!$J$2:$J$1001))&lt;Calc!$F$2:$F$1001)*((K720+O720)-(L720+Calc!$J$2:$J$1001))+(((K720+O720)-(L720+Calc!$J$2:$J$1001))&gt;=Calc!$F$2:$F$1001)*Calc!$F$2:$F$1001))))</f>
        <v/>
      </c>
      <c r="T720">
        <f>IF(AND(E720=1,B720="RETURN"),Transactions!E720*Transactions!G720,0)</f>
        <v/>
      </c>
      <c r="U720">
        <f>IF(AND(E720=1,B720="EXPENSE"),Transactions!J720,0)</f>
        <v/>
      </c>
      <c r="V720">
        <f>IF(AND(Transactions!A720&lt;&gt;"",E720=0),ROW(),"")</f>
        <v/>
      </c>
      <c r="W720">
        <f>IFERROR(VLOOKUP(A720,Opening!$A:$D,4,0),0)</f>
        <v/>
      </c>
    </row>
    <row r="721">
      <c r="A721">
        <f>IF(Transactions!D721="","",UPPER(TRIM(Transactions!D721)))</f>
        <v/>
      </c>
      <c r="B721">
        <f>IF(Transactions!C721="","",UPPER(TRIM(Transactions!C721)))</f>
        <v/>
      </c>
      <c r="C721">
        <f>IF(Transactions!B721="",0,YEAR(Transactions!B721)*100+MONTH(Transactions!B721))</f>
        <v/>
      </c>
      <c r="D721">
        <f>IF(Transactions!A721="",1,IF(COUNTIF(Transactions!$A$1:A720,Transactions!A721)&gt;0,1,0))</f>
        <v/>
      </c>
      <c r="E721">
        <f>IF(D721=1,0,IF(B721="RETURN",IF(COUNTIFS($A$1:A720,A721,$B$1:B720,"SALE",$E$1:E720,1)&gt;0,1,0),1))</f>
        <v/>
      </c>
      <c r="F721">
        <f>IF(E721=1,IF(B721="RECEIPT",Transactions!E721,IF(AND(B721="RETURN",LOWER(TRIM(Transactions!H721))="resellable"),Transactions!E721,0)),0)</f>
        <v/>
      </c>
      <c r="G721">
        <f>IF(F721&gt;0,IF(B721="RECEIPT",Transactions!F721,IF(_xlfn.MAXIFS($H$2:H721,$A$2:A721,A721)&gt;0,INDEX(Transactions!$F:$F,_xlfn.MAXIFS($H$2:H721,$A$2:A721,A721)),W721)),0)</f>
        <v/>
      </c>
      <c r="H721">
        <f>IF(AND(E721=1,B721="RECEIPT"),ROW(),0)</f>
        <v/>
      </c>
      <c r="I721">
        <f>IF(E721=1,IF(OR(B721="SALE",B721="WRITEOFF"),Transactions!E721,0),0)</f>
        <v/>
      </c>
      <c r="J721">
        <f>SUMIFS($F$1:F720,$A$1:A720,A721)</f>
        <v/>
      </c>
      <c r="K721">
        <f>SUMIFS($I$1:I720,$A$1:A720,A721)</f>
        <v/>
      </c>
      <c r="L721">
        <f>IFERROR(VLOOKUP(A721,Opening!$A:$C,3,0),0)</f>
        <v/>
      </c>
      <c r="M721">
        <f>IF(I721=0,0,MAX(0,MIN(INDEX(Month!H$2:H$13,MATCH($A721,Month!$A$2:$A$13,0))-K721,I721)))</f>
        <v/>
      </c>
      <c r="N721">
        <f>IF(I721=0,0,MAX(0,MIN(INDEX(Month!I$2:I$13,MATCH($A721,Month!$A$2:$A$13,0))-K721,I721)))</f>
        <v/>
      </c>
      <c r="O721">
        <f>IF(I721=0,0,MAX(0,MIN(INDEX(Month!J$2:J$13,MATCH($A721,Month!$A$2:$A$13,0))-K721,I721)))</f>
        <v/>
      </c>
      <c r="P721">
        <f>IF(I721=0,0,(MIN(MAX(K721,0),L721)*W721+SUMPRODUCT((Calc!$A$2:$A$1001=A721)*Calc!$G$2:$G$1001*(((K721-(L721+Calc!$J$2:$J$1001))&gt;0)*((K721-(L721+Calc!$J$2:$J$1001))&lt;Calc!$F$2:$F$1001)*(K721-(L721+Calc!$J$2:$J$1001))+((K721-(L721+Calc!$J$2:$J$1001))&gt;=Calc!$F$2:$F$1001)*Calc!$F$2:$F$1001))))</f>
        <v/>
      </c>
      <c r="Q721">
        <f>IF(I721=0,0,(MIN(MAX((K721+M721),0),L721)*W721+SUMPRODUCT((Calc!$A$2:$A$1001=A721)*Calc!$G$2:$G$1001*((((K721+M721)-(L721+Calc!$J$2:$J$1001))&gt;0)*(((K721+M721)-(L721+Calc!$J$2:$J$1001))&lt;Calc!$F$2:$F$1001)*((K721+M721)-(L721+Calc!$J$2:$J$1001))+(((K721+M721)-(L721+Calc!$J$2:$J$1001))&gt;=Calc!$F$2:$F$1001)*Calc!$F$2:$F$1001))))</f>
        <v/>
      </c>
      <c r="R721">
        <f>IF(I721=0,0,(MIN(MAX((K721+N721),0),L721)*W721+SUMPRODUCT((Calc!$A$2:$A$1001=A721)*Calc!$G$2:$G$1001*((((K721+N721)-(L721+Calc!$J$2:$J$1001))&gt;0)*(((K721+N721)-(L721+Calc!$J$2:$J$1001))&lt;Calc!$F$2:$F$1001)*((K721+N721)-(L721+Calc!$J$2:$J$1001))+(((K721+N721)-(L721+Calc!$J$2:$J$1001))&gt;=Calc!$F$2:$F$1001)*Calc!$F$2:$F$1001))))</f>
        <v/>
      </c>
      <c r="S721">
        <f>IF(I721=0,0,(MIN(MAX((K721+O721),0),L721)*W721+SUMPRODUCT((Calc!$A$2:$A$1001=A721)*Calc!$G$2:$G$1001*((((K721+O721)-(L721+Calc!$J$2:$J$1001))&gt;0)*(((K721+O721)-(L721+Calc!$J$2:$J$1001))&lt;Calc!$F$2:$F$1001)*((K721+O721)-(L721+Calc!$J$2:$J$1001))+(((K721+O721)-(L721+Calc!$J$2:$J$1001))&gt;=Calc!$F$2:$F$1001)*Calc!$F$2:$F$1001))))</f>
        <v/>
      </c>
      <c r="T721">
        <f>IF(AND(E721=1,B721="RETURN"),Transactions!E721*Transactions!G721,0)</f>
        <v/>
      </c>
      <c r="U721">
        <f>IF(AND(E721=1,B721="EXPENSE"),Transactions!J721,0)</f>
        <v/>
      </c>
      <c r="V721">
        <f>IF(AND(Transactions!A721&lt;&gt;"",E721=0),ROW(),"")</f>
        <v/>
      </c>
      <c r="W721">
        <f>IFERROR(VLOOKUP(A721,Opening!$A:$D,4,0),0)</f>
        <v/>
      </c>
    </row>
    <row r="722">
      <c r="A722">
        <f>IF(Transactions!D722="","",UPPER(TRIM(Transactions!D722)))</f>
        <v/>
      </c>
      <c r="B722">
        <f>IF(Transactions!C722="","",UPPER(TRIM(Transactions!C722)))</f>
        <v/>
      </c>
      <c r="C722">
        <f>IF(Transactions!B722="",0,YEAR(Transactions!B722)*100+MONTH(Transactions!B722))</f>
        <v/>
      </c>
      <c r="D722">
        <f>IF(Transactions!A722="",1,IF(COUNTIF(Transactions!$A$1:A721,Transactions!A722)&gt;0,1,0))</f>
        <v/>
      </c>
      <c r="E722">
        <f>IF(D722=1,0,IF(B722="RETURN",IF(COUNTIFS($A$1:A721,A722,$B$1:B721,"SALE",$E$1:E721,1)&gt;0,1,0),1))</f>
        <v/>
      </c>
      <c r="F722">
        <f>IF(E722=1,IF(B722="RECEIPT",Transactions!E722,IF(AND(B722="RETURN",LOWER(TRIM(Transactions!H722))="resellable"),Transactions!E722,0)),0)</f>
        <v/>
      </c>
      <c r="G722">
        <f>IF(F722&gt;0,IF(B722="RECEIPT",Transactions!F722,IF(_xlfn.MAXIFS($H$2:H722,$A$2:A722,A722)&gt;0,INDEX(Transactions!$F:$F,_xlfn.MAXIFS($H$2:H722,$A$2:A722,A722)),W722)),0)</f>
        <v/>
      </c>
      <c r="H722">
        <f>IF(AND(E722=1,B722="RECEIPT"),ROW(),0)</f>
        <v/>
      </c>
      <c r="I722">
        <f>IF(E722=1,IF(OR(B722="SALE",B722="WRITEOFF"),Transactions!E722,0),0)</f>
        <v/>
      </c>
      <c r="J722">
        <f>SUMIFS($F$1:F721,$A$1:A721,A722)</f>
        <v/>
      </c>
      <c r="K722">
        <f>SUMIFS($I$1:I721,$A$1:A721,A722)</f>
        <v/>
      </c>
      <c r="L722">
        <f>IFERROR(VLOOKUP(A722,Opening!$A:$C,3,0),0)</f>
        <v/>
      </c>
      <c r="M722">
        <f>IF(I722=0,0,MAX(0,MIN(INDEX(Month!H$2:H$13,MATCH($A722,Month!$A$2:$A$13,0))-K722,I722)))</f>
        <v/>
      </c>
      <c r="N722">
        <f>IF(I722=0,0,MAX(0,MIN(INDEX(Month!I$2:I$13,MATCH($A722,Month!$A$2:$A$13,0))-K722,I722)))</f>
        <v/>
      </c>
      <c r="O722">
        <f>IF(I722=0,0,MAX(0,MIN(INDEX(Month!J$2:J$13,MATCH($A722,Month!$A$2:$A$13,0))-K722,I722)))</f>
        <v/>
      </c>
      <c r="P722">
        <f>IF(I722=0,0,(MIN(MAX(K722,0),L722)*W722+SUMPRODUCT((Calc!$A$2:$A$1001=A722)*Calc!$G$2:$G$1001*(((K722-(L722+Calc!$J$2:$J$1001))&gt;0)*((K722-(L722+Calc!$J$2:$J$1001))&lt;Calc!$F$2:$F$1001)*(K722-(L722+Calc!$J$2:$J$1001))+((K722-(L722+Calc!$J$2:$J$1001))&gt;=Calc!$F$2:$F$1001)*Calc!$F$2:$F$1001))))</f>
        <v/>
      </c>
      <c r="Q722">
        <f>IF(I722=0,0,(MIN(MAX((K722+M722),0),L722)*W722+SUMPRODUCT((Calc!$A$2:$A$1001=A722)*Calc!$G$2:$G$1001*((((K722+M722)-(L722+Calc!$J$2:$J$1001))&gt;0)*(((K722+M722)-(L722+Calc!$J$2:$J$1001))&lt;Calc!$F$2:$F$1001)*((K722+M722)-(L722+Calc!$J$2:$J$1001))+(((K722+M722)-(L722+Calc!$J$2:$J$1001))&gt;=Calc!$F$2:$F$1001)*Calc!$F$2:$F$1001))))</f>
        <v/>
      </c>
      <c r="R722">
        <f>IF(I722=0,0,(MIN(MAX((K722+N722),0),L722)*W722+SUMPRODUCT((Calc!$A$2:$A$1001=A722)*Calc!$G$2:$G$1001*((((K722+N722)-(L722+Calc!$J$2:$J$1001))&gt;0)*(((K722+N722)-(L722+Calc!$J$2:$J$1001))&lt;Calc!$F$2:$F$1001)*((K722+N722)-(L722+Calc!$J$2:$J$1001))+(((K722+N722)-(L722+Calc!$J$2:$J$1001))&gt;=Calc!$F$2:$F$1001)*Calc!$F$2:$F$1001))))</f>
        <v/>
      </c>
      <c r="S722">
        <f>IF(I722=0,0,(MIN(MAX((K722+O722),0),L722)*W722+SUMPRODUCT((Calc!$A$2:$A$1001=A722)*Calc!$G$2:$G$1001*((((K722+O722)-(L722+Calc!$J$2:$J$1001))&gt;0)*(((K722+O722)-(L722+Calc!$J$2:$J$1001))&lt;Calc!$F$2:$F$1001)*((K722+O722)-(L722+Calc!$J$2:$J$1001))+(((K722+O722)-(L722+Calc!$J$2:$J$1001))&gt;=Calc!$F$2:$F$1001)*Calc!$F$2:$F$1001))))</f>
        <v/>
      </c>
      <c r="T722">
        <f>IF(AND(E722=1,B722="RETURN"),Transactions!E722*Transactions!G722,0)</f>
        <v/>
      </c>
      <c r="U722">
        <f>IF(AND(E722=1,B722="EXPENSE"),Transactions!J722,0)</f>
        <v/>
      </c>
      <c r="V722">
        <f>IF(AND(Transactions!A722&lt;&gt;"",E722=0),ROW(),"")</f>
        <v/>
      </c>
      <c r="W722">
        <f>IFERROR(VLOOKUP(A722,Opening!$A:$D,4,0),0)</f>
        <v/>
      </c>
    </row>
    <row r="723">
      <c r="A723">
        <f>IF(Transactions!D723="","",UPPER(TRIM(Transactions!D723)))</f>
        <v/>
      </c>
      <c r="B723">
        <f>IF(Transactions!C723="","",UPPER(TRIM(Transactions!C723)))</f>
        <v/>
      </c>
      <c r="C723">
        <f>IF(Transactions!B723="",0,YEAR(Transactions!B723)*100+MONTH(Transactions!B723))</f>
        <v/>
      </c>
      <c r="D723">
        <f>IF(Transactions!A723="",1,IF(COUNTIF(Transactions!$A$1:A722,Transactions!A723)&gt;0,1,0))</f>
        <v/>
      </c>
      <c r="E723">
        <f>IF(D723=1,0,IF(B723="RETURN",IF(COUNTIFS($A$1:A722,A723,$B$1:B722,"SALE",$E$1:E722,1)&gt;0,1,0),1))</f>
        <v/>
      </c>
      <c r="F723">
        <f>IF(E723=1,IF(B723="RECEIPT",Transactions!E723,IF(AND(B723="RETURN",LOWER(TRIM(Transactions!H723))="resellable"),Transactions!E723,0)),0)</f>
        <v/>
      </c>
      <c r="G723">
        <f>IF(F723&gt;0,IF(B723="RECEIPT",Transactions!F723,IF(_xlfn.MAXIFS($H$2:H723,$A$2:A723,A723)&gt;0,INDEX(Transactions!$F:$F,_xlfn.MAXIFS($H$2:H723,$A$2:A723,A723)),W723)),0)</f>
        <v/>
      </c>
      <c r="H723">
        <f>IF(AND(E723=1,B723="RECEIPT"),ROW(),0)</f>
        <v/>
      </c>
      <c r="I723">
        <f>IF(E723=1,IF(OR(B723="SALE",B723="WRITEOFF"),Transactions!E723,0),0)</f>
        <v/>
      </c>
      <c r="J723">
        <f>SUMIFS($F$1:F722,$A$1:A722,A723)</f>
        <v/>
      </c>
      <c r="K723">
        <f>SUMIFS($I$1:I722,$A$1:A722,A723)</f>
        <v/>
      </c>
      <c r="L723">
        <f>IFERROR(VLOOKUP(A723,Opening!$A:$C,3,0),0)</f>
        <v/>
      </c>
      <c r="M723">
        <f>IF(I723=0,0,MAX(0,MIN(INDEX(Month!H$2:H$13,MATCH($A723,Month!$A$2:$A$13,0))-K723,I723)))</f>
        <v/>
      </c>
      <c r="N723">
        <f>IF(I723=0,0,MAX(0,MIN(INDEX(Month!I$2:I$13,MATCH($A723,Month!$A$2:$A$13,0))-K723,I723)))</f>
        <v/>
      </c>
      <c r="O723">
        <f>IF(I723=0,0,MAX(0,MIN(INDEX(Month!J$2:J$13,MATCH($A723,Month!$A$2:$A$13,0))-K723,I723)))</f>
        <v/>
      </c>
      <c r="P723">
        <f>IF(I723=0,0,(MIN(MAX(K723,0),L723)*W723+SUMPRODUCT((Calc!$A$2:$A$1001=A723)*Calc!$G$2:$G$1001*(((K723-(L723+Calc!$J$2:$J$1001))&gt;0)*((K723-(L723+Calc!$J$2:$J$1001))&lt;Calc!$F$2:$F$1001)*(K723-(L723+Calc!$J$2:$J$1001))+((K723-(L723+Calc!$J$2:$J$1001))&gt;=Calc!$F$2:$F$1001)*Calc!$F$2:$F$1001))))</f>
        <v/>
      </c>
      <c r="Q723">
        <f>IF(I723=0,0,(MIN(MAX((K723+M723),0),L723)*W723+SUMPRODUCT((Calc!$A$2:$A$1001=A723)*Calc!$G$2:$G$1001*((((K723+M723)-(L723+Calc!$J$2:$J$1001))&gt;0)*(((K723+M723)-(L723+Calc!$J$2:$J$1001))&lt;Calc!$F$2:$F$1001)*((K723+M723)-(L723+Calc!$J$2:$J$1001))+(((K723+M723)-(L723+Calc!$J$2:$J$1001))&gt;=Calc!$F$2:$F$1001)*Calc!$F$2:$F$1001))))</f>
        <v/>
      </c>
      <c r="R723">
        <f>IF(I723=0,0,(MIN(MAX((K723+N723),0),L723)*W723+SUMPRODUCT((Calc!$A$2:$A$1001=A723)*Calc!$G$2:$G$1001*((((K723+N723)-(L723+Calc!$J$2:$J$1001))&gt;0)*(((K723+N723)-(L723+Calc!$J$2:$J$1001))&lt;Calc!$F$2:$F$1001)*((K723+N723)-(L723+Calc!$J$2:$J$1001))+(((K723+N723)-(L723+Calc!$J$2:$J$1001))&gt;=Calc!$F$2:$F$1001)*Calc!$F$2:$F$1001))))</f>
        <v/>
      </c>
      <c r="S723">
        <f>IF(I723=0,0,(MIN(MAX((K723+O723),0),L723)*W723+SUMPRODUCT((Calc!$A$2:$A$1001=A723)*Calc!$G$2:$G$1001*((((K723+O723)-(L723+Calc!$J$2:$J$1001))&gt;0)*(((K723+O723)-(L723+Calc!$J$2:$J$1001))&lt;Calc!$F$2:$F$1001)*((K723+O723)-(L723+Calc!$J$2:$J$1001))+(((K723+O723)-(L723+Calc!$J$2:$J$1001))&gt;=Calc!$F$2:$F$1001)*Calc!$F$2:$F$1001))))</f>
        <v/>
      </c>
      <c r="T723">
        <f>IF(AND(E723=1,B723="RETURN"),Transactions!E723*Transactions!G723,0)</f>
        <v/>
      </c>
      <c r="U723">
        <f>IF(AND(E723=1,B723="EXPENSE"),Transactions!J723,0)</f>
        <v/>
      </c>
      <c r="V723">
        <f>IF(AND(Transactions!A723&lt;&gt;"",E723=0),ROW(),"")</f>
        <v/>
      </c>
      <c r="W723">
        <f>IFERROR(VLOOKUP(A723,Opening!$A:$D,4,0),0)</f>
        <v/>
      </c>
    </row>
    <row r="724">
      <c r="A724">
        <f>IF(Transactions!D724="","",UPPER(TRIM(Transactions!D724)))</f>
        <v/>
      </c>
      <c r="B724">
        <f>IF(Transactions!C724="","",UPPER(TRIM(Transactions!C724)))</f>
        <v/>
      </c>
      <c r="C724">
        <f>IF(Transactions!B724="",0,YEAR(Transactions!B724)*100+MONTH(Transactions!B724))</f>
        <v/>
      </c>
      <c r="D724">
        <f>IF(Transactions!A724="",1,IF(COUNTIF(Transactions!$A$1:A723,Transactions!A724)&gt;0,1,0))</f>
        <v/>
      </c>
      <c r="E724">
        <f>IF(D724=1,0,IF(B724="RETURN",IF(COUNTIFS($A$1:A723,A724,$B$1:B723,"SALE",$E$1:E723,1)&gt;0,1,0),1))</f>
        <v/>
      </c>
      <c r="F724">
        <f>IF(E724=1,IF(B724="RECEIPT",Transactions!E724,IF(AND(B724="RETURN",LOWER(TRIM(Transactions!H724))="resellable"),Transactions!E724,0)),0)</f>
        <v/>
      </c>
      <c r="G724">
        <f>IF(F724&gt;0,IF(B724="RECEIPT",Transactions!F724,IF(_xlfn.MAXIFS($H$2:H724,$A$2:A724,A724)&gt;0,INDEX(Transactions!$F:$F,_xlfn.MAXIFS($H$2:H724,$A$2:A724,A724)),W724)),0)</f>
        <v/>
      </c>
      <c r="H724">
        <f>IF(AND(E724=1,B724="RECEIPT"),ROW(),0)</f>
        <v/>
      </c>
      <c r="I724">
        <f>IF(E724=1,IF(OR(B724="SALE",B724="WRITEOFF"),Transactions!E724,0),0)</f>
        <v/>
      </c>
      <c r="J724">
        <f>SUMIFS($F$1:F723,$A$1:A723,A724)</f>
        <v/>
      </c>
      <c r="K724">
        <f>SUMIFS($I$1:I723,$A$1:A723,A724)</f>
        <v/>
      </c>
      <c r="L724">
        <f>IFERROR(VLOOKUP(A724,Opening!$A:$C,3,0),0)</f>
        <v/>
      </c>
      <c r="M724">
        <f>IF(I724=0,0,MAX(0,MIN(INDEX(Month!H$2:H$13,MATCH($A724,Month!$A$2:$A$13,0))-K724,I724)))</f>
        <v/>
      </c>
      <c r="N724">
        <f>IF(I724=0,0,MAX(0,MIN(INDEX(Month!I$2:I$13,MATCH($A724,Month!$A$2:$A$13,0))-K724,I724)))</f>
        <v/>
      </c>
      <c r="O724">
        <f>IF(I724=0,0,MAX(0,MIN(INDEX(Month!J$2:J$13,MATCH($A724,Month!$A$2:$A$13,0))-K724,I724)))</f>
        <v/>
      </c>
      <c r="P724">
        <f>IF(I724=0,0,(MIN(MAX(K724,0),L724)*W724+SUMPRODUCT((Calc!$A$2:$A$1001=A724)*Calc!$G$2:$G$1001*(((K724-(L724+Calc!$J$2:$J$1001))&gt;0)*((K724-(L724+Calc!$J$2:$J$1001))&lt;Calc!$F$2:$F$1001)*(K724-(L724+Calc!$J$2:$J$1001))+((K724-(L724+Calc!$J$2:$J$1001))&gt;=Calc!$F$2:$F$1001)*Calc!$F$2:$F$1001))))</f>
        <v/>
      </c>
      <c r="Q724">
        <f>IF(I724=0,0,(MIN(MAX((K724+M724),0),L724)*W724+SUMPRODUCT((Calc!$A$2:$A$1001=A724)*Calc!$G$2:$G$1001*((((K724+M724)-(L724+Calc!$J$2:$J$1001))&gt;0)*(((K724+M724)-(L724+Calc!$J$2:$J$1001))&lt;Calc!$F$2:$F$1001)*((K724+M724)-(L724+Calc!$J$2:$J$1001))+(((K724+M724)-(L724+Calc!$J$2:$J$1001))&gt;=Calc!$F$2:$F$1001)*Calc!$F$2:$F$1001))))</f>
        <v/>
      </c>
      <c r="R724">
        <f>IF(I724=0,0,(MIN(MAX((K724+N724),0),L724)*W724+SUMPRODUCT((Calc!$A$2:$A$1001=A724)*Calc!$G$2:$G$1001*((((K724+N724)-(L724+Calc!$J$2:$J$1001))&gt;0)*(((K724+N724)-(L724+Calc!$J$2:$J$1001))&lt;Calc!$F$2:$F$1001)*((K724+N724)-(L724+Calc!$J$2:$J$1001))+(((K724+N724)-(L724+Calc!$J$2:$J$1001))&gt;=Calc!$F$2:$F$1001)*Calc!$F$2:$F$1001))))</f>
        <v/>
      </c>
      <c r="S724">
        <f>IF(I724=0,0,(MIN(MAX((K724+O724),0),L724)*W724+SUMPRODUCT((Calc!$A$2:$A$1001=A724)*Calc!$G$2:$G$1001*((((K724+O724)-(L724+Calc!$J$2:$J$1001))&gt;0)*(((K724+O724)-(L724+Calc!$J$2:$J$1001))&lt;Calc!$F$2:$F$1001)*((K724+O724)-(L724+Calc!$J$2:$J$1001))+(((K724+O724)-(L724+Calc!$J$2:$J$1001))&gt;=Calc!$F$2:$F$1001)*Calc!$F$2:$F$1001))))</f>
        <v/>
      </c>
      <c r="T724">
        <f>IF(AND(E724=1,B724="RETURN"),Transactions!E724*Transactions!G724,0)</f>
        <v/>
      </c>
      <c r="U724">
        <f>IF(AND(E724=1,B724="EXPENSE"),Transactions!J724,0)</f>
        <v/>
      </c>
      <c r="V724">
        <f>IF(AND(Transactions!A724&lt;&gt;"",E724=0),ROW(),"")</f>
        <v/>
      </c>
      <c r="W724">
        <f>IFERROR(VLOOKUP(A724,Opening!$A:$D,4,0),0)</f>
        <v/>
      </c>
    </row>
    <row r="725">
      <c r="A725">
        <f>IF(Transactions!D725="","",UPPER(TRIM(Transactions!D725)))</f>
        <v/>
      </c>
      <c r="B725">
        <f>IF(Transactions!C725="","",UPPER(TRIM(Transactions!C725)))</f>
        <v/>
      </c>
      <c r="C725">
        <f>IF(Transactions!B725="",0,YEAR(Transactions!B725)*100+MONTH(Transactions!B725))</f>
        <v/>
      </c>
      <c r="D725">
        <f>IF(Transactions!A725="",1,IF(COUNTIF(Transactions!$A$1:A724,Transactions!A725)&gt;0,1,0))</f>
        <v/>
      </c>
      <c r="E725">
        <f>IF(D725=1,0,IF(B725="RETURN",IF(COUNTIFS($A$1:A724,A725,$B$1:B724,"SALE",$E$1:E724,1)&gt;0,1,0),1))</f>
        <v/>
      </c>
      <c r="F725">
        <f>IF(E725=1,IF(B725="RECEIPT",Transactions!E725,IF(AND(B725="RETURN",LOWER(TRIM(Transactions!H725))="resellable"),Transactions!E725,0)),0)</f>
        <v/>
      </c>
      <c r="G725">
        <f>IF(F725&gt;0,IF(B725="RECEIPT",Transactions!F725,IF(_xlfn.MAXIFS($H$2:H725,$A$2:A725,A725)&gt;0,INDEX(Transactions!$F:$F,_xlfn.MAXIFS($H$2:H725,$A$2:A725,A725)),W725)),0)</f>
        <v/>
      </c>
      <c r="H725">
        <f>IF(AND(E725=1,B725="RECEIPT"),ROW(),0)</f>
        <v/>
      </c>
      <c r="I725">
        <f>IF(E725=1,IF(OR(B725="SALE",B725="WRITEOFF"),Transactions!E725,0),0)</f>
        <v/>
      </c>
      <c r="J725">
        <f>SUMIFS($F$1:F724,$A$1:A724,A725)</f>
        <v/>
      </c>
      <c r="K725">
        <f>SUMIFS($I$1:I724,$A$1:A724,A725)</f>
        <v/>
      </c>
      <c r="L725">
        <f>IFERROR(VLOOKUP(A725,Opening!$A:$C,3,0),0)</f>
        <v/>
      </c>
      <c r="M725">
        <f>IF(I725=0,0,MAX(0,MIN(INDEX(Month!H$2:H$13,MATCH($A725,Month!$A$2:$A$13,0))-K725,I725)))</f>
        <v/>
      </c>
      <c r="N725">
        <f>IF(I725=0,0,MAX(0,MIN(INDEX(Month!I$2:I$13,MATCH($A725,Month!$A$2:$A$13,0))-K725,I725)))</f>
        <v/>
      </c>
      <c r="O725">
        <f>IF(I725=0,0,MAX(0,MIN(INDEX(Month!J$2:J$13,MATCH($A725,Month!$A$2:$A$13,0))-K725,I725)))</f>
        <v/>
      </c>
      <c r="P725">
        <f>IF(I725=0,0,(MIN(MAX(K725,0),L725)*W725+SUMPRODUCT((Calc!$A$2:$A$1001=A725)*Calc!$G$2:$G$1001*(((K725-(L725+Calc!$J$2:$J$1001))&gt;0)*((K725-(L725+Calc!$J$2:$J$1001))&lt;Calc!$F$2:$F$1001)*(K725-(L725+Calc!$J$2:$J$1001))+((K725-(L725+Calc!$J$2:$J$1001))&gt;=Calc!$F$2:$F$1001)*Calc!$F$2:$F$1001))))</f>
        <v/>
      </c>
      <c r="Q725">
        <f>IF(I725=0,0,(MIN(MAX((K725+M725),0),L725)*W725+SUMPRODUCT((Calc!$A$2:$A$1001=A725)*Calc!$G$2:$G$1001*((((K725+M725)-(L725+Calc!$J$2:$J$1001))&gt;0)*(((K725+M725)-(L725+Calc!$J$2:$J$1001))&lt;Calc!$F$2:$F$1001)*((K725+M725)-(L725+Calc!$J$2:$J$1001))+(((K725+M725)-(L725+Calc!$J$2:$J$1001))&gt;=Calc!$F$2:$F$1001)*Calc!$F$2:$F$1001))))</f>
        <v/>
      </c>
      <c r="R725">
        <f>IF(I725=0,0,(MIN(MAX((K725+N725),0),L725)*W725+SUMPRODUCT((Calc!$A$2:$A$1001=A725)*Calc!$G$2:$G$1001*((((K725+N725)-(L725+Calc!$J$2:$J$1001))&gt;0)*(((K725+N725)-(L725+Calc!$J$2:$J$1001))&lt;Calc!$F$2:$F$1001)*((K725+N725)-(L725+Calc!$J$2:$J$1001))+(((K725+N725)-(L725+Calc!$J$2:$J$1001))&gt;=Calc!$F$2:$F$1001)*Calc!$F$2:$F$1001))))</f>
        <v/>
      </c>
      <c r="S725">
        <f>IF(I725=0,0,(MIN(MAX((K725+O725),0),L725)*W725+SUMPRODUCT((Calc!$A$2:$A$1001=A725)*Calc!$G$2:$G$1001*((((K725+O725)-(L725+Calc!$J$2:$J$1001))&gt;0)*(((K725+O725)-(L725+Calc!$J$2:$J$1001))&lt;Calc!$F$2:$F$1001)*((K725+O725)-(L725+Calc!$J$2:$J$1001))+(((K725+O725)-(L725+Calc!$J$2:$J$1001))&gt;=Calc!$F$2:$F$1001)*Calc!$F$2:$F$1001))))</f>
        <v/>
      </c>
      <c r="T725">
        <f>IF(AND(E725=1,B725="RETURN"),Transactions!E725*Transactions!G725,0)</f>
        <v/>
      </c>
      <c r="U725">
        <f>IF(AND(E725=1,B725="EXPENSE"),Transactions!J725,0)</f>
        <v/>
      </c>
      <c r="V725">
        <f>IF(AND(Transactions!A725&lt;&gt;"",E725=0),ROW(),"")</f>
        <v/>
      </c>
      <c r="W725">
        <f>IFERROR(VLOOKUP(A725,Opening!$A:$D,4,0),0)</f>
        <v/>
      </c>
    </row>
    <row r="726">
      <c r="A726">
        <f>IF(Transactions!D726="","",UPPER(TRIM(Transactions!D726)))</f>
        <v/>
      </c>
      <c r="B726">
        <f>IF(Transactions!C726="","",UPPER(TRIM(Transactions!C726)))</f>
        <v/>
      </c>
      <c r="C726">
        <f>IF(Transactions!B726="",0,YEAR(Transactions!B726)*100+MONTH(Transactions!B726))</f>
        <v/>
      </c>
      <c r="D726">
        <f>IF(Transactions!A726="",1,IF(COUNTIF(Transactions!$A$1:A725,Transactions!A726)&gt;0,1,0))</f>
        <v/>
      </c>
      <c r="E726">
        <f>IF(D726=1,0,IF(B726="RETURN",IF(COUNTIFS($A$1:A725,A726,$B$1:B725,"SALE",$E$1:E725,1)&gt;0,1,0),1))</f>
        <v/>
      </c>
      <c r="F726">
        <f>IF(E726=1,IF(B726="RECEIPT",Transactions!E726,IF(AND(B726="RETURN",LOWER(TRIM(Transactions!H726))="resellable"),Transactions!E726,0)),0)</f>
        <v/>
      </c>
      <c r="G726">
        <f>IF(F726&gt;0,IF(B726="RECEIPT",Transactions!F726,IF(_xlfn.MAXIFS($H$2:H726,$A$2:A726,A726)&gt;0,INDEX(Transactions!$F:$F,_xlfn.MAXIFS($H$2:H726,$A$2:A726,A726)),W726)),0)</f>
        <v/>
      </c>
      <c r="H726">
        <f>IF(AND(E726=1,B726="RECEIPT"),ROW(),0)</f>
        <v/>
      </c>
      <c r="I726">
        <f>IF(E726=1,IF(OR(B726="SALE",B726="WRITEOFF"),Transactions!E726,0),0)</f>
        <v/>
      </c>
      <c r="J726">
        <f>SUMIFS($F$1:F725,$A$1:A725,A726)</f>
        <v/>
      </c>
      <c r="K726">
        <f>SUMIFS($I$1:I725,$A$1:A725,A726)</f>
        <v/>
      </c>
      <c r="L726">
        <f>IFERROR(VLOOKUP(A726,Opening!$A:$C,3,0),0)</f>
        <v/>
      </c>
      <c r="M726">
        <f>IF(I726=0,0,MAX(0,MIN(INDEX(Month!H$2:H$13,MATCH($A726,Month!$A$2:$A$13,0))-K726,I726)))</f>
        <v/>
      </c>
      <c r="N726">
        <f>IF(I726=0,0,MAX(0,MIN(INDEX(Month!I$2:I$13,MATCH($A726,Month!$A$2:$A$13,0))-K726,I726)))</f>
        <v/>
      </c>
      <c r="O726">
        <f>IF(I726=0,0,MAX(0,MIN(INDEX(Month!J$2:J$13,MATCH($A726,Month!$A$2:$A$13,0))-K726,I726)))</f>
        <v/>
      </c>
      <c r="P726">
        <f>IF(I726=0,0,(MIN(MAX(K726,0),L726)*W726+SUMPRODUCT((Calc!$A$2:$A$1001=A726)*Calc!$G$2:$G$1001*(((K726-(L726+Calc!$J$2:$J$1001))&gt;0)*((K726-(L726+Calc!$J$2:$J$1001))&lt;Calc!$F$2:$F$1001)*(K726-(L726+Calc!$J$2:$J$1001))+((K726-(L726+Calc!$J$2:$J$1001))&gt;=Calc!$F$2:$F$1001)*Calc!$F$2:$F$1001))))</f>
        <v/>
      </c>
      <c r="Q726">
        <f>IF(I726=0,0,(MIN(MAX((K726+M726),0),L726)*W726+SUMPRODUCT((Calc!$A$2:$A$1001=A726)*Calc!$G$2:$G$1001*((((K726+M726)-(L726+Calc!$J$2:$J$1001))&gt;0)*(((K726+M726)-(L726+Calc!$J$2:$J$1001))&lt;Calc!$F$2:$F$1001)*((K726+M726)-(L726+Calc!$J$2:$J$1001))+(((K726+M726)-(L726+Calc!$J$2:$J$1001))&gt;=Calc!$F$2:$F$1001)*Calc!$F$2:$F$1001))))</f>
        <v/>
      </c>
      <c r="R726">
        <f>IF(I726=0,0,(MIN(MAX((K726+N726),0),L726)*W726+SUMPRODUCT((Calc!$A$2:$A$1001=A726)*Calc!$G$2:$G$1001*((((K726+N726)-(L726+Calc!$J$2:$J$1001))&gt;0)*(((K726+N726)-(L726+Calc!$J$2:$J$1001))&lt;Calc!$F$2:$F$1001)*((K726+N726)-(L726+Calc!$J$2:$J$1001))+(((K726+N726)-(L726+Calc!$J$2:$J$1001))&gt;=Calc!$F$2:$F$1001)*Calc!$F$2:$F$1001))))</f>
        <v/>
      </c>
      <c r="S726">
        <f>IF(I726=0,0,(MIN(MAX((K726+O726),0),L726)*W726+SUMPRODUCT((Calc!$A$2:$A$1001=A726)*Calc!$G$2:$G$1001*((((K726+O726)-(L726+Calc!$J$2:$J$1001))&gt;0)*(((K726+O726)-(L726+Calc!$J$2:$J$1001))&lt;Calc!$F$2:$F$1001)*((K726+O726)-(L726+Calc!$J$2:$J$1001))+(((K726+O726)-(L726+Calc!$J$2:$J$1001))&gt;=Calc!$F$2:$F$1001)*Calc!$F$2:$F$1001))))</f>
        <v/>
      </c>
      <c r="T726">
        <f>IF(AND(E726=1,B726="RETURN"),Transactions!E726*Transactions!G726,0)</f>
        <v/>
      </c>
      <c r="U726">
        <f>IF(AND(E726=1,B726="EXPENSE"),Transactions!J726,0)</f>
        <v/>
      </c>
      <c r="V726">
        <f>IF(AND(Transactions!A726&lt;&gt;"",E726=0),ROW(),"")</f>
        <v/>
      </c>
      <c r="W726">
        <f>IFERROR(VLOOKUP(A726,Opening!$A:$D,4,0),0)</f>
        <v/>
      </c>
    </row>
    <row r="727">
      <c r="A727">
        <f>IF(Transactions!D727="","",UPPER(TRIM(Transactions!D727)))</f>
        <v/>
      </c>
      <c r="B727">
        <f>IF(Transactions!C727="","",UPPER(TRIM(Transactions!C727)))</f>
        <v/>
      </c>
      <c r="C727">
        <f>IF(Transactions!B727="",0,YEAR(Transactions!B727)*100+MONTH(Transactions!B727))</f>
        <v/>
      </c>
      <c r="D727">
        <f>IF(Transactions!A727="",1,IF(COUNTIF(Transactions!$A$1:A726,Transactions!A727)&gt;0,1,0))</f>
        <v/>
      </c>
      <c r="E727">
        <f>IF(D727=1,0,IF(B727="RETURN",IF(COUNTIFS($A$1:A726,A727,$B$1:B726,"SALE",$E$1:E726,1)&gt;0,1,0),1))</f>
        <v/>
      </c>
      <c r="F727">
        <f>IF(E727=1,IF(B727="RECEIPT",Transactions!E727,IF(AND(B727="RETURN",LOWER(TRIM(Transactions!H727))="resellable"),Transactions!E727,0)),0)</f>
        <v/>
      </c>
      <c r="G727">
        <f>IF(F727&gt;0,IF(B727="RECEIPT",Transactions!F727,IF(_xlfn.MAXIFS($H$2:H727,$A$2:A727,A727)&gt;0,INDEX(Transactions!$F:$F,_xlfn.MAXIFS($H$2:H727,$A$2:A727,A727)),W727)),0)</f>
        <v/>
      </c>
      <c r="H727">
        <f>IF(AND(E727=1,B727="RECEIPT"),ROW(),0)</f>
        <v/>
      </c>
      <c r="I727">
        <f>IF(E727=1,IF(OR(B727="SALE",B727="WRITEOFF"),Transactions!E727,0),0)</f>
        <v/>
      </c>
      <c r="J727">
        <f>SUMIFS($F$1:F726,$A$1:A726,A727)</f>
        <v/>
      </c>
      <c r="K727">
        <f>SUMIFS($I$1:I726,$A$1:A726,A727)</f>
        <v/>
      </c>
      <c r="L727">
        <f>IFERROR(VLOOKUP(A727,Opening!$A:$C,3,0),0)</f>
        <v/>
      </c>
      <c r="M727">
        <f>IF(I727=0,0,MAX(0,MIN(INDEX(Month!H$2:H$13,MATCH($A727,Month!$A$2:$A$13,0))-K727,I727)))</f>
        <v/>
      </c>
      <c r="N727">
        <f>IF(I727=0,0,MAX(0,MIN(INDEX(Month!I$2:I$13,MATCH($A727,Month!$A$2:$A$13,0))-K727,I727)))</f>
        <v/>
      </c>
      <c r="O727">
        <f>IF(I727=0,0,MAX(0,MIN(INDEX(Month!J$2:J$13,MATCH($A727,Month!$A$2:$A$13,0))-K727,I727)))</f>
        <v/>
      </c>
      <c r="P727">
        <f>IF(I727=0,0,(MIN(MAX(K727,0),L727)*W727+SUMPRODUCT((Calc!$A$2:$A$1001=A727)*Calc!$G$2:$G$1001*(((K727-(L727+Calc!$J$2:$J$1001))&gt;0)*((K727-(L727+Calc!$J$2:$J$1001))&lt;Calc!$F$2:$F$1001)*(K727-(L727+Calc!$J$2:$J$1001))+((K727-(L727+Calc!$J$2:$J$1001))&gt;=Calc!$F$2:$F$1001)*Calc!$F$2:$F$1001))))</f>
        <v/>
      </c>
      <c r="Q727">
        <f>IF(I727=0,0,(MIN(MAX((K727+M727),0),L727)*W727+SUMPRODUCT((Calc!$A$2:$A$1001=A727)*Calc!$G$2:$G$1001*((((K727+M727)-(L727+Calc!$J$2:$J$1001))&gt;0)*(((K727+M727)-(L727+Calc!$J$2:$J$1001))&lt;Calc!$F$2:$F$1001)*((K727+M727)-(L727+Calc!$J$2:$J$1001))+(((K727+M727)-(L727+Calc!$J$2:$J$1001))&gt;=Calc!$F$2:$F$1001)*Calc!$F$2:$F$1001))))</f>
        <v/>
      </c>
      <c r="R727">
        <f>IF(I727=0,0,(MIN(MAX((K727+N727),0),L727)*W727+SUMPRODUCT((Calc!$A$2:$A$1001=A727)*Calc!$G$2:$G$1001*((((K727+N727)-(L727+Calc!$J$2:$J$1001))&gt;0)*(((K727+N727)-(L727+Calc!$J$2:$J$1001))&lt;Calc!$F$2:$F$1001)*((K727+N727)-(L727+Calc!$J$2:$J$1001))+(((K727+N727)-(L727+Calc!$J$2:$J$1001))&gt;=Calc!$F$2:$F$1001)*Calc!$F$2:$F$1001))))</f>
        <v/>
      </c>
      <c r="S727">
        <f>IF(I727=0,0,(MIN(MAX((K727+O727),0),L727)*W727+SUMPRODUCT((Calc!$A$2:$A$1001=A727)*Calc!$G$2:$G$1001*((((K727+O727)-(L727+Calc!$J$2:$J$1001))&gt;0)*(((K727+O727)-(L727+Calc!$J$2:$J$1001))&lt;Calc!$F$2:$F$1001)*((K727+O727)-(L727+Calc!$J$2:$J$1001))+(((K727+O727)-(L727+Calc!$J$2:$J$1001))&gt;=Calc!$F$2:$F$1001)*Calc!$F$2:$F$1001))))</f>
        <v/>
      </c>
      <c r="T727">
        <f>IF(AND(E727=1,B727="RETURN"),Transactions!E727*Transactions!G727,0)</f>
        <v/>
      </c>
      <c r="U727">
        <f>IF(AND(E727=1,B727="EXPENSE"),Transactions!J727,0)</f>
        <v/>
      </c>
      <c r="V727">
        <f>IF(AND(Transactions!A727&lt;&gt;"",E727=0),ROW(),"")</f>
        <v/>
      </c>
      <c r="W727">
        <f>IFERROR(VLOOKUP(A727,Opening!$A:$D,4,0),0)</f>
        <v/>
      </c>
    </row>
    <row r="728">
      <c r="A728">
        <f>IF(Transactions!D728="","",UPPER(TRIM(Transactions!D728)))</f>
        <v/>
      </c>
      <c r="B728">
        <f>IF(Transactions!C728="","",UPPER(TRIM(Transactions!C728)))</f>
        <v/>
      </c>
      <c r="C728">
        <f>IF(Transactions!B728="",0,YEAR(Transactions!B728)*100+MONTH(Transactions!B728))</f>
        <v/>
      </c>
      <c r="D728">
        <f>IF(Transactions!A728="",1,IF(COUNTIF(Transactions!$A$1:A727,Transactions!A728)&gt;0,1,0))</f>
        <v/>
      </c>
      <c r="E728">
        <f>IF(D728=1,0,IF(B728="RETURN",IF(COUNTIFS($A$1:A727,A728,$B$1:B727,"SALE",$E$1:E727,1)&gt;0,1,0),1))</f>
        <v/>
      </c>
      <c r="F728">
        <f>IF(E728=1,IF(B728="RECEIPT",Transactions!E728,IF(AND(B728="RETURN",LOWER(TRIM(Transactions!H728))="resellable"),Transactions!E728,0)),0)</f>
        <v/>
      </c>
      <c r="G728">
        <f>IF(F728&gt;0,IF(B728="RECEIPT",Transactions!F728,IF(_xlfn.MAXIFS($H$2:H728,$A$2:A728,A728)&gt;0,INDEX(Transactions!$F:$F,_xlfn.MAXIFS($H$2:H728,$A$2:A728,A728)),W728)),0)</f>
        <v/>
      </c>
      <c r="H728">
        <f>IF(AND(E728=1,B728="RECEIPT"),ROW(),0)</f>
        <v/>
      </c>
      <c r="I728">
        <f>IF(E728=1,IF(OR(B728="SALE",B728="WRITEOFF"),Transactions!E728,0),0)</f>
        <v/>
      </c>
      <c r="J728">
        <f>SUMIFS($F$1:F727,$A$1:A727,A728)</f>
        <v/>
      </c>
      <c r="K728">
        <f>SUMIFS($I$1:I727,$A$1:A727,A728)</f>
        <v/>
      </c>
      <c r="L728">
        <f>IFERROR(VLOOKUP(A728,Opening!$A:$C,3,0),0)</f>
        <v/>
      </c>
      <c r="M728">
        <f>IF(I728=0,0,MAX(0,MIN(INDEX(Month!H$2:H$13,MATCH($A728,Month!$A$2:$A$13,0))-K728,I728)))</f>
        <v/>
      </c>
      <c r="N728">
        <f>IF(I728=0,0,MAX(0,MIN(INDEX(Month!I$2:I$13,MATCH($A728,Month!$A$2:$A$13,0))-K728,I728)))</f>
        <v/>
      </c>
      <c r="O728">
        <f>IF(I728=0,0,MAX(0,MIN(INDEX(Month!J$2:J$13,MATCH($A728,Month!$A$2:$A$13,0))-K728,I728)))</f>
        <v/>
      </c>
      <c r="P728">
        <f>IF(I728=0,0,(MIN(MAX(K728,0),L728)*W728+SUMPRODUCT((Calc!$A$2:$A$1001=A728)*Calc!$G$2:$G$1001*(((K728-(L728+Calc!$J$2:$J$1001))&gt;0)*((K728-(L728+Calc!$J$2:$J$1001))&lt;Calc!$F$2:$F$1001)*(K728-(L728+Calc!$J$2:$J$1001))+((K728-(L728+Calc!$J$2:$J$1001))&gt;=Calc!$F$2:$F$1001)*Calc!$F$2:$F$1001))))</f>
        <v/>
      </c>
      <c r="Q728">
        <f>IF(I728=0,0,(MIN(MAX((K728+M728),0),L728)*W728+SUMPRODUCT((Calc!$A$2:$A$1001=A728)*Calc!$G$2:$G$1001*((((K728+M728)-(L728+Calc!$J$2:$J$1001))&gt;0)*(((K728+M728)-(L728+Calc!$J$2:$J$1001))&lt;Calc!$F$2:$F$1001)*((K728+M728)-(L728+Calc!$J$2:$J$1001))+(((K728+M728)-(L728+Calc!$J$2:$J$1001))&gt;=Calc!$F$2:$F$1001)*Calc!$F$2:$F$1001))))</f>
        <v/>
      </c>
      <c r="R728">
        <f>IF(I728=0,0,(MIN(MAX((K728+N728),0),L728)*W728+SUMPRODUCT((Calc!$A$2:$A$1001=A728)*Calc!$G$2:$G$1001*((((K728+N728)-(L728+Calc!$J$2:$J$1001))&gt;0)*(((K728+N728)-(L728+Calc!$J$2:$J$1001))&lt;Calc!$F$2:$F$1001)*((K728+N728)-(L728+Calc!$J$2:$J$1001))+(((K728+N728)-(L728+Calc!$J$2:$J$1001))&gt;=Calc!$F$2:$F$1001)*Calc!$F$2:$F$1001))))</f>
        <v/>
      </c>
      <c r="S728">
        <f>IF(I728=0,0,(MIN(MAX((K728+O728),0),L728)*W728+SUMPRODUCT((Calc!$A$2:$A$1001=A728)*Calc!$G$2:$G$1001*((((K728+O728)-(L728+Calc!$J$2:$J$1001))&gt;0)*(((K728+O728)-(L728+Calc!$J$2:$J$1001))&lt;Calc!$F$2:$F$1001)*((K728+O728)-(L728+Calc!$J$2:$J$1001))+(((K728+O728)-(L728+Calc!$J$2:$J$1001))&gt;=Calc!$F$2:$F$1001)*Calc!$F$2:$F$1001))))</f>
        <v/>
      </c>
      <c r="T728">
        <f>IF(AND(E728=1,B728="RETURN"),Transactions!E728*Transactions!G728,0)</f>
        <v/>
      </c>
      <c r="U728">
        <f>IF(AND(E728=1,B728="EXPENSE"),Transactions!J728,0)</f>
        <v/>
      </c>
      <c r="V728">
        <f>IF(AND(Transactions!A728&lt;&gt;"",E728=0),ROW(),"")</f>
        <v/>
      </c>
      <c r="W728">
        <f>IFERROR(VLOOKUP(A728,Opening!$A:$D,4,0),0)</f>
        <v/>
      </c>
    </row>
    <row r="729">
      <c r="A729">
        <f>IF(Transactions!D729="","",UPPER(TRIM(Transactions!D729)))</f>
        <v/>
      </c>
      <c r="B729">
        <f>IF(Transactions!C729="","",UPPER(TRIM(Transactions!C729)))</f>
        <v/>
      </c>
      <c r="C729">
        <f>IF(Transactions!B729="",0,YEAR(Transactions!B729)*100+MONTH(Transactions!B729))</f>
        <v/>
      </c>
      <c r="D729">
        <f>IF(Transactions!A729="",1,IF(COUNTIF(Transactions!$A$1:A728,Transactions!A729)&gt;0,1,0))</f>
        <v/>
      </c>
      <c r="E729">
        <f>IF(D729=1,0,IF(B729="RETURN",IF(COUNTIFS($A$1:A728,A729,$B$1:B728,"SALE",$E$1:E728,1)&gt;0,1,0),1))</f>
        <v/>
      </c>
      <c r="F729">
        <f>IF(E729=1,IF(B729="RECEIPT",Transactions!E729,IF(AND(B729="RETURN",LOWER(TRIM(Transactions!H729))="resellable"),Transactions!E729,0)),0)</f>
        <v/>
      </c>
      <c r="G729">
        <f>IF(F729&gt;0,IF(B729="RECEIPT",Transactions!F729,IF(_xlfn.MAXIFS($H$2:H729,$A$2:A729,A729)&gt;0,INDEX(Transactions!$F:$F,_xlfn.MAXIFS($H$2:H729,$A$2:A729,A729)),W729)),0)</f>
        <v/>
      </c>
      <c r="H729">
        <f>IF(AND(E729=1,B729="RECEIPT"),ROW(),0)</f>
        <v/>
      </c>
      <c r="I729">
        <f>IF(E729=1,IF(OR(B729="SALE",B729="WRITEOFF"),Transactions!E729,0),0)</f>
        <v/>
      </c>
      <c r="J729">
        <f>SUMIFS($F$1:F728,$A$1:A728,A729)</f>
        <v/>
      </c>
      <c r="K729">
        <f>SUMIFS($I$1:I728,$A$1:A728,A729)</f>
        <v/>
      </c>
      <c r="L729">
        <f>IFERROR(VLOOKUP(A729,Opening!$A:$C,3,0),0)</f>
        <v/>
      </c>
      <c r="M729">
        <f>IF(I729=0,0,MAX(0,MIN(INDEX(Month!H$2:H$13,MATCH($A729,Month!$A$2:$A$13,0))-K729,I729)))</f>
        <v/>
      </c>
      <c r="N729">
        <f>IF(I729=0,0,MAX(0,MIN(INDEX(Month!I$2:I$13,MATCH($A729,Month!$A$2:$A$13,0))-K729,I729)))</f>
        <v/>
      </c>
      <c r="O729">
        <f>IF(I729=0,0,MAX(0,MIN(INDEX(Month!J$2:J$13,MATCH($A729,Month!$A$2:$A$13,0))-K729,I729)))</f>
        <v/>
      </c>
      <c r="P729">
        <f>IF(I729=0,0,(MIN(MAX(K729,0),L729)*W729+SUMPRODUCT((Calc!$A$2:$A$1001=A729)*Calc!$G$2:$G$1001*(((K729-(L729+Calc!$J$2:$J$1001))&gt;0)*((K729-(L729+Calc!$J$2:$J$1001))&lt;Calc!$F$2:$F$1001)*(K729-(L729+Calc!$J$2:$J$1001))+((K729-(L729+Calc!$J$2:$J$1001))&gt;=Calc!$F$2:$F$1001)*Calc!$F$2:$F$1001))))</f>
        <v/>
      </c>
      <c r="Q729">
        <f>IF(I729=0,0,(MIN(MAX((K729+M729),0),L729)*W729+SUMPRODUCT((Calc!$A$2:$A$1001=A729)*Calc!$G$2:$G$1001*((((K729+M729)-(L729+Calc!$J$2:$J$1001))&gt;0)*(((K729+M729)-(L729+Calc!$J$2:$J$1001))&lt;Calc!$F$2:$F$1001)*((K729+M729)-(L729+Calc!$J$2:$J$1001))+(((K729+M729)-(L729+Calc!$J$2:$J$1001))&gt;=Calc!$F$2:$F$1001)*Calc!$F$2:$F$1001))))</f>
        <v/>
      </c>
      <c r="R729">
        <f>IF(I729=0,0,(MIN(MAX((K729+N729),0),L729)*W729+SUMPRODUCT((Calc!$A$2:$A$1001=A729)*Calc!$G$2:$G$1001*((((K729+N729)-(L729+Calc!$J$2:$J$1001))&gt;0)*(((K729+N729)-(L729+Calc!$J$2:$J$1001))&lt;Calc!$F$2:$F$1001)*((K729+N729)-(L729+Calc!$J$2:$J$1001))+(((K729+N729)-(L729+Calc!$J$2:$J$1001))&gt;=Calc!$F$2:$F$1001)*Calc!$F$2:$F$1001))))</f>
        <v/>
      </c>
      <c r="S729">
        <f>IF(I729=0,0,(MIN(MAX((K729+O729),0),L729)*W729+SUMPRODUCT((Calc!$A$2:$A$1001=A729)*Calc!$G$2:$G$1001*((((K729+O729)-(L729+Calc!$J$2:$J$1001))&gt;0)*(((K729+O729)-(L729+Calc!$J$2:$J$1001))&lt;Calc!$F$2:$F$1001)*((K729+O729)-(L729+Calc!$J$2:$J$1001))+(((K729+O729)-(L729+Calc!$J$2:$J$1001))&gt;=Calc!$F$2:$F$1001)*Calc!$F$2:$F$1001))))</f>
        <v/>
      </c>
      <c r="T729">
        <f>IF(AND(E729=1,B729="RETURN"),Transactions!E729*Transactions!G729,0)</f>
        <v/>
      </c>
      <c r="U729">
        <f>IF(AND(E729=1,B729="EXPENSE"),Transactions!J729,0)</f>
        <v/>
      </c>
      <c r="V729">
        <f>IF(AND(Transactions!A729&lt;&gt;"",E729=0),ROW(),"")</f>
        <v/>
      </c>
      <c r="W729">
        <f>IFERROR(VLOOKUP(A729,Opening!$A:$D,4,0),0)</f>
        <v/>
      </c>
    </row>
    <row r="730">
      <c r="A730">
        <f>IF(Transactions!D730="","",UPPER(TRIM(Transactions!D730)))</f>
        <v/>
      </c>
      <c r="B730">
        <f>IF(Transactions!C730="","",UPPER(TRIM(Transactions!C730)))</f>
        <v/>
      </c>
      <c r="C730">
        <f>IF(Transactions!B730="",0,YEAR(Transactions!B730)*100+MONTH(Transactions!B730))</f>
        <v/>
      </c>
      <c r="D730">
        <f>IF(Transactions!A730="",1,IF(COUNTIF(Transactions!$A$1:A729,Transactions!A730)&gt;0,1,0))</f>
        <v/>
      </c>
      <c r="E730">
        <f>IF(D730=1,0,IF(B730="RETURN",IF(COUNTIFS($A$1:A729,A730,$B$1:B729,"SALE",$E$1:E729,1)&gt;0,1,0),1))</f>
        <v/>
      </c>
      <c r="F730">
        <f>IF(E730=1,IF(B730="RECEIPT",Transactions!E730,IF(AND(B730="RETURN",LOWER(TRIM(Transactions!H730))="resellable"),Transactions!E730,0)),0)</f>
        <v/>
      </c>
      <c r="G730">
        <f>IF(F730&gt;0,IF(B730="RECEIPT",Transactions!F730,IF(_xlfn.MAXIFS($H$2:H730,$A$2:A730,A730)&gt;0,INDEX(Transactions!$F:$F,_xlfn.MAXIFS($H$2:H730,$A$2:A730,A730)),W730)),0)</f>
        <v/>
      </c>
      <c r="H730">
        <f>IF(AND(E730=1,B730="RECEIPT"),ROW(),0)</f>
        <v/>
      </c>
      <c r="I730">
        <f>IF(E730=1,IF(OR(B730="SALE",B730="WRITEOFF"),Transactions!E730,0),0)</f>
        <v/>
      </c>
      <c r="J730">
        <f>SUMIFS($F$1:F729,$A$1:A729,A730)</f>
        <v/>
      </c>
      <c r="K730">
        <f>SUMIFS($I$1:I729,$A$1:A729,A730)</f>
        <v/>
      </c>
      <c r="L730">
        <f>IFERROR(VLOOKUP(A730,Opening!$A:$C,3,0),0)</f>
        <v/>
      </c>
      <c r="M730">
        <f>IF(I730=0,0,MAX(0,MIN(INDEX(Month!H$2:H$13,MATCH($A730,Month!$A$2:$A$13,0))-K730,I730)))</f>
        <v/>
      </c>
      <c r="N730">
        <f>IF(I730=0,0,MAX(0,MIN(INDEX(Month!I$2:I$13,MATCH($A730,Month!$A$2:$A$13,0))-K730,I730)))</f>
        <v/>
      </c>
      <c r="O730">
        <f>IF(I730=0,0,MAX(0,MIN(INDEX(Month!J$2:J$13,MATCH($A730,Month!$A$2:$A$13,0))-K730,I730)))</f>
        <v/>
      </c>
      <c r="P730">
        <f>IF(I730=0,0,(MIN(MAX(K730,0),L730)*W730+SUMPRODUCT((Calc!$A$2:$A$1001=A730)*Calc!$G$2:$G$1001*(((K730-(L730+Calc!$J$2:$J$1001))&gt;0)*((K730-(L730+Calc!$J$2:$J$1001))&lt;Calc!$F$2:$F$1001)*(K730-(L730+Calc!$J$2:$J$1001))+((K730-(L730+Calc!$J$2:$J$1001))&gt;=Calc!$F$2:$F$1001)*Calc!$F$2:$F$1001))))</f>
        <v/>
      </c>
      <c r="Q730">
        <f>IF(I730=0,0,(MIN(MAX((K730+M730),0),L730)*W730+SUMPRODUCT((Calc!$A$2:$A$1001=A730)*Calc!$G$2:$G$1001*((((K730+M730)-(L730+Calc!$J$2:$J$1001))&gt;0)*(((K730+M730)-(L730+Calc!$J$2:$J$1001))&lt;Calc!$F$2:$F$1001)*((K730+M730)-(L730+Calc!$J$2:$J$1001))+(((K730+M730)-(L730+Calc!$J$2:$J$1001))&gt;=Calc!$F$2:$F$1001)*Calc!$F$2:$F$1001))))</f>
        <v/>
      </c>
      <c r="R730">
        <f>IF(I730=0,0,(MIN(MAX((K730+N730),0),L730)*W730+SUMPRODUCT((Calc!$A$2:$A$1001=A730)*Calc!$G$2:$G$1001*((((K730+N730)-(L730+Calc!$J$2:$J$1001))&gt;0)*(((K730+N730)-(L730+Calc!$J$2:$J$1001))&lt;Calc!$F$2:$F$1001)*((K730+N730)-(L730+Calc!$J$2:$J$1001))+(((K730+N730)-(L730+Calc!$J$2:$J$1001))&gt;=Calc!$F$2:$F$1001)*Calc!$F$2:$F$1001))))</f>
        <v/>
      </c>
      <c r="S730">
        <f>IF(I730=0,0,(MIN(MAX((K730+O730),0),L730)*W730+SUMPRODUCT((Calc!$A$2:$A$1001=A730)*Calc!$G$2:$G$1001*((((K730+O730)-(L730+Calc!$J$2:$J$1001))&gt;0)*(((K730+O730)-(L730+Calc!$J$2:$J$1001))&lt;Calc!$F$2:$F$1001)*((K730+O730)-(L730+Calc!$J$2:$J$1001))+(((K730+O730)-(L730+Calc!$J$2:$J$1001))&gt;=Calc!$F$2:$F$1001)*Calc!$F$2:$F$1001))))</f>
        <v/>
      </c>
      <c r="T730">
        <f>IF(AND(E730=1,B730="RETURN"),Transactions!E730*Transactions!G730,0)</f>
        <v/>
      </c>
      <c r="U730">
        <f>IF(AND(E730=1,B730="EXPENSE"),Transactions!J730,0)</f>
        <v/>
      </c>
      <c r="V730">
        <f>IF(AND(Transactions!A730&lt;&gt;"",E730=0),ROW(),"")</f>
        <v/>
      </c>
      <c r="W730">
        <f>IFERROR(VLOOKUP(A730,Opening!$A:$D,4,0),0)</f>
        <v/>
      </c>
    </row>
    <row r="731">
      <c r="A731">
        <f>IF(Transactions!D731="","",UPPER(TRIM(Transactions!D731)))</f>
        <v/>
      </c>
      <c r="B731">
        <f>IF(Transactions!C731="","",UPPER(TRIM(Transactions!C731)))</f>
        <v/>
      </c>
      <c r="C731">
        <f>IF(Transactions!B731="",0,YEAR(Transactions!B731)*100+MONTH(Transactions!B731))</f>
        <v/>
      </c>
      <c r="D731">
        <f>IF(Transactions!A731="",1,IF(COUNTIF(Transactions!$A$1:A730,Transactions!A731)&gt;0,1,0))</f>
        <v/>
      </c>
      <c r="E731">
        <f>IF(D731=1,0,IF(B731="RETURN",IF(COUNTIFS($A$1:A730,A731,$B$1:B730,"SALE",$E$1:E730,1)&gt;0,1,0),1))</f>
        <v/>
      </c>
      <c r="F731">
        <f>IF(E731=1,IF(B731="RECEIPT",Transactions!E731,IF(AND(B731="RETURN",LOWER(TRIM(Transactions!H731))="resellable"),Transactions!E731,0)),0)</f>
        <v/>
      </c>
      <c r="G731">
        <f>IF(F731&gt;0,IF(B731="RECEIPT",Transactions!F731,IF(_xlfn.MAXIFS($H$2:H731,$A$2:A731,A731)&gt;0,INDEX(Transactions!$F:$F,_xlfn.MAXIFS($H$2:H731,$A$2:A731,A731)),W731)),0)</f>
        <v/>
      </c>
      <c r="H731">
        <f>IF(AND(E731=1,B731="RECEIPT"),ROW(),0)</f>
        <v/>
      </c>
      <c r="I731">
        <f>IF(E731=1,IF(OR(B731="SALE",B731="WRITEOFF"),Transactions!E731,0),0)</f>
        <v/>
      </c>
      <c r="J731">
        <f>SUMIFS($F$1:F730,$A$1:A730,A731)</f>
        <v/>
      </c>
      <c r="K731">
        <f>SUMIFS($I$1:I730,$A$1:A730,A731)</f>
        <v/>
      </c>
      <c r="L731">
        <f>IFERROR(VLOOKUP(A731,Opening!$A:$C,3,0),0)</f>
        <v/>
      </c>
      <c r="M731">
        <f>IF(I731=0,0,MAX(0,MIN(INDEX(Month!H$2:H$13,MATCH($A731,Month!$A$2:$A$13,0))-K731,I731)))</f>
        <v/>
      </c>
      <c r="N731">
        <f>IF(I731=0,0,MAX(0,MIN(INDEX(Month!I$2:I$13,MATCH($A731,Month!$A$2:$A$13,0))-K731,I731)))</f>
        <v/>
      </c>
      <c r="O731">
        <f>IF(I731=0,0,MAX(0,MIN(INDEX(Month!J$2:J$13,MATCH($A731,Month!$A$2:$A$13,0))-K731,I731)))</f>
        <v/>
      </c>
      <c r="P731">
        <f>IF(I731=0,0,(MIN(MAX(K731,0),L731)*W731+SUMPRODUCT((Calc!$A$2:$A$1001=A731)*Calc!$G$2:$G$1001*(((K731-(L731+Calc!$J$2:$J$1001))&gt;0)*((K731-(L731+Calc!$J$2:$J$1001))&lt;Calc!$F$2:$F$1001)*(K731-(L731+Calc!$J$2:$J$1001))+((K731-(L731+Calc!$J$2:$J$1001))&gt;=Calc!$F$2:$F$1001)*Calc!$F$2:$F$1001))))</f>
        <v/>
      </c>
      <c r="Q731">
        <f>IF(I731=0,0,(MIN(MAX((K731+M731),0),L731)*W731+SUMPRODUCT((Calc!$A$2:$A$1001=A731)*Calc!$G$2:$G$1001*((((K731+M731)-(L731+Calc!$J$2:$J$1001))&gt;0)*(((K731+M731)-(L731+Calc!$J$2:$J$1001))&lt;Calc!$F$2:$F$1001)*((K731+M731)-(L731+Calc!$J$2:$J$1001))+(((K731+M731)-(L731+Calc!$J$2:$J$1001))&gt;=Calc!$F$2:$F$1001)*Calc!$F$2:$F$1001))))</f>
        <v/>
      </c>
      <c r="R731">
        <f>IF(I731=0,0,(MIN(MAX((K731+N731),0),L731)*W731+SUMPRODUCT((Calc!$A$2:$A$1001=A731)*Calc!$G$2:$G$1001*((((K731+N731)-(L731+Calc!$J$2:$J$1001))&gt;0)*(((K731+N731)-(L731+Calc!$J$2:$J$1001))&lt;Calc!$F$2:$F$1001)*((K731+N731)-(L731+Calc!$J$2:$J$1001))+(((K731+N731)-(L731+Calc!$J$2:$J$1001))&gt;=Calc!$F$2:$F$1001)*Calc!$F$2:$F$1001))))</f>
        <v/>
      </c>
      <c r="S731">
        <f>IF(I731=0,0,(MIN(MAX((K731+O731),0),L731)*W731+SUMPRODUCT((Calc!$A$2:$A$1001=A731)*Calc!$G$2:$G$1001*((((K731+O731)-(L731+Calc!$J$2:$J$1001))&gt;0)*(((K731+O731)-(L731+Calc!$J$2:$J$1001))&lt;Calc!$F$2:$F$1001)*((K731+O731)-(L731+Calc!$J$2:$J$1001))+(((K731+O731)-(L731+Calc!$J$2:$J$1001))&gt;=Calc!$F$2:$F$1001)*Calc!$F$2:$F$1001))))</f>
        <v/>
      </c>
      <c r="T731">
        <f>IF(AND(E731=1,B731="RETURN"),Transactions!E731*Transactions!G731,0)</f>
        <v/>
      </c>
      <c r="U731">
        <f>IF(AND(E731=1,B731="EXPENSE"),Transactions!J731,0)</f>
        <v/>
      </c>
      <c r="V731">
        <f>IF(AND(Transactions!A731&lt;&gt;"",E731=0),ROW(),"")</f>
        <v/>
      </c>
      <c r="W731">
        <f>IFERROR(VLOOKUP(A731,Opening!$A:$D,4,0),0)</f>
        <v/>
      </c>
    </row>
    <row r="732">
      <c r="A732">
        <f>IF(Transactions!D732="","",UPPER(TRIM(Transactions!D732)))</f>
        <v/>
      </c>
      <c r="B732">
        <f>IF(Transactions!C732="","",UPPER(TRIM(Transactions!C732)))</f>
        <v/>
      </c>
      <c r="C732">
        <f>IF(Transactions!B732="",0,YEAR(Transactions!B732)*100+MONTH(Transactions!B732))</f>
        <v/>
      </c>
      <c r="D732">
        <f>IF(Transactions!A732="",1,IF(COUNTIF(Transactions!$A$1:A731,Transactions!A732)&gt;0,1,0))</f>
        <v/>
      </c>
      <c r="E732">
        <f>IF(D732=1,0,IF(B732="RETURN",IF(COUNTIFS($A$1:A731,A732,$B$1:B731,"SALE",$E$1:E731,1)&gt;0,1,0),1))</f>
        <v/>
      </c>
      <c r="F732">
        <f>IF(E732=1,IF(B732="RECEIPT",Transactions!E732,IF(AND(B732="RETURN",LOWER(TRIM(Transactions!H732))="resellable"),Transactions!E732,0)),0)</f>
        <v/>
      </c>
      <c r="G732">
        <f>IF(F732&gt;0,IF(B732="RECEIPT",Transactions!F732,IF(_xlfn.MAXIFS($H$2:H732,$A$2:A732,A732)&gt;0,INDEX(Transactions!$F:$F,_xlfn.MAXIFS($H$2:H732,$A$2:A732,A732)),W732)),0)</f>
        <v/>
      </c>
      <c r="H732">
        <f>IF(AND(E732=1,B732="RECEIPT"),ROW(),0)</f>
        <v/>
      </c>
      <c r="I732">
        <f>IF(E732=1,IF(OR(B732="SALE",B732="WRITEOFF"),Transactions!E732,0),0)</f>
        <v/>
      </c>
      <c r="J732">
        <f>SUMIFS($F$1:F731,$A$1:A731,A732)</f>
        <v/>
      </c>
      <c r="K732">
        <f>SUMIFS($I$1:I731,$A$1:A731,A732)</f>
        <v/>
      </c>
      <c r="L732">
        <f>IFERROR(VLOOKUP(A732,Opening!$A:$C,3,0),0)</f>
        <v/>
      </c>
      <c r="M732">
        <f>IF(I732=0,0,MAX(0,MIN(INDEX(Month!H$2:H$13,MATCH($A732,Month!$A$2:$A$13,0))-K732,I732)))</f>
        <v/>
      </c>
      <c r="N732">
        <f>IF(I732=0,0,MAX(0,MIN(INDEX(Month!I$2:I$13,MATCH($A732,Month!$A$2:$A$13,0))-K732,I732)))</f>
        <v/>
      </c>
      <c r="O732">
        <f>IF(I732=0,0,MAX(0,MIN(INDEX(Month!J$2:J$13,MATCH($A732,Month!$A$2:$A$13,0))-K732,I732)))</f>
        <v/>
      </c>
      <c r="P732">
        <f>IF(I732=0,0,(MIN(MAX(K732,0),L732)*W732+SUMPRODUCT((Calc!$A$2:$A$1001=A732)*Calc!$G$2:$G$1001*(((K732-(L732+Calc!$J$2:$J$1001))&gt;0)*((K732-(L732+Calc!$J$2:$J$1001))&lt;Calc!$F$2:$F$1001)*(K732-(L732+Calc!$J$2:$J$1001))+((K732-(L732+Calc!$J$2:$J$1001))&gt;=Calc!$F$2:$F$1001)*Calc!$F$2:$F$1001))))</f>
        <v/>
      </c>
      <c r="Q732">
        <f>IF(I732=0,0,(MIN(MAX((K732+M732),0),L732)*W732+SUMPRODUCT((Calc!$A$2:$A$1001=A732)*Calc!$G$2:$G$1001*((((K732+M732)-(L732+Calc!$J$2:$J$1001))&gt;0)*(((K732+M732)-(L732+Calc!$J$2:$J$1001))&lt;Calc!$F$2:$F$1001)*((K732+M732)-(L732+Calc!$J$2:$J$1001))+(((K732+M732)-(L732+Calc!$J$2:$J$1001))&gt;=Calc!$F$2:$F$1001)*Calc!$F$2:$F$1001))))</f>
        <v/>
      </c>
      <c r="R732">
        <f>IF(I732=0,0,(MIN(MAX((K732+N732),0),L732)*W732+SUMPRODUCT((Calc!$A$2:$A$1001=A732)*Calc!$G$2:$G$1001*((((K732+N732)-(L732+Calc!$J$2:$J$1001))&gt;0)*(((K732+N732)-(L732+Calc!$J$2:$J$1001))&lt;Calc!$F$2:$F$1001)*((K732+N732)-(L732+Calc!$J$2:$J$1001))+(((K732+N732)-(L732+Calc!$J$2:$J$1001))&gt;=Calc!$F$2:$F$1001)*Calc!$F$2:$F$1001))))</f>
        <v/>
      </c>
      <c r="S732">
        <f>IF(I732=0,0,(MIN(MAX((K732+O732),0),L732)*W732+SUMPRODUCT((Calc!$A$2:$A$1001=A732)*Calc!$G$2:$G$1001*((((K732+O732)-(L732+Calc!$J$2:$J$1001))&gt;0)*(((K732+O732)-(L732+Calc!$J$2:$J$1001))&lt;Calc!$F$2:$F$1001)*((K732+O732)-(L732+Calc!$J$2:$J$1001))+(((K732+O732)-(L732+Calc!$J$2:$J$1001))&gt;=Calc!$F$2:$F$1001)*Calc!$F$2:$F$1001))))</f>
        <v/>
      </c>
      <c r="T732">
        <f>IF(AND(E732=1,B732="RETURN"),Transactions!E732*Transactions!G732,0)</f>
        <v/>
      </c>
      <c r="U732">
        <f>IF(AND(E732=1,B732="EXPENSE"),Transactions!J732,0)</f>
        <v/>
      </c>
      <c r="V732">
        <f>IF(AND(Transactions!A732&lt;&gt;"",E732=0),ROW(),"")</f>
        <v/>
      </c>
      <c r="W732">
        <f>IFERROR(VLOOKUP(A732,Opening!$A:$D,4,0),0)</f>
        <v/>
      </c>
    </row>
    <row r="733">
      <c r="A733">
        <f>IF(Transactions!D733="","",UPPER(TRIM(Transactions!D733)))</f>
        <v/>
      </c>
      <c r="B733">
        <f>IF(Transactions!C733="","",UPPER(TRIM(Transactions!C733)))</f>
        <v/>
      </c>
      <c r="C733">
        <f>IF(Transactions!B733="",0,YEAR(Transactions!B733)*100+MONTH(Transactions!B733))</f>
        <v/>
      </c>
      <c r="D733">
        <f>IF(Transactions!A733="",1,IF(COUNTIF(Transactions!$A$1:A732,Transactions!A733)&gt;0,1,0))</f>
        <v/>
      </c>
      <c r="E733">
        <f>IF(D733=1,0,IF(B733="RETURN",IF(COUNTIFS($A$1:A732,A733,$B$1:B732,"SALE",$E$1:E732,1)&gt;0,1,0),1))</f>
        <v/>
      </c>
      <c r="F733">
        <f>IF(E733=1,IF(B733="RECEIPT",Transactions!E733,IF(AND(B733="RETURN",LOWER(TRIM(Transactions!H733))="resellable"),Transactions!E733,0)),0)</f>
        <v/>
      </c>
      <c r="G733">
        <f>IF(F733&gt;0,IF(B733="RECEIPT",Transactions!F733,IF(_xlfn.MAXIFS($H$2:H733,$A$2:A733,A733)&gt;0,INDEX(Transactions!$F:$F,_xlfn.MAXIFS($H$2:H733,$A$2:A733,A733)),W733)),0)</f>
        <v/>
      </c>
      <c r="H733">
        <f>IF(AND(E733=1,B733="RECEIPT"),ROW(),0)</f>
        <v/>
      </c>
      <c r="I733">
        <f>IF(E733=1,IF(OR(B733="SALE",B733="WRITEOFF"),Transactions!E733,0),0)</f>
        <v/>
      </c>
      <c r="J733">
        <f>SUMIFS($F$1:F732,$A$1:A732,A733)</f>
        <v/>
      </c>
      <c r="K733">
        <f>SUMIFS($I$1:I732,$A$1:A732,A733)</f>
        <v/>
      </c>
      <c r="L733">
        <f>IFERROR(VLOOKUP(A733,Opening!$A:$C,3,0),0)</f>
        <v/>
      </c>
      <c r="M733">
        <f>IF(I733=0,0,MAX(0,MIN(INDEX(Month!H$2:H$13,MATCH($A733,Month!$A$2:$A$13,0))-K733,I733)))</f>
        <v/>
      </c>
      <c r="N733">
        <f>IF(I733=0,0,MAX(0,MIN(INDEX(Month!I$2:I$13,MATCH($A733,Month!$A$2:$A$13,0))-K733,I733)))</f>
        <v/>
      </c>
      <c r="O733">
        <f>IF(I733=0,0,MAX(0,MIN(INDEX(Month!J$2:J$13,MATCH($A733,Month!$A$2:$A$13,0))-K733,I733)))</f>
        <v/>
      </c>
      <c r="P733">
        <f>IF(I733=0,0,(MIN(MAX(K733,0),L733)*W733+SUMPRODUCT((Calc!$A$2:$A$1001=A733)*Calc!$G$2:$G$1001*(((K733-(L733+Calc!$J$2:$J$1001))&gt;0)*((K733-(L733+Calc!$J$2:$J$1001))&lt;Calc!$F$2:$F$1001)*(K733-(L733+Calc!$J$2:$J$1001))+((K733-(L733+Calc!$J$2:$J$1001))&gt;=Calc!$F$2:$F$1001)*Calc!$F$2:$F$1001))))</f>
        <v/>
      </c>
      <c r="Q733">
        <f>IF(I733=0,0,(MIN(MAX((K733+M733),0),L733)*W733+SUMPRODUCT((Calc!$A$2:$A$1001=A733)*Calc!$G$2:$G$1001*((((K733+M733)-(L733+Calc!$J$2:$J$1001))&gt;0)*(((K733+M733)-(L733+Calc!$J$2:$J$1001))&lt;Calc!$F$2:$F$1001)*((K733+M733)-(L733+Calc!$J$2:$J$1001))+(((K733+M733)-(L733+Calc!$J$2:$J$1001))&gt;=Calc!$F$2:$F$1001)*Calc!$F$2:$F$1001))))</f>
        <v/>
      </c>
      <c r="R733">
        <f>IF(I733=0,0,(MIN(MAX((K733+N733),0),L733)*W733+SUMPRODUCT((Calc!$A$2:$A$1001=A733)*Calc!$G$2:$G$1001*((((K733+N733)-(L733+Calc!$J$2:$J$1001))&gt;0)*(((K733+N733)-(L733+Calc!$J$2:$J$1001))&lt;Calc!$F$2:$F$1001)*((K733+N733)-(L733+Calc!$J$2:$J$1001))+(((K733+N733)-(L733+Calc!$J$2:$J$1001))&gt;=Calc!$F$2:$F$1001)*Calc!$F$2:$F$1001))))</f>
        <v/>
      </c>
      <c r="S733">
        <f>IF(I733=0,0,(MIN(MAX((K733+O733),0),L733)*W733+SUMPRODUCT((Calc!$A$2:$A$1001=A733)*Calc!$G$2:$G$1001*((((K733+O733)-(L733+Calc!$J$2:$J$1001))&gt;0)*(((K733+O733)-(L733+Calc!$J$2:$J$1001))&lt;Calc!$F$2:$F$1001)*((K733+O733)-(L733+Calc!$J$2:$J$1001))+(((K733+O733)-(L733+Calc!$J$2:$J$1001))&gt;=Calc!$F$2:$F$1001)*Calc!$F$2:$F$1001))))</f>
        <v/>
      </c>
      <c r="T733">
        <f>IF(AND(E733=1,B733="RETURN"),Transactions!E733*Transactions!G733,0)</f>
        <v/>
      </c>
      <c r="U733">
        <f>IF(AND(E733=1,B733="EXPENSE"),Transactions!J733,0)</f>
        <v/>
      </c>
      <c r="V733">
        <f>IF(AND(Transactions!A733&lt;&gt;"",E733=0),ROW(),"")</f>
        <v/>
      </c>
      <c r="W733">
        <f>IFERROR(VLOOKUP(A733,Opening!$A:$D,4,0),0)</f>
        <v/>
      </c>
    </row>
    <row r="734">
      <c r="A734">
        <f>IF(Transactions!D734="","",UPPER(TRIM(Transactions!D734)))</f>
        <v/>
      </c>
      <c r="B734">
        <f>IF(Transactions!C734="","",UPPER(TRIM(Transactions!C734)))</f>
        <v/>
      </c>
      <c r="C734">
        <f>IF(Transactions!B734="",0,YEAR(Transactions!B734)*100+MONTH(Transactions!B734))</f>
        <v/>
      </c>
      <c r="D734">
        <f>IF(Transactions!A734="",1,IF(COUNTIF(Transactions!$A$1:A733,Transactions!A734)&gt;0,1,0))</f>
        <v/>
      </c>
      <c r="E734">
        <f>IF(D734=1,0,IF(B734="RETURN",IF(COUNTIFS($A$1:A733,A734,$B$1:B733,"SALE",$E$1:E733,1)&gt;0,1,0),1))</f>
        <v/>
      </c>
      <c r="F734">
        <f>IF(E734=1,IF(B734="RECEIPT",Transactions!E734,IF(AND(B734="RETURN",LOWER(TRIM(Transactions!H734))="resellable"),Transactions!E734,0)),0)</f>
        <v/>
      </c>
      <c r="G734">
        <f>IF(F734&gt;0,IF(B734="RECEIPT",Transactions!F734,IF(_xlfn.MAXIFS($H$2:H734,$A$2:A734,A734)&gt;0,INDEX(Transactions!$F:$F,_xlfn.MAXIFS($H$2:H734,$A$2:A734,A734)),W734)),0)</f>
        <v/>
      </c>
      <c r="H734">
        <f>IF(AND(E734=1,B734="RECEIPT"),ROW(),0)</f>
        <v/>
      </c>
      <c r="I734">
        <f>IF(E734=1,IF(OR(B734="SALE",B734="WRITEOFF"),Transactions!E734,0),0)</f>
        <v/>
      </c>
      <c r="J734">
        <f>SUMIFS($F$1:F733,$A$1:A733,A734)</f>
        <v/>
      </c>
      <c r="K734">
        <f>SUMIFS($I$1:I733,$A$1:A733,A734)</f>
        <v/>
      </c>
      <c r="L734">
        <f>IFERROR(VLOOKUP(A734,Opening!$A:$C,3,0),0)</f>
        <v/>
      </c>
      <c r="M734">
        <f>IF(I734=0,0,MAX(0,MIN(INDEX(Month!H$2:H$13,MATCH($A734,Month!$A$2:$A$13,0))-K734,I734)))</f>
        <v/>
      </c>
      <c r="N734">
        <f>IF(I734=0,0,MAX(0,MIN(INDEX(Month!I$2:I$13,MATCH($A734,Month!$A$2:$A$13,0))-K734,I734)))</f>
        <v/>
      </c>
      <c r="O734">
        <f>IF(I734=0,0,MAX(0,MIN(INDEX(Month!J$2:J$13,MATCH($A734,Month!$A$2:$A$13,0))-K734,I734)))</f>
        <v/>
      </c>
      <c r="P734">
        <f>IF(I734=0,0,(MIN(MAX(K734,0),L734)*W734+SUMPRODUCT((Calc!$A$2:$A$1001=A734)*Calc!$G$2:$G$1001*(((K734-(L734+Calc!$J$2:$J$1001))&gt;0)*((K734-(L734+Calc!$J$2:$J$1001))&lt;Calc!$F$2:$F$1001)*(K734-(L734+Calc!$J$2:$J$1001))+((K734-(L734+Calc!$J$2:$J$1001))&gt;=Calc!$F$2:$F$1001)*Calc!$F$2:$F$1001))))</f>
        <v/>
      </c>
      <c r="Q734">
        <f>IF(I734=0,0,(MIN(MAX((K734+M734),0),L734)*W734+SUMPRODUCT((Calc!$A$2:$A$1001=A734)*Calc!$G$2:$G$1001*((((K734+M734)-(L734+Calc!$J$2:$J$1001))&gt;0)*(((K734+M734)-(L734+Calc!$J$2:$J$1001))&lt;Calc!$F$2:$F$1001)*((K734+M734)-(L734+Calc!$J$2:$J$1001))+(((K734+M734)-(L734+Calc!$J$2:$J$1001))&gt;=Calc!$F$2:$F$1001)*Calc!$F$2:$F$1001))))</f>
        <v/>
      </c>
      <c r="R734">
        <f>IF(I734=0,0,(MIN(MAX((K734+N734),0),L734)*W734+SUMPRODUCT((Calc!$A$2:$A$1001=A734)*Calc!$G$2:$G$1001*((((K734+N734)-(L734+Calc!$J$2:$J$1001))&gt;0)*(((K734+N734)-(L734+Calc!$J$2:$J$1001))&lt;Calc!$F$2:$F$1001)*((K734+N734)-(L734+Calc!$J$2:$J$1001))+(((K734+N734)-(L734+Calc!$J$2:$J$1001))&gt;=Calc!$F$2:$F$1001)*Calc!$F$2:$F$1001))))</f>
        <v/>
      </c>
      <c r="S734">
        <f>IF(I734=0,0,(MIN(MAX((K734+O734),0),L734)*W734+SUMPRODUCT((Calc!$A$2:$A$1001=A734)*Calc!$G$2:$G$1001*((((K734+O734)-(L734+Calc!$J$2:$J$1001))&gt;0)*(((K734+O734)-(L734+Calc!$J$2:$J$1001))&lt;Calc!$F$2:$F$1001)*((K734+O734)-(L734+Calc!$J$2:$J$1001))+(((K734+O734)-(L734+Calc!$J$2:$J$1001))&gt;=Calc!$F$2:$F$1001)*Calc!$F$2:$F$1001))))</f>
        <v/>
      </c>
      <c r="T734">
        <f>IF(AND(E734=1,B734="RETURN"),Transactions!E734*Transactions!G734,0)</f>
        <v/>
      </c>
      <c r="U734">
        <f>IF(AND(E734=1,B734="EXPENSE"),Transactions!J734,0)</f>
        <v/>
      </c>
      <c r="V734">
        <f>IF(AND(Transactions!A734&lt;&gt;"",E734=0),ROW(),"")</f>
        <v/>
      </c>
      <c r="W734">
        <f>IFERROR(VLOOKUP(A734,Opening!$A:$D,4,0),0)</f>
        <v/>
      </c>
    </row>
    <row r="735">
      <c r="A735">
        <f>IF(Transactions!D735="","",UPPER(TRIM(Transactions!D735)))</f>
        <v/>
      </c>
      <c r="B735">
        <f>IF(Transactions!C735="","",UPPER(TRIM(Transactions!C735)))</f>
        <v/>
      </c>
      <c r="C735">
        <f>IF(Transactions!B735="",0,YEAR(Transactions!B735)*100+MONTH(Transactions!B735))</f>
        <v/>
      </c>
      <c r="D735">
        <f>IF(Transactions!A735="",1,IF(COUNTIF(Transactions!$A$1:A734,Transactions!A735)&gt;0,1,0))</f>
        <v/>
      </c>
      <c r="E735">
        <f>IF(D735=1,0,IF(B735="RETURN",IF(COUNTIFS($A$1:A734,A735,$B$1:B734,"SALE",$E$1:E734,1)&gt;0,1,0),1))</f>
        <v/>
      </c>
      <c r="F735">
        <f>IF(E735=1,IF(B735="RECEIPT",Transactions!E735,IF(AND(B735="RETURN",LOWER(TRIM(Transactions!H735))="resellable"),Transactions!E735,0)),0)</f>
        <v/>
      </c>
      <c r="G735">
        <f>IF(F735&gt;0,IF(B735="RECEIPT",Transactions!F735,IF(_xlfn.MAXIFS($H$2:H735,$A$2:A735,A735)&gt;0,INDEX(Transactions!$F:$F,_xlfn.MAXIFS($H$2:H735,$A$2:A735,A735)),W735)),0)</f>
        <v/>
      </c>
      <c r="H735">
        <f>IF(AND(E735=1,B735="RECEIPT"),ROW(),0)</f>
        <v/>
      </c>
      <c r="I735">
        <f>IF(E735=1,IF(OR(B735="SALE",B735="WRITEOFF"),Transactions!E735,0),0)</f>
        <v/>
      </c>
      <c r="J735">
        <f>SUMIFS($F$1:F734,$A$1:A734,A735)</f>
        <v/>
      </c>
      <c r="K735">
        <f>SUMIFS($I$1:I734,$A$1:A734,A735)</f>
        <v/>
      </c>
      <c r="L735">
        <f>IFERROR(VLOOKUP(A735,Opening!$A:$C,3,0),0)</f>
        <v/>
      </c>
      <c r="M735">
        <f>IF(I735=0,0,MAX(0,MIN(INDEX(Month!H$2:H$13,MATCH($A735,Month!$A$2:$A$13,0))-K735,I735)))</f>
        <v/>
      </c>
      <c r="N735">
        <f>IF(I735=0,0,MAX(0,MIN(INDEX(Month!I$2:I$13,MATCH($A735,Month!$A$2:$A$13,0))-K735,I735)))</f>
        <v/>
      </c>
      <c r="O735">
        <f>IF(I735=0,0,MAX(0,MIN(INDEX(Month!J$2:J$13,MATCH($A735,Month!$A$2:$A$13,0))-K735,I735)))</f>
        <v/>
      </c>
      <c r="P735">
        <f>IF(I735=0,0,(MIN(MAX(K735,0),L735)*W735+SUMPRODUCT((Calc!$A$2:$A$1001=A735)*Calc!$G$2:$G$1001*(((K735-(L735+Calc!$J$2:$J$1001))&gt;0)*((K735-(L735+Calc!$J$2:$J$1001))&lt;Calc!$F$2:$F$1001)*(K735-(L735+Calc!$J$2:$J$1001))+((K735-(L735+Calc!$J$2:$J$1001))&gt;=Calc!$F$2:$F$1001)*Calc!$F$2:$F$1001))))</f>
        <v/>
      </c>
      <c r="Q735">
        <f>IF(I735=0,0,(MIN(MAX((K735+M735),0),L735)*W735+SUMPRODUCT((Calc!$A$2:$A$1001=A735)*Calc!$G$2:$G$1001*((((K735+M735)-(L735+Calc!$J$2:$J$1001))&gt;0)*(((K735+M735)-(L735+Calc!$J$2:$J$1001))&lt;Calc!$F$2:$F$1001)*((K735+M735)-(L735+Calc!$J$2:$J$1001))+(((K735+M735)-(L735+Calc!$J$2:$J$1001))&gt;=Calc!$F$2:$F$1001)*Calc!$F$2:$F$1001))))</f>
        <v/>
      </c>
      <c r="R735">
        <f>IF(I735=0,0,(MIN(MAX((K735+N735),0),L735)*W735+SUMPRODUCT((Calc!$A$2:$A$1001=A735)*Calc!$G$2:$G$1001*((((K735+N735)-(L735+Calc!$J$2:$J$1001))&gt;0)*(((K735+N735)-(L735+Calc!$J$2:$J$1001))&lt;Calc!$F$2:$F$1001)*((K735+N735)-(L735+Calc!$J$2:$J$1001))+(((K735+N735)-(L735+Calc!$J$2:$J$1001))&gt;=Calc!$F$2:$F$1001)*Calc!$F$2:$F$1001))))</f>
        <v/>
      </c>
      <c r="S735">
        <f>IF(I735=0,0,(MIN(MAX((K735+O735),0),L735)*W735+SUMPRODUCT((Calc!$A$2:$A$1001=A735)*Calc!$G$2:$G$1001*((((K735+O735)-(L735+Calc!$J$2:$J$1001))&gt;0)*(((K735+O735)-(L735+Calc!$J$2:$J$1001))&lt;Calc!$F$2:$F$1001)*((K735+O735)-(L735+Calc!$J$2:$J$1001))+(((K735+O735)-(L735+Calc!$J$2:$J$1001))&gt;=Calc!$F$2:$F$1001)*Calc!$F$2:$F$1001))))</f>
        <v/>
      </c>
      <c r="T735">
        <f>IF(AND(E735=1,B735="RETURN"),Transactions!E735*Transactions!G735,0)</f>
        <v/>
      </c>
      <c r="U735">
        <f>IF(AND(E735=1,B735="EXPENSE"),Transactions!J735,0)</f>
        <v/>
      </c>
      <c r="V735">
        <f>IF(AND(Transactions!A735&lt;&gt;"",E735=0),ROW(),"")</f>
        <v/>
      </c>
      <c r="W735">
        <f>IFERROR(VLOOKUP(A735,Opening!$A:$D,4,0),0)</f>
        <v/>
      </c>
    </row>
    <row r="736">
      <c r="A736">
        <f>IF(Transactions!D736="","",UPPER(TRIM(Transactions!D736)))</f>
        <v/>
      </c>
      <c r="B736">
        <f>IF(Transactions!C736="","",UPPER(TRIM(Transactions!C736)))</f>
        <v/>
      </c>
      <c r="C736">
        <f>IF(Transactions!B736="",0,YEAR(Transactions!B736)*100+MONTH(Transactions!B736))</f>
        <v/>
      </c>
      <c r="D736">
        <f>IF(Transactions!A736="",1,IF(COUNTIF(Transactions!$A$1:A735,Transactions!A736)&gt;0,1,0))</f>
        <v/>
      </c>
      <c r="E736">
        <f>IF(D736=1,0,IF(B736="RETURN",IF(COUNTIFS($A$1:A735,A736,$B$1:B735,"SALE",$E$1:E735,1)&gt;0,1,0),1))</f>
        <v/>
      </c>
      <c r="F736">
        <f>IF(E736=1,IF(B736="RECEIPT",Transactions!E736,IF(AND(B736="RETURN",LOWER(TRIM(Transactions!H736))="resellable"),Transactions!E736,0)),0)</f>
        <v/>
      </c>
      <c r="G736">
        <f>IF(F736&gt;0,IF(B736="RECEIPT",Transactions!F736,IF(_xlfn.MAXIFS($H$2:H736,$A$2:A736,A736)&gt;0,INDEX(Transactions!$F:$F,_xlfn.MAXIFS($H$2:H736,$A$2:A736,A736)),W736)),0)</f>
        <v/>
      </c>
      <c r="H736">
        <f>IF(AND(E736=1,B736="RECEIPT"),ROW(),0)</f>
        <v/>
      </c>
      <c r="I736">
        <f>IF(E736=1,IF(OR(B736="SALE",B736="WRITEOFF"),Transactions!E736,0),0)</f>
        <v/>
      </c>
      <c r="J736">
        <f>SUMIFS($F$1:F735,$A$1:A735,A736)</f>
        <v/>
      </c>
      <c r="K736">
        <f>SUMIFS($I$1:I735,$A$1:A735,A736)</f>
        <v/>
      </c>
      <c r="L736">
        <f>IFERROR(VLOOKUP(A736,Opening!$A:$C,3,0),0)</f>
        <v/>
      </c>
      <c r="M736">
        <f>IF(I736=0,0,MAX(0,MIN(INDEX(Month!H$2:H$13,MATCH($A736,Month!$A$2:$A$13,0))-K736,I736)))</f>
        <v/>
      </c>
      <c r="N736">
        <f>IF(I736=0,0,MAX(0,MIN(INDEX(Month!I$2:I$13,MATCH($A736,Month!$A$2:$A$13,0))-K736,I736)))</f>
        <v/>
      </c>
      <c r="O736">
        <f>IF(I736=0,0,MAX(0,MIN(INDEX(Month!J$2:J$13,MATCH($A736,Month!$A$2:$A$13,0))-K736,I736)))</f>
        <v/>
      </c>
      <c r="P736">
        <f>IF(I736=0,0,(MIN(MAX(K736,0),L736)*W736+SUMPRODUCT((Calc!$A$2:$A$1001=A736)*Calc!$G$2:$G$1001*(((K736-(L736+Calc!$J$2:$J$1001))&gt;0)*((K736-(L736+Calc!$J$2:$J$1001))&lt;Calc!$F$2:$F$1001)*(K736-(L736+Calc!$J$2:$J$1001))+((K736-(L736+Calc!$J$2:$J$1001))&gt;=Calc!$F$2:$F$1001)*Calc!$F$2:$F$1001))))</f>
        <v/>
      </c>
      <c r="Q736">
        <f>IF(I736=0,0,(MIN(MAX((K736+M736),0),L736)*W736+SUMPRODUCT((Calc!$A$2:$A$1001=A736)*Calc!$G$2:$G$1001*((((K736+M736)-(L736+Calc!$J$2:$J$1001))&gt;0)*(((K736+M736)-(L736+Calc!$J$2:$J$1001))&lt;Calc!$F$2:$F$1001)*((K736+M736)-(L736+Calc!$J$2:$J$1001))+(((K736+M736)-(L736+Calc!$J$2:$J$1001))&gt;=Calc!$F$2:$F$1001)*Calc!$F$2:$F$1001))))</f>
        <v/>
      </c>
      <c r="R736">
        <f>IF(I736=0,0,(MIN(MAX((K736+N736),0),L736)*W736+SUMPRODUCT((Calc!$A$2:$A$1001=A736)*Calc!$G$2:$G$1001*((((K736+N736)-(L736+Calc!$J$2:$J$1001))&gt;0)*(((K736+N736)-(L736+Calc!$J$2:$J$1001))&lt;Calc!$F$2:$F$1001)*((K736+N736)-(L736+Calc!$J$2:$J$1001))+(((K736+N736)-(L736+Calc!$J$2:$J$1001))&gt;=Calc!$F$2:$F$1001)*Calc!$F$2:$F$1001))))</f>
        <v/>
      </c>
      <c r="S736">
        <f>IF(I736=0,0,(MIN(MAX((K736+O736),0),L736)*W736+SUMPRODUCT((Calc!$A$2:$A$1001=A736)*Calc!$G$2:$G$1001*((((K736+O736)-(L736+Calc!$J$2:$J$1001))&gt;0)*(((K736+O736)-(L736+Calc!$J$2:$J$1001))&lt;Calc!$F$2:$F$1001)*((K736+O736)-(L736+Calc!$J$2:$J$1001))+(((K736+O736)-(L736+Calc!$J$2:$J$1001))&gt;=Calc!$F$2:$F$1001)*Calc!$F$2:$F$1001))))</f>
        <v/>
      </c>
      <c r="T736">
        <f>IF(AND(E736=1,B736="RETURN"),Transactions!E736*Transactions!G736,0)</f>
        <v/>
      </c>
      <c r="U736">
        <f>IF(AND(E736=1,B736="EXPENSE"),Transactions!J736,0)</f>
        <v/>
      </c>
      <c r="V736">
        <f>IF(AND(Transactions!A736&lt;&gt;"",E736=0),ROW(),"")</f>
        <v/>
      </c>
      <c r="W736">
        <f>IFERROR(VLOOKUP(A736,Opening!$A:$D,4,0),0)</f>
        <v/>
      </c>
    </row>
    <row r="737">
      <c r="A737">
        <f>IF(Transactions!D737="","",UPPER(TRIM(Transactions!D737)))</f>
        <v/>
      </c>
      <c r="B737">
        <f>IF(Transactions!C737="","",UPPER(TRIM(Transactions!C737)))</f>
        <v/>
      </c>
      <c r="C737">
        <f>IF(Transactions!B737="",0,YEAR(Transactions!B737)*100+MONTH(Transactions!B737))</f>
        <v/>
      </c>
      <c r="D737">
        <f>IF(Transactions!A737="",1,IF(COUNTIF(Transactions!$A$1:A736,Transactions!A737)&gt;0,1,0))</f>
        <v/>
      </c>
      <c r="E737">
        <f>IF(D737=1,0,IF(B737="RETURN",IF(COUNTIFS($A$1:A736,A737,$B$1:B736,"SALE",$E$1:E736,1)&gt;0,1,0),1))</f>
        <v/>
      </c>
      <c r="F737">
        <f>IF(E737=1,IF(B737="RECEIPT",Transactions!E737,IF(AND(B737="RETURN",LOWER(TRIM(Transactions!H737))="resellable"),Transactions!E737,0)),0)</f>
        <v/>
      </c>
      <c r="G737">
        <f>IF(F737&gt;0,IF(B737="RECEIPT",Transactions!F737,IF(_xlfn.MAXIFS($H$2:H737,$A$2:A737,A737)&gt;0,INDEX(Transactions!$F:$F,_xlfn.MAXIFS($H$2:H737,$A$2:A737,A737)),W737)),0)</f>
        <v/>
      </c>
      <c r="H737">
        <f>IF(AND(E737=1,B737="RECEIPT"),ROW(),0)</f>
        <v/>
      </c>
      <c r="I737">
        <f>IF(E737=1,IF(OR(B737="SALE",B737="WRITEOFF"),Transactions!E737,0),0)</f>
        <v/>
      </c>
      <c r="J737">
        <f>SUMIFS($F$1:F736,$A$1:A736,A737)</f>
        <v/>
      </c>
      <c r="K737">
        <f>SUMIFS($I$1:I736,$A$1:A736,A737)</f>
        <v/>
      </c>
      <c r="L737">
        <f>IFERROR(VLOOKUP(A737,Opening!$A:$C,3,0),0)</f>
        <v/>
      </c>
      <c r="M737">
        <f>IF(I737=0,0,MAX(0,MIN(INDEX(Month!H$2:H$13,MATCH($A737,Month!$A$2:$A$13,0))-K737,I737)))</f>
        <v/>
      </c>
      <c r="N737">
        <f>IF(I737=0,0,MAX(0,MIN(INDEX(Month!I$2:I$13,MATCH($A737,Month!$A$2:$A$13,0))-K737,I737)))</f>
        <v/>
      </c>
      <c r="O737">
        <f>IF(I737=0,0,MAX(0,MIN(INDEX(Month!J$2:J$13,MATCH($A737,Month!$A$2:$A$13,0))-K737,I737)))</f>
        <v/>
      </c>
      <c r="P737">
        <f>IF(I737=0,0,(MIN(MAX(K737,0),L737)*W737+SUMPRODUCT((Calc!$A$2:$A$1001=A737)*Calc!$G$2:$G$1001*(((K737-(L737+Calc!$J$2:$J$1001))&gt;0)*((K737-(L737+Calc!$J$2:$J$1001))&lt;Calc!$F$2:$F$1001)*(K737-(L737+Calc!$J$2:$J$1001))+((K737-(L737+Calc!$J$2:$J$1001))&gt;=Calc!$F$2:$F$1001)*Calc!$F$2:$F$1001))))</f>
        <v/>
      </c>
      <c r="Q737">
        <f>IF(I737=0,0,(MIN(MAX((K737+M737),0),L737)*W737+SUMPRODUCT((Calc!$A$2:$A$1001=A737)*Calc!$G$2:$G$1001*((((K737+M737)-(L737+Calc!$J$2:$J$1001))&gt;0)*(((K737+M737)-(L737+Calc!$J$2:$J$1001))&lt;Calc!$F$2:$F$1001)*((K737+M737)-(L737+Calc!$J$2:$J$1001))+(((K737+M737)-(L737+Calc!$J$2:$J$1001))&gt;=Calc!$F$2:$F$1001)*Calc!$F$2:$F$1001))))</f>
        <v/>
      </c>
      <c r="R737">
        <f>IF(I737=0,0,(MIN(MAX((K737+N737),0),L737)*W737+SUMPRODUCT((Calc!$A$2:$A$1001=A737)*Calc!$G$2:$G$1001*((((K737+N737)-(L737+Calc!$J$2:$J$1001))&gt;0)*(((K737+N737)-(L737+Calc!$J$2:$J$1001))&lt;Calc!$F$2:$F$1001)*((K737+N737)-(L737+Calc!$J$2:$J$1001))+(((K737+N737)-(L737+Calc!$J$2:$J$1001))&gt;=Calc!$F$2:$F$1001)*Calc!$F$2:$F$1001))))</f>
        <v/>
      </c>
      <c r="S737">
        <f>IF(I737=0,0,(MIN(MAX((K737+O737),0),L737)*W737+SUMPRODUCT((Calc!$A$2:$A$1001=A737)*Calc!$G$2:$G$1001*((((K737+O737)-(L737+Calc!$J$2:$J$1001))&gt;0)*(((K737+O737)-(L737+Calc!$J$2:$J$1001))&lt;Calc!$F$2:$F$1001)*((K737+O737)-(L737+Calc!$J$2:$J$1001))+(((K737+O737)-(L737+Calc!$J$2:$J$1001))&gt;=Calc!$F$2:$F$1001)*Calc!$F$2:$F$1001))))</f>
        <v/>
      </c>
      <c r="T737">
        <f>IF(AND(E737=1,B737="RETURN"),Transactions!E737*Transactions!G737,0)</f>
        <v/>
      </c>
      <c r="U737">
        <f>IF(AND(E737=1,B737="EXPENSE"),Transactions!J737,0)</f>
        <v/>
      </c>
      <c r="V737">
        <f>IF(AND(Transactions!A737&lt;&gt;"",E737=0),ROW(),"")</f>
        <v/>
      </c>
      <c r="W737">
        <f>IFERROR(VLOOKUP(A737,Opening!$A:$D,4,0),0)</f>
        <v/>
      </c>
    </row>
    <row r="738">
      <c r="A738">
        <f>IF(Transactions!D738="","",UPPER(TRIM(Transactions!D738)))</f>
        <v/>
      </c>
      <c r="B738">
        <f>IF(Transactions!C738="","",UPPER(TRIM(Transactions!C738)))</f>
        <v/>
      </c>
      <c r="C738">
        <f>IF(Transactions!B738="",0,YEAR(Transactions!B738)*100+MONTH(Transactions!B738))</f>
        <v/>
      </c>
      <c r="D738">
        <f>IF(Transactions!A738="",1,IF(COUNTIF(Transactions!$A$1:A737,Transactions!A738)&gt;0,1,0))</f>
        <v/>
      </c>
      <c r="E738">
        <f>IF(D738=1,0,IF(B738="RETURN",IF(COUNTIFS($A$1:A737,A738,$B$1:B737,"SALE",$E$1:E737,1)&gt;0,1,0),1))</f>
        <v/>
      </c>
      <c r="F738">
        <f>IF(E738=1,IF(B738="RECEIPT",Transactions!E738,IF(AND(B738="RETURN",LOWER(TRIM(Transactions!H738))="resellable"),Transactions!E738,0)),0)</f>
        <v/>
      </c>
      <c r="G738">
        <f>IF(F738&gt;0,IF(B738="RECEIPT",Transactions!F738,IF(_xlfn.MAXIFS($H$2:H738,$A$2:A738,A738)&gt;0,INDEX(Transactions!$F:$F,_xlfn.MAXIFS($H$2:H738,$A$2:A738,A738)),W738)),0)</f>
        <v/>
      </c>
      <c r="H738">
        <f>IF(AND(E738=1,B738="RECEIPT"),ROW(),0)</f>
        <v/>
      </c>
      <c r="I738">
        <f>IF(E738=1,IF(OR(B738="SALE",B738="WRITEOFF"),Transactions!E738,0),0)</f>
        <v/>
      </c>
      <c r="J738">
        <f>SUMIFS($F$1:F737,$A$1:A737,A738)</f>
        <v/>
      </c>
      <c r="K738">
        <f>SUMIFS($I$1:I737,$A$1:A737,A738)</f>
        <v/>
      </c>
      <c r="L738">
        <f>IFERROR(VLOOKUP(A738,Opening!$A:$C,3,0),0)</f>
        <v/>
      </c>
      <c r="M738">
        <f>IF(I738=0,0,MAX(0,MIN(INDEX(Month!H$2:H$13,MATCH($A738,Month!$A$2:$A$13,0))-K738,I738)))</f>
        <v/>
      </c>
      <c r="N738">
        <f>IF(I738=0,0,MAX(0,MIN(INDEX(Month!I$2:I$13,MATCH($A738,Month!$A$2:$A$13,0))-K738,I738)))</f>
        <v/>
      </c>
      <c r="O738">
        <f>IF(I738=0,0,MAX(0,MIN(INDEX(Month!J$2:J$13,MATCH($A738,Month!$A$2:$A$13,0))-K738,I738)))</f>
        <v/>
      </c>
      <c r="P738">
        <f>IF(I738=0,0,(MIN(MAX(K738,0),L738)*W738+SUMPRODUCT((Calc!$A$2:$A$1001=A738)*Calc!$G$2:$G$1001*(((K738-(L738+Calc!$J$2:$J$1001))&gt;0)*((K738-(L738+Calc!$J$2:$J$1001))&lt;Calc!$F$2:$F$1001)*(K738-(L738+Calc!$J$2:$J$1001))+((K738-(L738+Calc!$J$2:$J$1001))&gt;=Calc!$F$2:$F$1001)*Calc!$F$2:$F$1001))))</f>
        <v/>
      </c>
      <c r="Q738">
        <f>IF(I738=0,0,(MIN(MAX((K738+M738),0),L738)*W738+SUMPRODUCT((Calc!$A$2:$A$1001=A738)*Calc!$G$2:$G$1001*((((K738+M738)-(L738+Calc!$J$2:$J$1001))&gt;0)*(((K738+M738)-(L738+Calc!$J$2:$J$1001))&lt;Calc!$F$2:$F$1001)*((K738+M738)-(L738+Calc!$J$2:$J$1001))+(((K738+M738)-(L738+Calc!$J$2:$J$1001))&gt;=Calc!$F$2:$F$1001)*Calc!$F$2:$F$1001))))</f>
        <v/>
      </c>
      <c r="R738">
        <f>IF(I738=0,0,(MIN(MAX((K738+N738),0),L738)*W738+SUMPRODUCT((Calc!$A$2:$A$1001=A738)*Calc!$G$2:$G$1001*((((K738+N738)-(L738+Calc!$J$2:$J$1001))&gt;0)*(((K738+N738)-(L738+Calc!$J$2:$J$1001))&lt;Calc!$F$2:$F$1001)*((K738+N738)-(L738+Calc!$J$2:$J$1001))+(((K738+N738)-(L738+Calc!$J$2:$J$1001))&gt;=Calc!$F$2:$F$1001)*Calc!$F$2:$F$1001))))</f>
        <v/>
      </c>
      <c r="S738">
        <f>IF(I738=0,0,(MIN(MAX((K738+O738),0),L738)*W738+SUMPRODUCT((Calc!$A$2:$A$1001=A738)*Calc!$G$2:$G$1001*((((K738+O738)-(L738+Calc!$J$2:$J$1001))&gt;0)*(((K738+O738)-(L738+Calc!$J$2:$J$1001))&lt;Calc!$F$2:$F$1001)*((K738+O738)-(L738+Calc!$J$2:$J$1001))+(((K738+O738)-(L738+Calc!$J$2:$J$1001))&gt;=Calc!$F$2:$F$1001)*Calc!$F$2:$F$1001))))</f>
        <v/>
      </c>
      <c r="T738">
        <f>IF(AND(E738=1,B738="RETURN"),Transactions!E738*Transactions!G738,0)</f>
        <v/>
      </c>
      <c r="U738">
        <f>IF(AND(E738=1,B738="EXPENSE"),Transactions!J738,0)</f>
        <v/>
      </c>
      <c r="V738">
        <f>IF(AND(Transactions!A738&lt;&gt;"",E738=0),ROW(),"")</f>
        <v/>
      </c>
      <c r="W738">
        <f>IFERROR(VLOOKUP(A738,Opening!$A:$D,4,0),0)</f>
        <v/>
      </c>
    </row>
    <row r="739">
      <c r="A739">
        <f>IF(Transactions!D739="","",UPPER(TRIM(Transactions!D739)))</f>
        <v/>
      </c>
      <c r="B739">
        <f>IF(Transactions!C739="","",UPPER(TRIM(Transactions!C739)))</f>
        <v/>
      </c>
      <c r="C739">
        <f>IF(Transactions!B739="",0,YEAR(Transactions!B739)*100+MONTH(Transactions!B739))</f>
        <v/>
      </c>
      <c r="D739">
        <f>IF(Transactions!A739="",1,IF(COUNTIF(Transactions!$A$1:A738,Transactions!A739)&gt;0,1,0))</f>
        <v/>
      </c>
      <c r="E739">
        <f>IF(D739=1,0,IF(B739="RETURN",IF(COUNTIFS($A$1:A738,A739,$B$1:B738,"SALE",$E$1:E738,1)&gt;0,1,0),1))</f>
        <v/>
      </c>
      <c r="F739">
        <f>IF(E739=1,IF(B739="RECEIPT",Transactions!E739,IF(AND(B739="RETURN",LOWER(TRIM(Transactions!H739))="resellable"),Transactions!E739,0)),0)</f>
        <v/>
      </c>
      <c r="G739">
        <f>IF(F739&gt;0,IF(B739="RECEIPT",Transactions!F739,IF(_xlfn.MAXIFS($H$2:H739,$A$2:A739,A739)&gt;0,INDEX(Transactions!$F:$F,_xlfn.MAXIFS($H$2:H739,$A$2:A739,A739)),W739)),0)</f>
        <v/>
      </c>
      <c r="H739">
        <f>IF(AND(E739=1,B739="RECEIPT"),ROW(),0)</f>
        <v/>
      </c>
      <c r="I739">
        <f>IF(E739=1,IF(OR(B739="SALE",B739="WRITEOFF"),Transactions!E739,0),0)</f>
        <v/>
      </c>
      <c r="J739">
        <f>SUMIFS($F$1:F738,$A$1:A738,A739)</f>
        <v/>
      </c>
      <c r="K739">
        <f>SUMIFS($I$1:I738,$A$1:A738,A739)</f>
        <v/>
      </c>
      <c r="L739">
        <f>IFERROR(VLOOKUP(A739,Opening!$A:$C,3,0),0)</f>
        <v/>
      </c>
      <c r="M739">
        <f>IF(I739=0,0,MAX(0,MIN(INDEX(Month!H$2:H$13,MATCH($A739,Month!$A$2:$A$13,0))-K739,I739)))</f>
        <v/>
      </c>
      <c r="N739">
        <f>IF(I739=0,0,MAX(0,MIN(INDEX(Month!I$2:I$13,MATCH($A739,Month!$A$2:$A$13,0))-K739,I739)))</f>
        <v/>
      </c>
      <c r="O739">
        <f>IF(I739=0,0,MAX(0,MIN(INDEX(Month!J$2:J$13,MATCH($A739,Month!$A$2:$A$13,0))-K739,I739)))</f>
        <v/>
      </c>
      <c r="P739">
        <f>IF(I739=0,0,(MIN(MAX(K739,0),L739)*W739+SUMPRODUCT((Calc!$A$2:$A$1001=A739)*Calc!$G$2:$G$1001*(((K739-(L739+Calc!$J$2:$J$1001))&gt;0)*((K739-(L739+Calc!$J$2:$J$1001))&lt;Calc!$F$2:$F$1001)*(K739-(L739+Calc!$J$2:$J$1001))+((K739-(L739+Calc!$J$2:$J$1001))&gt;=Calc!$F$2:$F$1001)*Calc!$F$2:$F$1001))))</f>
        <v/>
      </c>
      <c r="Q739">
        <f>IF(I739=0,0,(MIN(MAX((K739+M739),0),L739)*W739+SUMPRODUCT((Calc!$A$2:$A$1001=A739)*Calc!$G$2:$G$1001*((((K739+M739)-(L739+Calc!$J$2:$J$1001))&gt;0)*(((K739+M739)-(L739+Calc!$J$2:$J$1001))&lt;Calc!$F$2:$F$1001)*((K739+M739)-(L739+Calc!$J$2:$J$1001))+(((K739+M739)-(L739+Calc!$J$2:$J$1001))&gt;=Calc!$F$2:$F$1001)*Calc!$F$2:$F$1001))))</f>
        <v/>
      </c>
      <c r="R739">
        <f>IF(I739=0,0,(MIN(MAX((K739+N739),0),L739)*W739+SUMPRODUCT((Calc!$A$2:$A$1001=A739)*Calc!$G$2:$G$1001*((((K739+N739)-(L739+Calc!$J$2:$J$1001))&gt;0)*(((K739+N739)-(L739+Calc!$J$2:$J$1001))&lt;Calc!$F$2:$F$1001)*((K739+N739)-(L739+Calc!$J$2:$J$1001))+(((K739+N739)-(L739+Calc!$J$2:$J$1001))&gt;=Calc!$F$2:$F$1001)*Calc!$F$2:$F$1001))))</f>
        <v/>
      </c>
      <c r="S739">
        <f>IF(I739=0,0,(MIN(MAX((K739+O739),0),L739)*W739+SUMPRODUCT((Calc!$A$2:$A$1001=A739)*Calc!$G$2:$G$1001*((((K739+O739)-(L739+Calc!$J$2:$J$1001))&gt;0)*(((K739+O739)-(L739+Calc!$J$2:$J$1001))&lt;Calc!$F$2:$F$1001)*((K739+O739)-(L739+Calc!$J$2:$J$1001))+(((K739+O739)-(L739+Calc!$J$2:$J$1001))&gt;=Calc!$F$2:$F$1001)*Calc!$F$2:$F$1001))))</f>
        <v/>
      </c>
      <c r="T739">
        <f>IF(AND(E739=1,B739="RETURN"),Transactions!E739*Transactions!G739,0)</f>
        <v/>
      </c>
      <c r="U739">
        <f>IF(AND(E739=1,B739="EXPENSE"),Transactions!J739,0)</f>
        <v/>
      </c>
      <c r="V739">
        <f>IF(AND(Transactions!A739&lt;&gt;"",E739=0),ROW(),"")</f>
        <v/>
      </c>
      <c r="W739">
        <f>IFERROR(VLOOKUP(A739,Opening!$A:$D,4,0),0)</f>
        <v/>
      </c>
    </row>
    <row r="740">
      <c r="A740">
        <f>IF(Transactions!D740="","",UPPER(TRIM(Transactions!D740)))</f>
        <v/>
      </c>
      <c r="B740">
        <f>IF(Transactions!C740="","",UPPER(TRIM(Transactions!C740)))</f>
        <v/>
      </c>
      <c r="C740">
        <f>IF(Transactions!B740="",0,YEAR(Transactions!B740)*100+MONTH(Transactions!B740))</f>
        <v/>
      </c>
      <c r="D740">
        <f>IF(Transactions!A740="",1,IF(COUNTIF(Transactions!$A$1:A739,Transactions!A740)&gt;0,1,0))</f>
        <v/>
      </c>
      <c r="E740">
        <f>IF(D740=1,0,IF(B740="RETURN",IF(COUNTIFS($A$1:A739,A740,$B$1:B739,"SALE",$E$1:E739,1)&gt;0,1,0),1))</f>
        <v/>
      </c>
      <c r="F740">
        <f>IF(E740=1,IF(B740="RECEIPT",Transactions!E740,IF(AND(B740="RETURN",LOWER(TRIM(Transactions!H740))="resellable"),Transactions!E740,0)),0)</f>
        <v/>
      </c>
      <c r="G740">
        <f>IF(F740&gt;0,IF(B740="RECEIPT",Transactions!F740,IF(_xlfn.MAXIFS($H$2:H740,$A$2:A740,A740)&gt;0,INDEX(Transactions!$F:$F,_xlfn.MAXIFS($H$2:H740,$A$2:A740,A740)),W740)),0)</f>
        <v/>
      </c>
      <c r="H740">
        <f>IF(AND(E740=1,B740="RECEIPT"),ROW(),0)</f>
        <v/>
      </c>
      <c r="I740">
        <f>IF(E740=1,IF(OR(B740="SALE",B740="WRITEOFF"),Transactions!E740,0),0)</f>
        <v/>
      </c>
      <c r="J740">
        <f>SUMIFS($F$1:F739,$A$1:A739,A740)</f>
        <v/>
      </c>
      <c r="K740">
        <f>SUMIFS($I$1:I739,$A$1:A739,A740)</f>
        <v/>
      </c>
      <c r="L740">
        <f>IFERROR(VLOOKUP(A740,Opening!$A:$C,3,0),0)</f>
        <v/>
      </c>
      <c r="M740">
        <f>IF(I740=0,0,MAX(0,MIN(INDEX(Month!H$2:H$13,MATCH($A740,Month!$A$2:$A$13,0))-K740,I740)))</f>
        <v/>
      </c>
      <c r="N740">
        <f>IF(I740=0,0,MAX(0,MIN(INDEX(Month!I$2:I$13,MATCH($A740,Month!$A$2:$A$13,0))-K740,I740)))</f>
        <v/>
      </c>
      <c r="O740">
        <f>IF(I740=0,0,MAX(0,MIN(INDEX(Month!J$2:J$13,MATCH($A740,Month!$A$2:$A$13,0))-K740,I740)))</f>
        <v/>
      </c>
      <c r="P740">
        <f>IF(I740=0,0,(MIN(MAX(K740,0),L740)*W740+SUMPRODUCT((Calc!$A$2:$A$1001=A740)*Calc!$G$2:$G$1001*(((K740-(L740+Calc!$J$2:$J$1001))&gt;0)*((K740-(L740+Calc!$J$2:$J$1001))&lt;Calc!$F$2:$F$1001)*(K740-(L740+Calc!$J$2:$J$1001))+((K740-(L740+Calc!$J$2:$J$1001))&gt;=Calc!$F$2:$F$1001)*Calc!$F$2:$F$1001))))</f>
        <v/>
      </c>
      <c r="Q740">
        <f>IF(I740=0,0,(MIN(MAX((K740+M740),0),L740)*W740+SUMPRODUCT((Calc!$A$2:$A$1001=A740)*Calc!$G$2:$G$1001*((((K740+M740)-(L740+Calc!$J$2:$J$1001))&gt;0)*(((K740+M740)-(L740+Calc!$J$2:$J$1001))&lt;Calc!$F$2:$F$1001)*((K740+M740)-(L740+Calc!$J$2:$J$1001))+(((K740+M740)-(L740+Calc!$J$2:$J$1001))&gt;=Calc!$F$2:$F$1001)*Calc!$F$2:$F$1001))))</f>
        <v/>
      </c>
      <c r="R740">
        <f>IF(I740=0,0,(MIN(MAX((K740+N740),0),L740)*W740+SUMPRODUCT((Calc!$A$2:$A$1001=A740)*Calc!$G$2:$G$1001*((((K740+N740)-(L740+Calc!$J$2:$J$1001))&gt;0)*(((K740+N740)-(L740+Calc!$J$2:$J$1001))&lt;Calc!$F$2:$F$1001)*((K740+N740)-(L740+Calc!$J$2:$J$1001))+(((K740+N740)-(L740+Calc!$J$2:$J$1001))&gt;=Calc!$F$2:$F$1001)*Calc!$F$2:$F$1001))))</f>
        <v/>
      </c>
      <c r="S740">
        <f>IF(I740=0,0,(MIN(MAX((K740+O740),0),L740)*W740+SUMPRODUCT((Calc!$A$2:$A$1001=A740)*Calc!$G$2:$G$1001*((((K740+O740)-(L740+Calc!$J$2:$J$1001))&gt;0)*(((K740+O740)-(L740+Calc!$J$2:$J$1001))&lt;Calc!$F$2:$F$1001)*((K740+O740)-(L740+Calc!$J$2:$J$1001))+(((K740+O740)-(L740+Calc!$J$2:$J$1001))&gt;=Calc!$F$2:$F$1001)*Calc!$F$2:$F$1001))))</f>
        <v/>
      </c>
      <c r="T740">
        <f>IF(AND(E740=1,B740="RETURN"),Transactions!E740*Transactions!G740,0)</f>
        <v/>
      </c>
      <c r="U740">
        <f>IF(AND(E740=1,B740="EXPENSE"),Transactions!J740,0)</f>
        <v/>
      </c>
      <c r="V740">
        <f>IF(AND(Transactions!A740&lt;&gt;"",E740=0),ROW(),"")</f>
        <v/>
      </c>
      <c r="W740">
        <f>IFERROR(VLOOKUP(A740,Opening!$A:$D,4,0),0)</f>
        <v/>
      </c>
    </row>
    <row r="741">
      <c r="A741">
        <f>IF(Transactions!D741="","",UPPER(TRIM(Transactions!D741)))</f>
        <v/>
      </c>
      <c r="B741">
        <f>IF(Transactions!C741="","",UPPER(TRIM(Transactions!C741)))</f>
        <v/>
      </c>
      <c r="C741">
        <f>IF(Transactions!B741="",0,YEAR(Transactions!B741)*100+MONTH(Transactions!B741))</f>
        <v/>
      </c>
      <c r="D741">
        <f>IF(Transactions!A741="",1,IF(COUNTIF(Transactions!$A$1:A740,Transactions!A741)&gt;0,1,0))</f>
        <v/>
      </c>
      <c r="E741">
        <f>IF(D741=1,0,IF(B741="RETURN",IF(COUNTIFS($A$1:A740,A741,$B$1:B740,"SALE",$E$1:E740,1)&gt;0,1,0),1))</f>
        <v/>
      </c>
      <c r="F741">
        <f>IF(E741=1,IF(B741="RECEIPT",Transactions!E741,IF(AND(B741="RETURN",LOWER(TRIM(Transactions!H741))="resellable"),Transactions!E741,0)),0)</f>
        <v/>
      </c>
      <c r="G741">
        <f>IF(F741&gt;0,IF(B741="RECEIPT",Transactions!F741,IF(_xlfn.MAXIFS($H$2:H741,$A$2:A741,A741)&gt;0,INDEX(Transactions!$F:$F,_xlfn.MAXIFS($H$2:H741,$A$2:A741,A741)),W741)),0)</f>
        <v/>
      </c>
      <c r="H741">
        <f>IF(AND(E741=1,B741="RECEIPT"),ROW(),0)</f>
        <v/>
      </c>
      <c r="I741">
        <f>IF(E741=1,IF(OR(B741="SALE",B741="WRITEOFF"),Transactions!E741,0),0)</f>
        <v/>
      </c>
      <c r="J741">
        <f>SUMIFS($F$1:F740,$A$1:A740,A741)</f>
        <v/>
      </c>
      <c r="K741">
        <f>SUMIFS($I$1:I740,$A$1:A740,A741)</f>
        <v/>
      </c>
      <c r="L741">
        <f>IFERROR(VLOOKUP(A741,Opening!$A:$C,3,0),0)</f>
        <v/>
      </c>
      <c r="M741">
        <f>IF(I741=0,0,MAX(0,MIN(INDEX(Month!H$2:H$13,MATCH($A741,Month!$A$2:$A$13,0))-K741,I741)))</f>
        <v/>
      </c>
      <c r="N741">
        <f>IF(I741=0,0,MAX(0,MIN(INDEX(Month!I$2:I$13,MATCH($A741,Month!$A$2:$A$13,0))-K741,I741)))</f>
        <v/>
      </c>
      <c r="O741">
        <f>IF(I741=0,0,MAX(0,MIN(INDEX(Month!J$2:J$13,MATCH($A741,Month!$A$2:$A$13,0))-K741,I741)))</f>
        <v/>
      </c>
      <c r="P741">
        <f>IF(I741=0,0,(MIN(MAX(K741,0),L741)*W741+SUMPRODUCT((Calc!$A$2:$A$1001=A741)*Calc!$G$2:$G$1001*(((K741-(L741+Calc!$J$2:$J$1001))&gt;0)*((K741-(L741+Calc!$J$2:$J$1001))&lt;Calc!$F$2:$F$1001)*(K741-(L741+Calc!$J$2:$J$1001))+((K741-(L741+Calc!$J$2:$J$1001))&gt;=Calc!$F$2:$F$1001)*Calc!$F$2:$F$1001))))</f>
        <v/>
      </c>
      <c r="Q741">
        <f>IF(I741=0,0,(MIN(MAX((K741+M741),0),L741)*W741+SUMPRODUCT((Calc!$A$2:$A$1001=A741)*Calc!$G$2:$G$1001*((((K741+M741)-(L741+Calc!$J$2:$J$1001))&gt;0)*(((K741+M741)-(L741+Calc!$J$2:$J$1001))&lt;Calc!$F$2:$F$1001)*((K741+M741)-(L741+Calc!$J$2:$J$1001))+(((K741+M741)-(L741+Calc!$J$2:$J$1001))&gt;=Calc!$F$2:$F$1001)*Calc!$F$2:$F$1001))))</f>
        <v/>
      </c>
      <c r="R741">
        <f>IF(I741=0,0,(MIN(MAX((K741+N741),0),L741)*W741+SUMPRODUCT((Calc!$A$2:$A$1001=A741)*Calc!$G$2:$G$1001*((((K741+N741)-(L741+Calc!$J$2:$J$1001))&gt;0)*(((K741+N741)-(L741+Calc!$J$2:$J$1001))&lt;Calc!$F$2:$F$1001)*((K741+N741)-(L741+Calc!$J$2:$J$1001))+(((K741+N741)-(L741+Calc!$J$2:$J$1001))&gt;=Calc!$F$2:$F$1001)*Calc!$F$2:$F$1001))))</f>
        <v/>
      </c>
      <c r="S741">
        <f>IF(I741=0,0,(MIN(MAX((K741+O741),0),L741)*W741+SUMPRODUCT((Calc!$A$2:$A$1001=A741)*Calc!$G$2:$G$1001*((((K741+O741)-(L741+Calc!$J$2:$J$1001))&gt;0)*(((K741+O741)-(L741+Calc!$J$2:$J$1001))&lt;Calc!$F$2:$F$1001)*((K741+O741)-(L741+Calc!$J$2:$J$1001))+(((K741+O741)-(L741+Calc!$J$2:$J$1001))&gt;=Calc!$F$2:$F$1001)*Calc!$F$2:$F$1001))))</f>
        <v/>
      </c>
      <c r="T741">
        <f>IF(AND(E741=1,B741="RETURN"),Transactions!E741*Transactions!G741,0)</f>
        <v/>
      </c>
      <c r="U741">
        <f>IF(AND(E741=1,B741="EXPENSE"),Transactions!J741,0)</f>
        <v/>
      </c>
      <c r="V741">
        <f>IF(AND(Transactions!A741&lt;&gt;"",E741=0),ROW(),"")</f>
        <v/>
      </c>
      <c r="W741">
        <f>IFERROR(VLOOKUP(A741,Opening!$A:$D,4,0),0)</f>
        <v/>
      </c>
    </row>
    <row r="742">
      <c r="A742">
        <f>IF(Transactions!D742="","",UPPER(TRIM(Transactions!D742)))</f>
        <v/>
      </c>
      <c r="B742">
        <f>IF(Transactions!C742="","",UPPER(TRIM(Transactions!C742)))</f>
        <v/>
      </c>
      <c r="C742">
        <f>IF(Transactions!B742="",0,YEAR(Transactions!B742)*100+MONTH(Transactions!B742))</f>
        <v/>
      </c>
      <c r="D742">
        <f>IF(Transactions!A742="",1,IF(COUNTIF(Transactions!$A$1:A741,Transactions!A742)&gt;0,1,0))</f>
        <v/>
      </c>
      <c r="E742">
        <f>IF(D742=1,0,IF(B742="RETURN",IF(COUNTIFS($A$1:A741,A742,$B$1:B741,"SALE",$E$1:E741,1)&gt;0,1,0),1))</f>
        <v/>
      </c>
      <c r="F742">
        <f>IF(E742=1,IF(B742="RECEIPT",Transactions!E742,IF(AND(B742="RETURN",LOWER(TRIM(Transactions!H742))="resellable"),Transactions!E742,0)),0)</f>
        <v/>
      </c>
      <c r="G742">
        <f>IF(F742&gt;0,IF(B742="RECEIPT",Transactions!F742,IF(_xlfn.MAXIFS($H$2:H742,$A$2:A742,A742)&gt;0,INDEX(Transactions!$F:$F,_xlfn.MAXIFS($H$2:H742,$A$2:A742,A742)),W742)),0)</f>
        <v/>
      </c>
      <c r="H742">
        <f>IF(AND(E742=1,B742="RECEIPT"),ROW(),0)</f>
        <v/>
      </c>
      <c r="I742">
        <f>IF(E742=1,IF(OR(B742="SALE",B742="WRITEOFF"),Transactions!E742,0),0)</f>
        <v/>
      </c>
      <c r="J742">
        <f>SUMIFS($F$1:F741,$A$1:A741,A742)</f>
        <v/>
      </c>
      <c r="K742">
        <f>SUMIFS($I$1:I741,$A$1:A741,A742)</f>
        <v/>
      </c>
      <c r="L742">
        <f>IFERROR(VLOOKUP(A742,Opening!$A:$C,3,0),0)</f>
        <v/>
      </c>
      <c r="M742">
        <f>IF(I742=0,0,MAX(0,MIN(INDEX(Month!H$2:H$13,MATCH($A742,Month!$A$2:$A$13,0))-K742,I742)))</f>
        <v/>
      </c>
      <c r="N742">
        <f>IF(I742=0,0,MAX(0,MIN(INDEX(Month!I$2:I$13,MATCH($A742,Month!$A$2:$A$13,0))-K742,I742)))</f>
        <v/>
      </c>
      <c r="O742">
        <f>IF(I742=0,0,MAX(0,MIN(INDEX(Month!J$2:J$13,MATCH($A742,Month!$A$2:$A$13,0))-K742,I742)))</f>
        <v/>
      </c>
      <c r="P742">
        <f>IF(I742=0,0,(MIN(MAX(K742,0),L742)*W742+SUMPRODUCT((Calc!$A$2:$A$1001=A742)*Calc!$G$2:$G$1001*(((K742-(L742+Calc!$J$2:$J$1001))&gt;0)*((K742-(L742+Calc!$J$2:$J$1001))&lt;Calc!$F$2:$F$1001)*(K742-(L742+Calc!$J$2:$J$1001))+((K742-(L742+Calc!$J$2:$J$1001))&gt;=Calc!$F$2:$F$1001)*Calc!$F$2:$F$1001))))</f>
        <v/>
      </c>
      <c r="Q742">
        <f>IF(I742=0,0,(MIN(MAX((K742+M742),0),L742)*W742+SUMPRODUCT((Calc!$A$2:$A$1001=A742)*Calc!$G$2:$G$1001*((((K742+M742)-(L742+Calc!$J$2:$J$1001))&gt;0)*(((K742+M742)-(L742+Calc!$J$2:$J$1001))&lt;Calc!$F$2:$F$1001)*((K742+M742)-(L742+Calc!$J$2:$J$1001))+(((K742+M742)-(L742+Calc!$J$2:$J$1001))&gt;=Calc!$F$2:$F$1001)*Calc!$F$2:$F$1001))))</f>
        <v/>
      </c>
      <c r="R742">
        <f>IF(I742=0,0,(MIN(MAX((K742+N742),0),L742)*W742+SUMPRODUCT((Calc!$A$2:$A$1001=A742)*Calc!$G$2:$G$1001*((((K742+N742)-(L742+Calc!$J$2:$J$1001))&gt;0)*(((K742+N742)-(L742+Calc!$J$2:$J$1001))&lt;Calc!$F$2:$F$1001)*((K742+N742)-(L742+Calc!$J$2:$J$1001))+(((K742+N742)-(L742+Calc!$J$2:$J$1001))&gt;=Calc!$F$2:$F$1001)*Calc!$F$2:$F$1001))))</f>
        <v/>
      </c>
      <c r="S742">
        <f>IF(I742=0,0,(MIN(MAX((K742+O742),0),L742)*W742+SUMPRODUCT((Calc!$A$2:$A$1001=A742)*Calc!$G$2:$G$1001*((((K742+O742)-(L742+Calc!$J$2:$J$1001))&gt;0)*(((K742+O742)-(L742+Calc!$J$2:$J$1001))&lt;Calc!$F$2:$F$1001)*((K742+O742)-(L742+Calc!$J$2:$J$1001))+(((K742+O742)-(L742+Calc!$J$2:$J$1001))&gt;=Calc!$F$2:$F$1001)*Calc!$F$2:$F$1001))))</f>
        <v/>
      </c>
      <c r="T742">
        <f>IF(AND(E742=1,B742="RETURN"),Transactions!E742*Transactions!G742,0)</f>
        <v/>
      </c>
      <c r="U742">
        <f>IF(AND(E742=1,B742="EXPENSE"),Transactions!J742,0)</f>
        <v/>
      </c>
      <c r="V742">
        <f>IF(AND(Transactions!A742&lt;&gt;"",E742=0),ROW(),"")</f>
        <v/>
      </c>
      <c r="W742">
        <f>IFERROR(VLOOKUP(A742,Opening!$A:$D,4,0),0)</f>
        <v/>
      </c>
    </row>
    <row r="743">
      <c r="A743">
        <f>IF(Transactions!D743="","",UPPER(TRIM(Transactions!D743)))</f>
        <v/>
      </c>
      <c r="B743">
        <f>IF(Transactions!C743="","",UPPER(TRIM(Transactions!C743)))</f>
        <v/>
      </c>
      <c r="C743">
        <f>IF(Transactions!B743="",0,YEAR(Transactions!B743)*100+MONTH(Transactions!B743))</f>
        <v/>
      </c>
      <c r="D743">
        <f>IF(Transactions!A743="",1,IF(COUNTIF(Transactions!$A$1:A742,Transactions!A743)&gt;0,1,0))</f>
        <v/>
      </c>
      <c r="E743">
        <f>IF(D743=1,0,IF(B743="RETURN",IF(COUNTIFS($A$1:A742,A743,$B$1:B742,"SALE",$E$1:E742,1)&gt;0,1,0),1))</f>
        <v/>
      </c>
      <c r="F743">
        <f>IF(E743=1,IF(B743="RECEIPT",Transactions!E743,IF(AND(B743="RETURN",LOWER(TRIM(Transactions!H743))="resellable"),Transactions!E743,0)),0)</f>
        <v/>
      </c>
      <c r="G743">
        <f>IF(F743&gt;0,IF(B743="RECEIPT",Transactions!F743,IF(_xlfn.MAXIFS($H$2:H743,$A$2:A743,A743)&gt;0,INDEX(Transactions!$F:$F,_xlfn.MAXIFS($H$2:H743,$A$2:A743,A743)),W743)),0)</f>
        <v/>
      </c>
      <c r="H743">
        <f>IF(AND(E743=1,B743="RECEIPT"),ROW(),0)</f>
        <v/>
      </c>
      <c r="I743">
        <f>IF(E743=1,IF(OR(B743="SALE",B743="WRITEOFF"),Transactions!E743,0),0)</f>
        <v/>
      </c>
      <c r="J743">
        <f>SUMIFS($F$1:F742,$A$1:A742,A743)</f>
        <v/>
      </c>
      <c r="K743">
        <f>SUMIFS($I$1:I742,$A$1:A742,A743)</f>
        <v/>
      </c>
      <c r="L743">
        <f>IFERROR(VLOOKUP(A743,Opening!$A:$C,3,0),0)</f>
        <v/>
      </c>
      <c r="M743">
        <f>IF(I743=0,0,MAX(0,MIN(INDEX(Month!H$2:H$13,MATCH($A743,Month!$A$2:$A$13,0))-K743,I743)))</f>
        <v/>
      </c>
      <c r="N743">
        <f>IF(I743=0,0,MAX(0,MIN(INDEX(Month!I$2:I$13,MATCH($A743,Month!$A$2:$A$13,0))-K743,I743)))</f>
        <v/>
      </c>
      <c r="O743">
        <f>IF(I743=0,0,MAX(0,MIN(INDEX(Month!J$2:J$13,MATCH($A743,Month!$A$2:$A$13,0))-K743,I743)))</f>
        <v/>
      </c>
      <c r="P743">
        <f>IF(I743=0,0,(MIN(MAX(K743,0),L743)*W743+SUMPRODUCT((Calc!$A$2:$A$1001=A743)*Calc!$G$2:$G$1001*(((K743-(L743+Calc!$J$2:$J$1001))&gt;0)*((K743-(L743+Calc!$J$2:$J$1001))&lt;Calc!$F$2:$F$1001)*(K743-(L743+Calc!$J$2:$J$1001))+((K743-(L743+Calc!$J$2:$J$1001))&gt;=Calc!$F$2:$F$1001)*Calc!$F$2:$F$1001))))</f>
        <v/>
      </c>
      <c r="Q743">
        <f>IF(I743=0,0,(MIN(MAX((K743+M743),0),L743)*W743+SUMPRODUCT((Calc!$A$2:$A$1001=A743)*Calc!$G$2:$G$1001*((((K743+M743)-(L743+Calc!$J$2:$J$1001))&gt;0)*(((K743+M743)-(L743+Calc!$J$2:$J$1001))&lt;Calc!$F$2:$F$1001)*((K743+M743)-(L743+Calc!$J$2:$J$1001))+(((K743+M743)-(L743+Calc!$J$2:$J$1001))&gt;=Calc!$F$2:$F$1001)*Calc!$F$2:$F$1001))))</f>
        <v/>
      </c>
      <c r="R743">
        <f>IF(I743=0,0,(MIN(MAX((K743+N743),0),L743)*W743+SUMPRODUCT((Calc!$A$2:$A$1001=A743)*Calc!$G$2:$G$1001*((((K743+N743)-(L743+Calc!$J$2:$J$1001))&gt;0)*(((K743+N743)-(L743+Calc!$J$2:$J$1001))&lt;Calc!$F$2:$F$1001)*((K743+N743)-(L743+Calc!$J$2:$J$1001))+(((K743+N743)-(L743+Calc!$J$2:$J$1001))&gt;=Calc!$F$2:$F$1001)*Calc!$F$2:$F$1001))))</f>
        <v/>
      </c>
      <c r="S743">
        <f>IF(I743=0,0,(MIN(MAX((K743+O743),0),L743)*W743+SUMPRODUCT((Calc!$A$2:$A$1001=A743)*Calc!$G$2:$G$1001*((((K743+O743)-(L743+Calc!$J$2:$J$1001))&gt;0)*(((K743+O743)-(L743+Calc!$J$2:$J$1001))&lt;Calc!$F$2:$F$1001)*((K743+O743)-(L743+Calc!$J$2:$J$1001))+(((K743+O743)-(L743+Calc!$J$2:$J$1001))&gt;=Calc!$F$2:$F$1001)*Calc!$F$2:$F$1001))))</f>
        <v/>
      </c>
      <c r="T743">
        <f>IF(AND(E743=1,B743="RETURN"),Transactions!E743*Transactions!G743,0)</f>
        <v/>
      </c>
      <c r="U743">
        <f>IF(AND(E743=1,B743="EXPENSE"),Transactions!J743,0)</f>
        <v/>
      </c>
      <c r="V743">
        <f>IF(AND(Transactions!A743&lt;&gt;"",E743=0),ROW(),"")</f>
        <v/>
      </c>
      <c r="W743">
        <f>IFERROR(VLOOKUP(A743,Opening!$A:$D,4,0),0)</f>
        <v/>
      </c>
    </row>
    <row r="744">
      <c r="A744">
        <f>IF(Transactions!D744="","",UPPER(TRIM(Transactions!D744)))</f>
        <v/>
      </c>
      <c r="B744">
        <f>IF(Transactions!C744="","",UPPER(TRIM(Transactions!C744)))</f>
        <v/>
      </c>
      <c r="C744">
        <f>IF(Transactions!B744="",0,YEAR(Transactions!B744)*100+MONTH(Transactions!B744))</f>
        <v/>
      </c>
      <c r="D744">
        <f>IF(Transactions!A744="",1,IF(COUNTIF(Transactions!$A$1:A743,Transactions!A744)&gt;0,1,0))</f>
        <v/>
      </c>
      <c r="E744">
        <f>IF(D744=1,0,IF(B744="RETURN",IF(COUNTIFS($A$1:A743,A744,$B$1:B743,"SALE",$E$1:E743,1)&gt;0,1,0),1))</f>
        <v/>
      </c>
      <c r="F744">
        <f>IF(E744=1,IF(B744="RECEIPT",Transactions!E744,IF(AND(B744="RETURN",LOWER(TRIM(Transactions!H744))="resellable"),Transactions!E744,0)),0)</f>
        <v/>
      </c>
      <c r="G744">
        <f>IF(F744&gt;0,IF(B744="RECEIPT",Transactions!F744,IF(_xlfn.MAXIFS($H$2:H744,$A$2:A744,A744)&gt;0,INDEX(Transactions!$F:$F,_xlfn.MAXIFS($H$2:H744,$A$2:A744,A744)),W744)),0)</f>
        <v/>
      </c>
      <c r="H744">
        <f>IF(AND(E744=1,B744="RECEIPT"),ROW(),0)</f>
        <v/>
      </c>
      <c r="I744">
        <f>IF(E744=1,IF(OR(B744="SALE",B744="WRITEOFF"),Transactions!E744,0),0)</f>
        <v/>
      </c>
      <c r="J744">
        <f>SUMIFS($F$1:F743,$A$1:A743,A744)</f>
        <v/>
      </c>
      <c r="K744">
        <f>SUMIFS($I$1:I743,$A$1:A743,A744)</f>
        <v/>
      </c>
      <c r="L744">
        <f>IFERROR(VLOOKUP(A744,Opening!$A:$C,3,0),0)</f>
        <v/>
      </c>
      <c r="M744">
        <f>IF(I744=0,0,MAX(0,MIN(INDEX(Month!H$2:H$13,MATCH($A744,Month!$A$2:$A$13,0))-K744,I744)))</f>
        <v/>
      </c>
      <c r="N744">
        <f>IF(I744=0,0,MAX(0,MIN(INDEX(Month!I$2:I$13,MATCH($A744,Month!$A$2:$A$13,0))-K744,I744)))</f>
        <v/>
      </c>
      <c r="O744">
        <f>IF(I744=0,0,MAX(0,MIN(INDEX(Month!J$2:J$13,MATCH($A744,Month!$A$2:$A$13,0))-K744,I744)))</f>
        <v/>
      </c>
      <c r="P744">
        <f>IF(I744=0,0,(MIN(MAX(K744,0),L744)*W744+SUMPRODUCT((Calc!$A$2:$A$1001=A744)*Calc!$G$2:$G$1001*(((K744-(L744+Calc!$J$2:$J$1001))&gt;0)*((K744-(L744+Calc!$J$2:$J$1001))&lt;Calc!$F$2:$F$1001)*(K744-(L744+Calc!$J$2:$J$1001))+((K744-(L744+Calc!$J$2:$J$1001))&gt;=Calc!$F$2:$F$1001)*Calc!$F$2:$F$1001))))</f>
        <v/>
      </c>
      <c r="Q744">
        <f>IF(I744=0,0,(MIN(MAX((K744+M744),0),L744)*W744+SUMPRODUCT((Calc!$A$2:$A$1001=A744)*Calc!$G$2:$G$1001*((((K744+M744)-(L744+Calc!$J$2:$J$1001))&gt;0)*(((K744+M744)-(L744+Calc!$J$2:$J$1001))&lt;Calc!$F$2:$F$1001)*((K744+M744)-(L744+Calc!$J$2:$J$1001))+(((K744+M744)-(L744+Calc!$J$2:$J$1001))&gt;=Calc!$F$2:$F$1001)*Calc!$F$2:$F$1001))))</f>
        <v/>
      </c>
      <c r="R744">
        <f>IF(I744=0,0,(MIN(MAX((K744+N744),0),L744)*W744+SUMPRODUCT((Calc!$A$2:$A$1001=A744)*Calc!$G$2:$G$1001*((((K744+N744)-(L744+Calc!$J$2:$J$1001))&gt;0)*(((K744+N744)-(L744+Calc!$J$2:$J$1001))&lt;Calc!$F$2:$F$1001)*((K744+N744)-(L744+Calc!$J$2:$J$1001))+(((K744+N744)-(L744+Calc!$J$2:$J$1001))&gt;=Calc!$F$2:$F$1001)*Calc!$F$2:$F$1001))))</f>
        <v/>
      </c>
      <c r="S744">
        <f>IF(I744=0,0,(MIN(MAX((K744+O744),0),L744)*W744+SUMPRODUCT((Calc!$A$2:$A$1001=A744)*Calc!$G$2:$G$1001*((((K744+O744)-(L744+Calc!$J$2:$J$1001))&gt;0)*(((K744+O744)-(L744+Calc!$J$2:$J$1001))&lt;Calc!$F$2:$F$1001)*((K744+O744)-(L744+Calc!$J$2:$J$1001))+(((K744+O744)-(L744+Calc!$J$2:$J$1001))&gt;=Calc!$F$2:$F$1001)*Calc!$F$2:$F$1001))))</f>
        <v/>
      </c>
      <c r="T744">
        <f>IF(AND(E744=1,B744="RETURN"),Transactions!E744*Transactions!G744,0)</f>
        <v/>
      </c>
      <c r="U744">
        <f>IF(AND(E744=1,B744="EXPENSE"),Transactions!J744,0)</f>
        <v/>
      </c>
      <c r="V744">
        <f>IF(AND(Transactions!A744&lt;&gt;"",E744=0),ROW(),"")</f>
        <v/>
      </c>
      <c r="W744">
        <f>IFERROR(VLOOKUP(A744,Opening!$A:$D,4,0),0)</f>
        <v/>
      </c>
    </row>
    <row r="745">
      <c r="A745">
        <f>IF(Transactions!D745="","",UPPER(TRIM(Transactions!D745)))</f>
        <v/>
      </c>
      <c r="B745">
        <f>IF(Transactions!C745="","",UPPER(TRIM(Transactions!C745)))</f>
        <v/>
      </c>
      <c r="C745">
        <f>IF(Transactions!B745="",0,YEAR(Transactions!B745)*100+MONTH(Transactions!B745))</f>
        <v/>
      </c>
      <c r="D745">
        <f>IF(Transactions!A745="",1,IF(COUNTIF(Transactions!$A$1:A744,Transactions!A745)&gt;0,1,0))</f>
        <v/>
      </c>
      <c r="E745">
        <f>IF(D745=1,0,IF(B745="RETURN",IF(COUNTIFS($A$1:A744,A745,$B$1:B744,"SALE",$E$1:E744,1)&gt;0,1,0),1))</f>
        <v/>
      </c>
      <c r="F745">
        <f>IF(E745=1,IF(B745="RECEIPT",Transactions!E745,IF(AND(B745="RETURN",LOWER(TRIM(Transactions!H745))="resellable"),Transactions!E745,0)),0)</f>
        <v/>
      </c>
      <c r="G745">
        <f>IF(F745&gt;0,IF(B745="RECEIPT",Transactions!F745,IF(_xlfn.MAXIFS($H$2:H745,$A$2:A745,A745)&gt;0,INDEX(Transactions!$F:$F,_xlfn.MAXIFS($H$2:H745,$A$2:A745,A745)),W745)),0)</f>
        <v/>
      </c>
      <c r="H745">
        <f>IF(AND(E745=1,B745="RECEIPT"),ROW(),0)</f>
        <v/>
      </c>
      <c r="I745">
        <f>IF(E745=1,IF(OR(B745="SALE",B745="WRITEOFF"),Transactions!E745,0),0)</f>
        <v/>
      </c>
      <c r="J745">
        <f>SUMIFS($F$1:F744,$A$1:A744,A745)</f>
        <v/>
      </c>
      <c r="K745">
        <f>SUMIFS($I$1:I744,$A$1:A744,A745)</f>
        <v/>
      </c>
      <c r="L745">
        <f>IFERROR(VLOOKUP(A745,Opening!$A:$C,3,0),0)</f>
        <v/>
      </c>
      <c r="M745">
        <f>IF(I745=0,0,MAX(0,MIN(INDEX(Month!H$2:H$13,MATCH($A745,Month!$A$2:$A$13,0))-K745,I745)))</f>
        <v/>
      </c>
      <c r="N745">
        <f>IF(I745=0,0,MAX(0,MIN(INDEX(Month!I$2:I$13,MATCH($A745,Month!$A$2:$A$13,0))-K745,I745)))</f>
        <v/>
      </c>
      <c r="O745">
        <f>IF(I745=0,0,MAX(0,MIN(INDEX(Month!J$2:J$13,MATCH($A745,Month!$A$2:$A$13,0))-K745,I745)))</f>
        <v/>
      </c>
      <c r="P745">
        <f>IF(I745=0,0,(MIN(MAX(K745,0),L745)*W745+SUMPRODUCT((Calc!$A$2:$A$1001=A745)*Calc!$G$2:$G$1001*(((K745-(L745+Calc!$J$2:$J$1001))&gt;0)*((K745-(L745+Calc!$J$2:$J$1001))&lt;Calc!$F$2:$F$1001)*(K745-(L745+Calc!$J$2:$J$1001))+((K745-(L745+Calc!$J$2:$J$1001))&gt;=Calc!$F$2:$F$1001)*Calc!$F$2:$F$1001))))</f>
        <v/>
      </c>
      <c r="Q745">
        <f>IF(I745=0,0,(MIN(MAX((K745+M745),0),L745)*W745+SUMPRODUCT((Calc!$A$2:$A$1001=A745)*Calc!$G$2:$G$1001*((((K745+M745)-(L745+Calc!$J$2:$J$1001))&gt;0)*(((K745+M745)-(L745+Calc!$J$2:$J$1001))&lt;Calc!$F$2:$F$1001)*((K745+M745)-(L745+Calc!$J$2:$J$1001))+(((K745+M745)-(L745+Calc!$J$2:$J$1001))&gt;=Calc!$F$2:$F$1001)*Calc!$F$2:$F$1001))))</f>
        <v/>
      </c>
      <c r="R745">
        <f>IF(I745=0,0,(MIN(MAX((K745+N745),0),L745)*W745+SUMPRODUCT((Calc!$A$2:$A$1001=A745)*Calc!$G$2:$G$1001*((((K745+N745)-(L745+Calc!$J$2:$J$1001))&gt;0)*(((K745+N745)-(L745+Calc!$J$2:$J$1001))&lt;Calc!$F$2:$F$1001)*((K745+N745)-(L745+Calc!$J$2:$J$1001))+(((K745+N745)-(L745+Calc!$J$2:$J$1001))&gt;=Calc!$F$2:$F$1001)*Calc!$F$2:$F$1001))))</f>
        <v/>
      </c>
      <c r="S745">
        <f>IF(I745=0,0,(MIN(MAX((K745+O745),0),L745)*W745+SUMPRODUCT((Calc!$A$2:$A$1001=A745)*Calc!$G$2:$G$1001*((((K745+O745)-(L745+Calc!$J$2:$J$1001))&gt;0)*(((K745+O745)-(L745+Calc!$J$2:$J$1001))&lt;Calc!$F$2:$F$1001)*((K745+O745)-(L745+Calc!$J$2:$J$1001))+(((K745+O745)-(L745+Calc!$J$2:$J$1001))&gt;=Calc!$F$2:$F$1001)*Calc!$F$2:$F$1001))))</f>
        <v/>
      </c>
      <c r="T745">
        <f>IF(AND(E745=1,B745="RETURN"),Transactions!E745*Transactions!G745,0)</f>
        <v/>
      </c>
      <c r="U745">
        <f>IF(AND(E745=1,B745="EXPENSE"),Transactions!J745,0)</f>
        <v/>
      </c>
      <c r="V745">
        <f>IF(AND(Transactions!A745&lt;&gt;"",E745=0),ROW(),"")</f>
        <v/>
      </c>
      <c r="W745">
        <f>IFERROR(VLOOKUP(A745,Opening!$A:$D,4,0),0)</f>
        <v/>
      </c>
    </row>
    <row r="746">
      <c r="A746">
        <f>IF(Transactions!D746="","",UPPER(TRIM(Transactions!D746)))</f>
        <v/>
      </c>
      <c r="B746">
        <f>IF(Transactions!C746="","",UPPER(TRIM(Transactions!C746)))</f>
        <v/>
      </c>
      <c r="C746">
        <f>IF(Transactions!B746="",0,YEAR(Transactions!B746)*100+MONTH(Transactions!B746))</f>
        <v/>
      </c>
      <c r="D746">
        <f>IF(Transactions!A746="",1,IF(COUNTIF(Transactions!$A$1:A745,Transactions!A746)&gt;0,1,0))</f>
        <v/>
      </c>
      <c r="E746">
        <f>IF(D746=1,0,IF(B746="RETURN",IF(COUNTIFS($A$1:A745,A746,$B$1:B745,"SALE",$E$1:E745,1)&gt;0,1,0),1))</f>
        <v/>
      </c>
      <c r="F746">
        <f>IF(E746=1,IF(B746="RECEIPT",Transactions!E746,IF(AND(B746="RETURN",LOWER(TRIM(Transactions!H746))="resellable"),Transactions!E746,0)),0)</f>
        <v/>
      </c>
      <c r="G746">
        <f>IF(F746&gt;0,IF(B746="RECEIPT",Transactions!F746,IF(_xlfn.MAXIFS($H$2:H746,$A$2:A746,A746)&gt;0,INDEX(Transactions!$F:$F,_xlfn.MAXIFS($H$2:H746,$A$2:A746,A746)),W746)),0)</f>
        <v/>
      </c>
      <c r="H746">
        <f>IF(AND(E746=1,B746="RECEIPT"),ROW(),0)</f>
        <v/>
      </c>
      <c r="I746">
        <f>IF(E746=1,IF(OR(B746="SALE",B746="WRITEOFF"),Transactions!E746,0),0)</f>
        <v/>
      </c>
      <c r="J746">
        <f>SUMIFS($F$1:F745,$A$1:A745,A746)</f>
        <v/>
      </c>
      <c r="K746">
        <f>SUMIFS($I$1:I745,$A$1:A745,A746)</f>
        <v/>
      </c>
      <c r="L746">
        <f>IFERROR(VLOOKUP(A746,Opening!$A:$C,3,0),0)</f>
        <v/>
      </c>
      <c r="M746">
        <f>IF(I746=0,0,MAX(0,MIN(INDEX(Month!H$2:H$13,MATCH($A746,Month!$A$2:$A$13,0))-K746,I746)))</f>
        <v/>
      </c>
      <c r="N746">
        <f>IF(I746=0,0,MAX(0,MIN(INDEX(Month!I$2:I$13,MATCH($A746,Month!$A$2:$A$13,0))-K746,I746)))</f>
        <v/>
      </c>
      <c r="O746">
        <f>IF(I746=0,0,MAX(0,MIN(INDEX(Month!J$2:J$13,MATCH($A746,Month!$A$2:$A$13,0))-K746,I746)))</f>
        <v/>
      </c>
      <c r="P746">
        <f>IF(I746=0,0,(MIN(MAX(K746,0),L746)*W746+SUMPRODUCT((Calc!$A$2:$A$1001=A746)*Calc!$G$2:$G$1001*(((K746-(L746+Calc!$J$2:$J$1001))&gt;0)*((K746-(L746+Calc!$J$2:$J$1001))&lt;Calc!$F$2:$F$1001)*(K746-(L746+Calc!$J$2:$J$1001))+((K746-(L746+Calc!$J$2:$J$1001))&gt;=Calc!$F$2:$F$1001)*Calc!$F$2:$F$1001))))</f>
        <v/>
      </c>
      <c r="Q746">
        <f>IF(I746=0,0,(MIN(MAX((K746+M746),0),L746)*W746+SUMPRODUCT((Calc!$A$2:$A$1001=A746)*Calc!$G$2:$G$1001*((((K746+M746)-(L746+Calc!$J$2:$J$1001))&gt;0)*(((K746+M746)-(L746+Calc!$J$2:$J$1001))&lt;Calc!$F$2:$F$1001)*((K746+M746)-(L746+Calc!$J$2:$J$1001))+(((K746+M746)-(L746+Calc!$J$2:$J$1001))&gt;=Calc!$F$2:$F$1001)*Calc!$F$2:$F$1001))))</f>
        <v/>
      </c>
      <c r="R746">
        <f>IF(I746=0,0,(MIN(MAX((K746+N746),0),L746)*W746+SUMPRODUCT((Calc!$A$2:$A$1001=A746)*Calc!$G$2:$G$1001*((((K746+N746)-(L746+Calc!$J$2:$J$1001))&gt;0)*(((K746+N746)-(L746+Calc!$J$2:$J$1001))&lt;Calc!$F$2:$F$1001)*((K746+N746)-(L746+Calc!$J$2:$J$1001))+(((K746+N746)-(L746+Calc!$J$2:$J$1001))&gt;=Calc!$F$2:$F$1001)*Calc!$F$2:$F$1001))))</f>
        <v/>
      </c>
      <c r="S746">
        <f>IF(I746=0,0,(MIN(MAX((K746+O746),0),L746)*W746+SUMPRODUCT((Calc!$A$2:$A$1001=A746)*Calc!$G$2:$G$1001*((((K746+O746)-(L746+Calc!$J$2:$J$1001))&gt;0)*(((K746+O746)-(L746+Calc!$J$2:$J$1001))&lt;Calc!$F$2:$F$1001)*((K746+O746)-(L746+Calc!$J$2:$J$1001))+(((K746+O746)-(L746+Calc!$J$2:$J$1001))&gt;=Calc!$F$2:$F$1001)*Calc!$F$2:$F$1001))))</f>
        <v/>
      </c>
      <c r="T746">
        <f>IF(AND(E746=1,B746="RETURN"),Transactions!E746*Transactions!G746,0)</f>
        <v/>
      </c>
      <c r="U746">
        <f>IF(AND(E746=1,B746="EXPENSE"),Transactions!J746,0)</f>
        <v/>
      </c>
      <c r="V746">
        <f>IF(AND(Transactions!A746&lt;&gt;"",E746=0),ROW(),"")</f>
        <v/>
      </c>
      <c r="W746">
        <f>IFERROR(VLOOKUP(A746,Opening!$A:$D,4,0),0)</f>
        <v/>
      </c>
    </row>
    <row r="747">
      <c r="A747">
        <f>IF(Transactions!D747="","",UPPER(TRIM(Transactions!D747)))</f>
        <v/>
      </c>
      <c r="B747">
        <f>IF(Transactions!C747="","",UPPER(TRIM(Transactions!C747)))</f>
        <v/>
      </c>
      <c r="C747">
        <f>IF(Transactions!B747="",0,YEAR(Transactions!B747)*100+MONTH(Transactions!B747))</f>
        <v/>
      </c>
      <c r="D747">
        <f>IF(Transactions!A747="",1,IF(COUNTIF(Transactions!$A$1:A746,Transactions!A747)&gt;0,1,0))</f>
        <v/>
      </c>
      <c r="E747">
        <f>IF(D747=1,0,IF(B747="RETURN",IF(COUNTIFS($A$1:A746,A747,$B$1:B746,"SALE",$E$1:E746,1)&gt;0,1,0),1))</f>
        <v/>
      </c>
      <c r="F747">
        <f>IF(E747=1,IF(B747="RECEIPT",Transactions!E747,IF(AND(B747="RETURN",LOWER(TRIM(Transactions!H747))="resellable"),Transactions!E747,0)),0)</f>
        <v/>
      </c>
      <c r="G747">
        <f>IF(F747&gt;0,IF(B747="RECEIPT",Transactions!F747,IF(_xlfn.MAXIFS($H$2:H747,$A$2:A747,A747)&gt;0,INDEX(Transactions!$F:$F,_xlfn.MAXIFS($H$2:H747,$A$2:A747,A747)),W747)),0)</f>
        <v/>
      </c>
      <c r="H747">
        <f>IF(AND(E747=1,B747="RECEIPT"),ROW(),0)</f>
        <v/>
      </c>
      <c r="I747">
        <f>IF(E747=1,IF(OR(B747="SALE",B747="WRITEOFF"),Transactions!E747,0),0)</f>
        <v/>
      </c>
      <c r="J747">
        <f>SUMIFS($F$1:F746,$A$1:A746,A747)</f>
        <v/>
      </c>
      <c r="K747">
        <f>SUMIFS($I$1:I746,$A$1:A746,A747)</f>
        <v/>
      </c>
      <c r="L747">
        <f>IFERROR(VLOOKUP(A747,Opening!$A:$C,3,0),0)</f>
        <v/>
      </c>
      <c r="M747">
        <f>IF(I747=0,0,MAX(0,MIN(INDEX(Month!H$2:H$13,MATCH($A747,Month!$A$2:$A$13,0))-K747,I747)))</f>
        <v/>
      </c>
      <c r="N747">
        <f>IF(I747=0,0,MAX(0,MIN(INDEX(Month!I$2:I$13,MATCH($A747,Month!$A$2:$A$13,0))-K747,I747)))</f>
        <v/>
      </c>
      <c r="O747">
        <f>IF(I747=0,0,MAX(0,MIN(INDEX(Month!J$2:J$13,MATCH($A747,Month!$A$2:$A$13,0))-K747,I747)))</f>
        <v/>
      </c>
      <c r="P747">
        <f>IF(I747=0,0,(MIN(MAX(K747,0),L747)*W747+SUMPRODUCT((Calc!$A$2:$A$1001=A747)*Calc!$G$2:$G$1001*(((K747-(L747+Calc!$J$2:$J$1001))&gt;0)*((K747-(L747+Calc!$J$2:$J$1001))&lt;Calc!$F$2:$F$1001)*(K747-(L747+Calc!$J$2:$J$1001))+((K747-(L747+Calc!$J$2:$J$1001))&gt;=Calc!$F$2:$F$1001)*Calc!$F$2:$F$1001))))</f>
        <v/>
      </c>
      <c r="Q747">
        <f>IF(I747=0,0,(MIN(MAX((K747+M747),0),L747)*W747+SUMPRODUCT((Calc!$A$2:$A$1001=A747)*Calc!$G$2:$G$1001*((((K747+M747)-(L747+Calc!$J$2:$J$1001))&gt;0)*(((K747+M747)-(L747+Calc!$J$2:$J$1001))&lt;Calc!$F$2:$F$1001)*((K747+M747)-(L747+Calc!$J$2:$J$1001))+(((K747+M747)-(L747+Calc!$J$2:$J$1001))&gt;=Calc!$F$2:$F$1001)*Calc!$F$2:$F$1001))))</f>
        <v/>
      </c>
      <c r="R747">
        <f>IF(I747=0,0,(MIN(MAX((K747+N747),0),L747)*W747+SUMPRODUCT((Calc!$A$2:$A$1001=A747)*Calc!$G$2:$G$1001*((((K747+N747)-(L747+Calc!$J$2:$J$1001))&gt;0)*(((K747+N747)-(L747+Calc!$J$2:$J$1001))&lt;Calc!$F$2:$F$1001)*((K747+N747)-(L747+Calc!$J$2:$J$1001))+(((K747+N747)-(L747+Calc!$J$2:$J$1001))&gt;=Calc!$F$2:$F$1001)*Calc!$F$2:$F$1001))))</f>
        <v/>
      </c>
      <c r="S747">
        <f>IF(I747=0,0,(MIN(MAX((K747+O747),0),L747)*W747+SUMPRODUCT((Calc!$A$2:$A$1001=A747)*Calc!$G$2:$G$1001*((((K747+O747)-(L747+Calc!$J$2:$J$1001))&gt;0)*(((K747+O747)-(L747+Calc!$J$2:$J$1001))&lt;Calc!$F$2:$F$1001)*((K747+O747)-(L747+Calc!$J$2:$J$1001))+(((K747+O747)-(L747+Calc!$J$2:$J$1001))&gt;=Calc!$F$2:$F$1001)*Calc!$F$2:$F$1001))))</f>
        <v/>
      </c>
      <c r="T747">
        <f>IF(AND(E747=1,B747="RETURN"),Transactions!E747*Transactions!G747,0)</f>
        <v/>
      </c>
      <c r="U747">
        <f>IF(AND(E747=1,B747="EXPENSE"),Transactions!J747,0)</f>
        <v/>
      </c>
      <c r="V747">
        <f>IF(AND(Transactions!A747&lt;&gt;"",E747=0),ROW(),"")</f>
        <v/>
      </c>
      <c r="W747">
        <f>IFERROR(VLOOKUP(A747,Opening!$A:$D,4,0),0)</f>
        <v/>
      </c>
    </row>
    <row r="748">
      <c r="A748">
        <f>IF(Transactions!D748="","",UPPER(TRIM(Transactions!D748)))</f>
        <v/>
      </c>
      <c r="B748">
        <f>IF(Transactions!C748="","",UPPER(TRIM(Transactions!C748)))</f>
        <v/>
      </c>
      <c r="C748">
        <f>IF(Transactions!B748="",0,YEAR(Transactions!B748)*100+MONTH(Transactions!B748))</f>
        <v/>
      </c>
      <c r="D748">
        <f>IF(Transactions!A748="",1,IF(COUNTIF(Transactions!$A$1:A747,Transactions!A748)&gt;0,1,0))</f>
        <v/>
      </c>
      <c r="E748">
        <f>IF(D748=1,0,IF(B748="RETURN",IF(COUNTIFS($A$1:A747,A748,$B$1:B747,"SALE",$E$1:E747,1)&gt;0,1,0),1))</f>
        <v/>
      </c>
      <c r="F748">
        <f>IF(E748=1,IF(B748="RECEIPT",Transactions!E748,IF(AND(B748="RETURN",LOWER(TRIM(Transactions!H748))="resellable"),Transactions!E748,0)),0)</f>
        <v/>
      </c>
      <c r="G748">
        <f>IF(F748&gt;0,IF(B748="RECEIPT",Transactions!F748,IF(_xlfn.MAXIFS($H$2:H748,$A$2:A748,A748)&gt;0,INDEX(Transactions!$F:$F,_xlfn.MAXIFS($H$2:H748,$A$2:A748,A748)),W748)),0)</f>
        <v/>
      </c>
      <c r="H748">
        <f>IF(AND(E748=1,B748="RECEIPT"),ROW(),0)</f>
        <v/>
      </c>
      <c r="I748">
        <f>IF(E748=1,IF(OR(B748="SALE",B748="WRITEOFF"),Transactions!E748,0),0)</f>
        <v/>
      </c>
      <c r="J748">
        <f>SUMIFS($F$1:F747,$A$1:A747,A748)</f>
        <v/>
      </c>
      <c r="K748">
        <f>SUMIFS($I$1:I747,$A$1:A747,A748)</f>
        <v/>
      </c>
      <c r="L748">
        <f>IFERROR(VLOOKUP(A748,Opening!$A:$C,3,0),0)</f>
        <v/>
      </c>
      <c r="M748">
        <f>IF(I748=0,0,MAX(0,MIN(INDEX(Month!H$2:H$13,MATCH($A748,Month!$A$2:$A$13,0))-K748,I748)))</f>
        <v/>
      </c>
      <c r="N748">
        <f>IF(I748=0,0,MAX(0,MIN(INDEX(Month!I$2:I$13,MATCH($A748,Month!$A$2:$A$13,0))-K748,I748)))</f>
        <v/>
      </c>
      <c r="O748">
        <f>IF(I748=0,0,MAX(0,MIN(INDEX(Month!J$2:J$13,MATCH($A748,Month!$A$2:$A$13,0))-K748,I748)))</f>
        <v/>
      </c>
      <c r="P748">
        <f>IF(I748=0,0,(MIN(MAX(K748,0),L748)*W748+SUMPRODUCT((Calc!$A$2:$A$1001=A748)*Calc!$G$2:$G$1001*(((K748-(L748+Calc!$J$2:$J$1001))&gt;0)*((K748-(L748+Calc!$J$2:$J$1001))&lt;Calc!$F$2:$F$1001)*(K748-(L748+Calc!$J$2:$J$1001))+((K748-(L748+Calc!$J$2:$J$1001))&gt;=Calc!$F$2:$F$1001)*Calc!$F$2:$F$1001))))</f>
        <v/>
      </c>
      <c r="Q748">
        <f>IF(I748=0,0,(MIN(MAX((K748+M748),0),L748)*W748+SUMPRODUCT((Calc!$A$2:$A$1001=A748)*Calc!$G$2:$G$1001*((((K748+M748)-(L748+Calc!$J$2:$J$1001))&gt;0)*(((K748+M748)-(L748+Calc!$J$2:$J$1001))&lt;Calc!$F$2:$F$1001)*((K748+M748)-(L748+Calc!$J$2:$J$1001))+(((K748+M748)-(L748+Calc!$J$2:$J$1001))&gt;=Calc!$F$2:$F$1001)*Calc!$F$2:$F$1001))))</f>
        <v/>
      </c>
      <c r="R748">
        <f>IF(I748=0,0,(MIN(MAX((K748+N748),0),L748)*W748+SUMPRODUCT((Calc!$A$2:$A$1001=A748)*Calc!$G$2:$G$1001*((((K748+N748)-(L748+Calc!$J$2:$J$1001))&gt;0)*(((K748+N748)-(L748+Calc!$J$2:$J$1001))&lt;Calc!$F$2:$F$1001)*((K748+N748)-(L748+Calc!$J$2:$J$1001))+(((K748+N748)-(L748+Calc!$J$2:$J$1001))&gt;=Calc!$F$2:$F$1001)*Calc!$F$2:$F$1001))))</f>
        <v/>
      </c>
      <c r="S748">
        <f>IF(I748=0,0,(MIN(MAX((K748+O748),0),L748)*W748+SUMPRODUCT((Calc!$A$2:$A$1001=A748)*Calc!$G$2:$G$1001*((((K748+O748)-(L748+Calc!$J$2:$J$1001))&gt;0)*(((K748+O748)-(L748+Calc!$J$2:$J$1001))&lt;Calc!$F$2:$F$1001)*((K748+O748)-(L748+Calc!$J$2:$J$1001))+(((K748+O748)-(L748+Calc!$J$2:$J$1001))&gt;=Calc!$F$2:$F$1001)*Calc!$F$2:$F$1001))))</f>
        <v/>
      </c>
      <c r="T748">
        <f>IF(AND(E748=1,B748="RETURN"),Transactions!E748*Transactions!G748,0)</f>
        <v/>
      </c>
      <c r="U748">
        <f>IF(AND(E748=1,B748="EXPENSE"),Transactions!J748,0)</f>
        <v/>
      </c>
      <c r="V748">
        <f>IF(AND(Transactions!A748&lt;&gt;"",E748=0),ROW(),"")</f>
        <v/>
      </c>
      <c r="W748">
        <f>IFERROR(VLOOKUP(A748,Opening!$A:$D,4,0),0)</f>
        <v/>
      </c>
    </row>
    <row r="749">
      <c r="A749">
        <f>IF(Transactions!D749="","",UPPER(TRIM(Transactions!D749)))</f>
        <v/>
      </c>
      <c r="B749">
        <f>IF(Transactions!C749="","",UPPER(TRIM(Transactions!C749)))</f>
        <v/>
      </c>
      <c r="C749">
        <f>IF(Transactions!B749="",0,YEAR(Transactions!B749)*100+MONTH(Transactions!B749))</f>
        <v/>
      </c>
      <c r="D749">
        <f>IF(Transactions!A749="",1,IF(COUNTIF(Transactions!$A$1:A748,Transactions!A749)&gt;0,1,0))</f>
        <v/>
      </c>
      <c r="E749">
        <f>IF(D749=1,0,IF(B749="RETURN",IF(COUNTIFS($A$1:A748,A749,$B$1:B748,"SALE",$E$1:E748,1)&gt;0,1,0),1))</f>
        <v/>
      </c>
      <c r="F749">
        <f>IF(E749=1,IF(B749="RECEIPT",Transactions!E749,IF(AND(B749="RETURN",LOWER(TRIM(Transactions!H749))="resellable"),Transactions!E749,0)),0)</f>
        <v/>
      </c>
      <c r="G749">
        <f>IF(F749&gt;0,IF(B749="RECEIPT",Transactions!F749,IF(_xlfn.MAXIFS($H$2:H749,$A$2:A749,A749)&gt;0,INDEX(Transactions!$F:$F,_xlfn.MAXIFS($H$2:H749,$A$2:A749,A749)),W749)),0)</f>
        <v/>
      </c>
      <c r="H749">
        <f>IF(AND(E749=1,B749="RECEIPT"),ROW(),0)</f>
        <v/>
      </c>
      <c r="I749">
        <f>IF(E749=1,IF(OR(B749="SALE",B749="WRITEOFF"),Transactions!E749,0),0)</f>
        <v/>
      </c>
      <c r="J749">
        <f>SUMIFS($F$1:F748,$A$1:A748,A749)</f>
        <v/>
      </c>
      <c r="K749">
        <f>SUMIFS($I$1:I748,$A$1:A748,A749)</f>
        <v/>
      </c>
      <c r="L749">
        <f>IFERROR(VLOOKUP(A749,Opening!$A:$C,3,0),0)</f>
        <v/>
      </c>
      <c r="M749">
        <f>IF(I749=0,0,MAX(0,MIN(INDEX(Month!H$2:H$13,MATCH($A749,Month!$A$2:$A$13,0))-K749,I749)))</f>
        <v/>
      </c>
      <c r="N749">
        <f>IF(I749=0,0,MAX(0,MIN(INDEX(Month!I$2:I$13,MATCH($A749,Month!$A$2:$A$13,0))-K749,I749)))</f>
        <v/>
      </c>
      <c r="O749">
        <f>IF(I749=0,0,MAX(0,MIN(INDEX(Month!J$2:J$13,MATCH($A749,Month!$A$2:$A$13,0))-K749,I749)))</f>
        <v/>
      </c>
      <c r="P749">
        <f>IF(I749=0,0,(MIN(MAX(K749,0),L749)*W749+SUMPRODUCT((Calc!$A$2:$A$1001=A749)*Calc!$G$2:$G$1001*(((K749-(L749+Calc!$J$2:$J$1001))&gt;0)*((K749-(L749+Calc!$J$2:$J$1001))&lt;Calc!$F$2:$F$1001)*(K749-(L749+Calc!$J$2:$J$1001))+((K749-(L749+Calc!$J$2:$J$1001))&gt;=Calc!$F$2:$F$1001)*Calc!$F$2:$F$1001))))</f>
        <v/>
      </c>
      <c r="Q749">
        <f>IF(I749=0,0,(MIN(MAX((K749+M749),0),L749)*W749+SUMPRODUCT((Calc!$A$2:$A$1001=A749)*Calc!$G$2:$G$1001*((((K749+M749)-(L749+Calc!$J$2:$J$1001))&gt;0)*(((K749+M749)-(L749+Calc!$J$2:$J$1001))&lt;Calc!$F$2:$F$1001)*((K749+M749)-(L749+Calc!$J$2:$J$1001))+(((K749+M749)-(L749+Calc!$J$2:$J$1001))&gt;=Calc!$F$2:$F$1001)*Calc!$F$2:$F$1001))))</f>
        <v/>
      </c>
      <c r="R749">
        <f>IF(I749=0,0,(MIN(MAX((K749+N749),0),L749)*W749+SUMPRODUCT((Calc!$A$2:$A$1001=A749)*Calc!$G$2:$G$1001*((((K749+N749)-(L749+Calc!$J$2:$J$1001))&gt;0)*(((K749+N749)-(L749+Calc!$J$2:$J$1001))&lt;Calc!$F$2:$F$1001)*((K749+N749)-(L749+Calc!$J$2:$J$1001))+(((K749+N749)-(L749+Calc!$J$2:$J$1001))&gt;=Calc!$F$2:$F$1001)*Calc!$F$2:$F$1001))))</f>
        <v/>
      </c>
      <c r="S749">
        <f>IF(I749=0,0,(MIN(MAX((K749+O749),0),L749)*W749+SUMPRODUCT((Calc!$A$2:$A$1001=A749)*Calc!$G$2:$G$1001*((((K749+O749)-(L749+Calc!$J$2:$J$1001))&gt;0)*(((K749+O749)-(L749+Calc!$J$2:$J$1001))&lt;Calc!$F$2:$F$1001)*((K749+O749)-(L749+Calc!$J$2:$J$1001))+(((K749+O749)-(L749+Calc!$J$2:$J$1001))&gt;=Calc!$F$2:$F$1001)*Calc!$F$2:$F$1001))))</f>
        <v/>
      </c>
      <c r="T749">
        <f>IF(AND(E749=1,B749="RETURN"),Transactions!E749*Transactions!G749,0)</f>
        <v/>
      </c>
      <c r="U749">
        <f>IF(AND(E749=1,B749="EXPENSE"),Transactions!J749,0)</f>
        <v/>
      </c>
      <c r="V749">
        <f>IF(AND(Transactions!A749&lt;&gt;"",E749=0),ROW(),"")</f>
        <v/>
      </c>
      <c r="W749">
        <f>IFERROR(VLOOKUP(A749,Opening!$A:$D,4,0),0)</f>
        <v/>
      </c>
    </row>
    <row r="750">
      <c r="A750">
        <f>IF(Transactions!D750="","",UPPER(TRIM(Transactions!D750)))</f>
        <v/>
      </c>
      <c r="B750">
        <f>IF(Transactions!C750="","",UPPER(TRIM(Transactions!C750)))</f>
        <v/>
      </c>
      <c r="C750">
        <f>IF(Transactions!B750="",0,YEAR(Transactions!B750)*100+MONTH(Transactions!B750))</f>
        <v/>
      </c>
      <c r="D750">
        <f>IF(Transactions!A750="",1,IF(COUNTIF(Transactions!$A$1:A749,Transactions!A750)&gt;0,1,0))</f>
        <v/>
      </c>
      <c r="E750">
        <f>IF(D750=1,0,IF(B750="RETURN",IF(COUNTIFS($A$1:A749,A750,$B$1:B749,"SALE",$E$1:E749,1)&gt;0,1,0),1))</f>
        <v/>
      </c>
      <c r="F750">
        <f>IF(E750=1,IF(B750="RECEIPT",Transactions!E750,IF(AND(B750="RETURN",LOWER(TRIM(Transactions!H750))="resellable"),Transactions!E750,0)),0)</f>
        <v/>
      </c>
      <c r="G750">
        <f>IF(F750&gt;0,IF(B750="RECEIPT",Transactions!F750,IF(_xlfn.MAXIFS($H$2:H750,$A$2:A750,A750)&gt;0,INDEX(Transactions!$F:$F,_xlfn.MAXIFS($H$2:H750,$A$2:A750,A750)),W750)),0)</f>
        <v/>
      </c>
      <c r="H750">
        <f>IF(AND(E750=1,B750="RECEIPT"),ROW(),0)</f>
        <v/>
      </c>
      <c r="I750">
        <f>IF(E750=1,IF(OR(B750="SALE",B750="WRITEOFF"),Transactions!E750,0),0)</f>
        <v/>
      </c>
      <c r="J750">
        <f>SUMIFS($F$1:F749,$A$1:A749,A750)</f>
        <v/>
      </c>
      <c r="K750">
        <f>SUMIFS($I$1:I749,$A$1:A749,A750)</f>
        <v/>
      </c>
      <c r="L750">
        <f>IFERROR(VLOOKUP(A750,Opening!$A:$C,3,0),0)</f>
        <v/>
      </c>
      <c r="M750">
        <f>IF(I750=0,0,MAX(0,MIN(INDEX(Month!H$2:H$13,MATCH($A750,Month!$A$2:$A$13,0))-K750,I750)))</f>
        <v/>
      </c>
      <c r="N750">
        <f>IF(I750=0,0,MAX(0,MIN(INDEX(Month!I$2:I$13,MATCH($A750,Month!$A$2:$A$13,0))-K750,I750)))</f>
        <v/>
      </c>
      <c r="O750">
        <f>IF(I750=0,0,MAX(0,MIN(INDEX(Month!J$2:J$13,MATCH($A750,Month!$A$2:$A$13,0))-K750,I750)))</f>
        <v/>
      </c>
      <c r="P750">
        <f>IF(I750=0,0,(MIN(MAX(K750,0),L750)*W750+SUMPRODUCT((Calc!$A$2:$A$1001=A750)*Calc!$G$2:$G$1001*(((K750-(L750+Calc!$J$2:$J$1001))&gt;0)*((K750-(L750+Calc!$J$2:$J$1001))&lt;Calc!$F$2:$F$1001)*(K750-(L750+Calc!$J$2:$J$1001))+((K750-(L750+Calc!$J$2:$J$1001))&gt;=Calc!$F$2:$F$1001)*Calc!$F$2:$F$1001))))</f>
        <v/>
      </c>
      <c r="Q750">
        <f>IF(I750=0,0,(MIN(MAX((K750+M750),0),L750)*W750+SUMPRODUCT((Calc!$A$2:$A$1001=A750)*Calc!$G$2:$G$1001*((((K750+M750)-(L750+Calc!$J$2:$J$1001))&gt;0)*(((K750+M750)-(L750+Calc!$J$2:$J$1001))&lt;Calc!$F$2:$F$1001)*((K750+M750)-(L750+Calc!$J$2:$J$1001))+(((K750+M750)-(L750+Calc!$J$2:$J$1001))&gt;=Calc!$F$2:$F$1001)*Calc!$F$2:$F$1001))))</f>
        <v/>
      </c>
      <c r="R750">
        <f>IF(I750=0,0,(MIN(MAX((K750+N750),0),L750)*W750+SUMPRODUCT((Calc!$A$2:$A$1001=A750)*Calc!$G$2:$G$1001*((((K750+N750)-(L750+Calc!$J$2:$J$1001))&gt;0)*(((K750+N750)-(L750+Calc!$J$2:$J$1001))&lt;Calc!$F$2:$F$1001)*((K750+N750)-(L750+Calc!$J$2:$J$1001))+(((K750+N750)-(L750+Calc!$J$2:$J$1001))&gt;=Calc!$F$2:$F$1001)*Calc!$F$2:$F$1001))))</f>
        <v/>
      </c>
      <c r="S750">
        <f>IF(I750=0,0,(MIN(MAX((K750+O750),0),L750)*W750+SUMPRODUCT((Calc!$A$2:$A$1001=A750)*Calc!$G$2:$G$1001*((((K750+O750)-(L750+Calc!$J$2:$J$1001))&gt;0)*(((K750+O750)-(L750+Calc!$J$2:$J$1001))&lt;Calc!$F$2:$F$1001)*((K750+O750)-(L750+Calc!$J$2:$J$1001))+(((K750+O750)-(L750+Calc!$J$2:$J$1001))&gt;=Calc!$F$2:$F$1001)*Calc!$F$2:$F$1001))))</f>
        <v/>
      </c>
      <c r="T750">
        <f>IF(AND(E750=1,B750="RETURN"),Transactions!E750*Transactions!G750,0)</f>
        <v/>
      </c>
      <c r="U750">
        <f>IF(AND(E750=1,B750="EXPENSE"),Transactions!J750,0)</f>
        <v/>
      </c>
      <c r="V750">
        <f>IF(AND(Transactions!A750&lt;&gt;"",E750=0),ROW(),"")</f>
        <v/>
      </c>
      <c r="W750">
        <f>IFERROR(VLOOKUP(A750,Opening!$A:$D,4,0),0)</f>
        <v/>
      </c>
    </row>
    <row r="751">
      <c r="A751">
        <f>IF(Transactions!D751="","",UPPER(TRIM(Transactions!D751)))</f>
        <v/>
      </c>
      <c r="B751">
        <f>IF(Transactions!C751="","",UPPER(TRIM(Transactions!C751)))</f>
        <v/>
      </c>
      <c r="C751">
        <f>IF(Transactions!B751="",0,YEAR(Transactions!B751)*100+MONTH(Transactions!B751))</f>
        <v/>
      </c>
      <c r="D751">
        <f>IF(Transactions!A751="",1,IF(COUNTIF(Transactions!$A$1:A750,Transactions!A751)&gt;0,1,0))</f>
        <v/>
      </c>
      <c r="E751">
        <f>IF(D751=1,0,IF(B751="RETURN",IF(COUNTIFS($A$1:A750,A751,$B$1:B750,"SALE",$E$1:E750,1)&gt;0,1,0),1))</f>
        <v/>
      </c>
      <c r="F751">
        <f>IF(E751=1,IF(B751="RECEIPT",Transactions!E751,IF(AND(B751="RETURN",LOWER(TRIM(Transactions!H751))="resellable"),Transactions!E751,0)),0)</f>
        <v/>
      </c>
      <c r="G751">
        <f>IF(F751&gt;0,IF(B751="RECEIPT",Transactions!F751,IF(_xlfn.MAXIFS($H$2:H751,$A$2:A751,A751)&gt;0,INDEX(Transactions!$F:$F,_xlfn.MAXIFS($H$2:H751,$A$2:A751,A751)),W751)),0)</f>
        <v/>
      </c>
      <c r="H751">
        <f>IF(AND(E751=1,B751="RECEIPT"),ROW(),0)</f>
        <v/>
      </c>
      <c r="I751">
        <f>IF(E751=1,IF(OR(B751="SALE",B751="WRITEOFF"),Transactions!E751,0),0)</f>
        <v/>
      </c>
      <c r="J751">
        <f>SUMIFS($F$1:F750,$A$1:A750,A751)</f>
        <v/>
      </c>
      <c r="K751">
        <f>SUMIFS($I$1:I750,$A$1:A750,A751)</f>
        <v/>
      </c>
      <c r="L751">
        <f>IFERROR(VLOOKUP(A751,Opening!$A:$C,3,0),0)</f>
        <v/>
      </c>
      <c r="M751">
        <f>IF(I751=0,0,MAX(0,MIN(INDEX(Month!H$2:H$13,MATCH($A751,Month!$A$2:$A$13,0))-K751,I751)))</f>
        <v/>
      </c>
      <c r="N751">
        <f>IF(I751=0,0,MAX(0,MIN(INDEX(Month!I$2:I$13,MATCH($A751,Month!$A$2:$A$13,0))-K751,I751)))</f>
        <v/>
      </c>
      <c r="O751">
        <f>IF(I751=0,0,MAX(0,MIN(INDEX(Month!J$2:J$13,MATCH($A751,Month!$A$2:$A$13,0))-K751,I751)))</f>
        <v/>
      </c>
      <c r="P751">
        <f>IF(I751=0,0,(MIN(MAX(K751,0),L751)*W751+SUMPRODUCT((Calc!$A$2:$A$1001=A751)*Calc!$G$2:$G$1001*(((K751-(L751+Calc!$J$2:$J$1001))&gt;0)*((K751-(L751+Calc!$J$2:$J$1001))&lt;Calc!$F$2:$F$1001)*(K751-(L751+Calc!$J$2:$J$1001))+((K751-(L751+Calc!$J$2:$J$1001))&gt;=Calc!$F$2:$F$1001)*Calc!$F$2:$F$1001))))</f>
        <v/>
      </c>
      <c r="Q751">
        <f>IF(I751=0,0,(MIN(MAX((K751+M751),0),L751)*W751+SUMPRODUCT((Calc!$A$2:$A$1001=A751)*Calc!$G$2:$G$1001*((((K751+M751)-(L751+Calc!$J$2:$J$1001))&gt;0)*(((K751+M751)-(L751+Calc!$J$2:$J$1001))&lt;Calc!$F$2:$F$1001)*((K751+M751)-(L751+Calc!$J$2:$J$1001))+(((K751+M751)-(L751+Calc!$J$2:$J$1001))&gt;=Calc!$F$2:$F$1001)*Calc!$F$2:$F$1001))))</f>
        <v/>
      </c>
      <c r="R751">
        <f>IF(I751=0,0,(MIN(MAX((K751+N751),0),L751)*W751+SUMPRODUCT((Calc!$A$2:$A$1001=A751)*Calc!$G$2:$G$1001*((((K751+N751)-(L751+Calc!$J$2:$J$1001))&gt;0)*(((K751+N751)-(L751+Calc!$J$2:$J$1001))&lt;Calc!$F$2:$F$1001)*((K751+N751)-(L751+Calc!$J$2:$J$1001))+(((K751+N751)-(L751+Calc!$J$2:$J$1001))&gt;=Calc!$F$2:$F$1001)*Calc!$F$2:$F$1001))))</f>
        <v/>
      </c>
      <c r="S751">
        <f>IF(I751=0,0,(MIN(MAX((K751+O751),0),L751)*W751+SUMPRODUCT((Calc!$A$2:$A$1001=A751)*Calc!$G$2:$G$1001*((((K751+O751)-(L751+Calc!$J$2:$J$1001))&gt;0)*(((K751+O751)-(L751+Calc!$J$2:$J$1001))&lt;Calc!$F$2:$F$1001)*((K751+O751)-(L751+Calc!$J$2:$J$1001))+(((K751+O751)-(L751+Calc!$J$2:$J$1001))&gt;=Calc!$F$2:$F$1001)*Calc!$F$2:$F$1001))))</f>
        <v/>
      </c>
      <c r="T751">
        <f>IF(AND(E751=1,B751="RETURN"),Transactions!E751*Transactions!G751,0)</f>
        <v/>
      </c>
      <c r="U751">
        <f>IF(AND(E751=1,B751="EXPENSE"),Transactions!J751,0)</f>
        <v/>
      </c>
      <c r="V751">
        <f>IF(AND(Transactions!A751&lt;&gt;"",E751=0),ROW(),"")</f>
        <v/>
      </c>
      <c r="W751">
        <f>IFERROR(VLOOKUP(A751,Opening!$A:$D,4,0),0)</f>
        <v/>
      </c>
    </row>
    <row r="752">
      <c r="A752">
        <f>IF(Transactions!D752="","",UPPER(TRIM(Transactions!D752)))</f>
        <v/>
      </c>
      <c r="B752">
        <f>IF(Transactions!C752="","",UPPER(TRIM(Transactions!C752)))</f>
        <v/>
      </c>
      <c r="C752">
        <f>IF(Transactions!B752="",0,YEAR(Transactions!B752)*100+MONTH(Transactions!B752))</f>
        <v/>
      </c>
      <c r="D752">
        <f>IF(Transactions!A752="",1,IF(COUNTIF(Transactions!$A$1:A751,Transactions!A752)&gt;0,1,0))</f>
        <v/>
      </c>
      <c r="E752">
        <f>IF(D752=1,0,IF(B752="RETURN",IF(COUNTIFS($A$1:A751,A752,$B$1:B751,"SALE",$E$1:E751,1)&gt;0,1,0),1))</f>
        <v/>
      </c>
      <c r="F752">
        <f>IF(E752=1,IF(B752="RECEIPT",Transactions!E752,IF(AND(B752="RETURN",LOWER(TRIM(Transactions!H752))="resellable"),Transactions!E752,0)),0)</f>
        <v/>
      </c>
      <c r="G752">
        <f>IF(F752&gt;0,IF(B752="RECEIPT",Transactions!F752,IF(_xlfn.MAXIFS($H$2:H752,$A$2:A752,A752)&gt;0,INDEX(Transactions!$F:$F,_xlfn.MAXIFS($H$2:H752,$A$2:A752,A752)),W752)),0)</f>
        <v/>
      </c>
      <c r="H752">
        <f>IF(AND(E752=1,B752="RECEIPT"),ROW(),0)</f>
        <v/>
      </c>
      <c r="I752">
        <f>IF(E752=1,IF(OR(B752="SALE",B752="WRITEOFF"),Transactions!E752,0),0)</f>
        <v/>
      </c>
      <c r="J752">
        <f>SUMIFS($F$1:F751,$A$1:A751,A752)</f>
        <v/>
      </c>
      <c r="K752">
        <f>SUMIFS($I$1:I751,$A$1:A751,A752)</f>
        <v/>
      </c>
      <c r="L752">
        <f>IFERROR(VLOOKUP(A752,Opening!$A:$C,3,0),0)</f>
        <v/>
      </c>
      <c r="M752">
        <f>IF(I752=0,0,MAX(0,MIN(INDEX(Month!H$2:H$13,MATCH($A752,Month!$A$2:$A$13,0))-K752,I752)))</f>
        <v/>
      </c>
      <c r="N752">
        <f>IF(I752=0,0,MAX(0,MIN(INDEX(Month!I$2:I$13,MATCH($A752,Month!$A$2:$A$13,0))-K752,I752)))</f>
        <v/>
      </c>
      <c r="O752">
        <f>IF(I752=0,0,MAX(0,MIN(INDEX(Month!J$2:J$13,MATCH($A752,Month!$A$2:$A$13,0))-K752,I752)))</f>
        <v/>
      </c>
      <c r="P752">
        <f>IF(I752=0,0,(MIN(MAX(K752,0),L752)*W752+SUMPRODUCT((Calc!$A$2:$A$1001=A752)*Calc!$G$2:$G$1001*(((K752-(L752+Calc!$J$2:$J$1001))&gt;0)*((K752-(L752+Calc!$J$2:$J$1001))&lt;Calc!$F$2:$F$1001)*(K752-(L752+Calc!$J$2:$J$1001))+((K752-(L752+Calc!$J$2:$J$1001))&gt;=Calc!$F$2:$F$1001)*Calc!$F$2:$F$1001))))</f>
        <v/>
      </c>
      <c r="Q752">
        <f>IF(I752=0,0,(MIN(MAX((K752+M752),0),L752)*W752+SUMPRODUCT((Calc!$A$2:$A$1001=A752)*Calc!$G$2:$G$1001*((((K752+M752)-(L752+Calc!$J$2:$J$1001))&gt;0)*(((K752+M752)-(L752+Calc!$J$2:$J$1001))&lt;Calc!$F$2:$F$1001)*((K752+M752)-(L752+Calc!$J$2:$J$1001))+(((K752+M752)-(L752+Calc!$J$2:$J$1001))&gt;=Calc!$F$2:$F$1001)*Calc!$F$2:$F$1001))))</f>
        <v/>
      </c>
      <c r="R752">
        <f>IF(I752=0,0,(MIN(MAX((K752+N752),0),L752)*W752+SUMPRODUCT((Calc!$A$2:$A$1001=A752)*Calc!$G$2:$G$1001*((((K752+N752)-(L752+Calc!$J$2:$J$1001))&gt;0)*(((K752+N752)-(L752+Calc!$J$2:$J$1001))&lt;Calc!$F$2:$F$1001)*((K752+N752)-(L752+Calc!$J$2:$J$1001))+(((K752+N752)-(L752+Calc!$J$2:$J$1001))&gt;=Calc!$F$2:$F$1001)*Calc!$F$2:$F$1001))))</f>
        <v/>
      </c>
      <c r="S752">
        <f>IF(I752=0,0,(MIN(MAX((K752+O752),0),L752)*W752+SUMPRODUCT((Calc!$A$2:$A$1001=A752)*Calc!$G$2:$G$1001*((((K752+O752)-(L752+Calc!$J$2:$J$1001))&gt;0)*(((K752+O752)-(L752+Calc!$J$2:$J$1001))&lt;Calc!$F$2:$F$1001)*((K752+O752)-(L752+Calc!$J$2:$J$1001))+(((K752+O752)-(L752+Calc!$J$2:$J$1001))&gt;=Calc!$F$2:$F$1001)*Calc!$F$2:$F$1001))))</f>
        <v/>
      </c>
      <c r="T752">
        <f>IF(AND(E752=1,B752="RETURN"),Transactions!E752*Transactions!G752,0)</f>
        <v/>
      </c>
      <c r="U752">
        <f>IF(AND(E752=1,B752="EXPENSE"),Transactions!J752,0)</f>
        <v/>
      </c>
      <c r="V752">
        <f>IF(AND(Transactions!A752&lt;&gt;"",E752=0),ROW(),"")</f>
        <v/>
      </c>
      <c r="W752">
        <f>IFERROR(VLOOKUP(A752,Opening!$A:$D,4,0),0)</f>
        <v/>
      </c>
    </row>
    <row r="753">
      <c r="A753">
        <f>IF(Transactions!D753="","",UPPER(TRIM(Transactions!D753)))</f>
        <v/>
      </c>
      <c r="B753">
        <f>IF(Transactions!C753="","",UPPER(TRIM(Transactions!C753)))</f>
        <v/>
      </c>
      <c r="C753">
        <f>IF(Transactions!B753="",0,YEAR(Transactions!B753)*100+MONTH(Transactions!B753))</f>
        <v/>
      </c>
      <c r="D753">
        <f>IF(Transactions!A753="",1,IF(COUNTIF(Transactions!$A$1:A752,Transactions!A753)&gt;0,1,0))</f>
        <v/>
      </c>
      <c r="E753">
        <f>IF(D753=1,0,IF(B753="RETURN",IF(COUNTIFS($A$1:A752,A753,$B$1:B752,"SALE",$E$1:E752,1)&gt;0,1,0),1))</f>
        <v/>
      </c>
      <c r="F753">
        <f>IF(E753=1,IF(B753="RECEIPT",Transactions!E753,IF(AND(B753="RETURN",LOWER(TRIM(Transactions!H753))="resellable"),Transactions!E753,0)),0)</f>
        <v/>
      </c>
      <c r="G753">
        <f>IF(F753&gt;0,IF(B753="RECEIPT",Transactions!F753,IF(_xlfn.MAXIFS($H$2:H753,$A$2:A753,A753)&gt;0,INDEX(Transactions!$F:$F,_xlfn.MAXIFS($H$2:H753,$A$2:A753,A753)),W753)),0)</f>
        <v/>
      </c>
      <c r="H753">
        <f>IF(AND(E753=1,B753="RECEIPT"),ROW(),0)</f>
        <v/>
      </c>
      <c r="I753">
        <f>IF(E753=1,IF(OR(B753="SALE",B753="WRITEOFF"),Transactions!E753,0),0)</f>
        <v/>
      </c>
      <c r="J753">
        <f>SUMIFS($F$1:F752,$A$1:A752,A753)</f>
        <v/>
      </c>
      <c r="K753">
        <f>SUMIFS($I$1:I752,$A$1:A752,A753)</f>
        <v/>
      </c>
      <c r="L753">
        <f>IFERROR(VLOOKUP(A753,Opening!$A:$C,3,0),0)</f>
        <v/>
      </c>
      <c r="M753">
        <f>IF(I753=0,0,MAX(0,MIN(INDEX(Month!H$2:H$13,MATCH($A753,Month!$A$2:$A$13,0))-K753,I753)))</f>
        <v/>
      </c>
      <c r="N753">
        <f>IF(I753=0,0,MAX(0,MIN(INDEX(Month!I$2:I$13,MATCH($A753,Month!$A$2:$A$13,0))-K753,I753)))</f>
        <v/>
      </c>
      <c r="O753">
        <f>IF(I753=0,0,MAX(0,MIN(INDEX(Month!J$2:J$13,MATCH($A753,Month!$A$2:$A$13,0))-K753,I753)))</f>
        <v/>
      </c>
      <c r="P753">
        <f>IF(I753=0,0,(MIN(MAX(K753,0),L753)*W753+SUMPRODUCT((Calc!$A$2:$A$1001=A753)*Calc!$G$2:$G$1001*(((K753-(L753+Calc!$J$2:$J$1001))&gt;0)*((K753-(L753+Calc!$J$2:$J$1001))&lt;Calc!$F$2:$F$1001)*(K753-(L753+Calc!$J$2:$J$1001))+((K753-(L753+Calc!$J$2:$J$1001))&gt;=Calc!$F$2:$F$1001)*Calc!$F$2:$F$1001))))</f>
        <v/>
      </c>
      <c r="Q753">
        <f>IF(I753=0,0,(MIN(MAX((K753+M753),0),L753)*W753+SUMPRODUCT((Calc!$A$2:$A$1001=A753)*Calc!$G$2:$G$1001*((((K753+M753)-(L753+Calc!$J$2:$J$1001))&gt;0)*(((K753+M753)-(L753+Calc!$J$2:$J$1001))&lt;Calc!$F$2:$F$1001)*((K753+M753)-(L753+Calc!$J$2:$J$1001))+(((K753+M753)-(L753+Calc!$J$2:$J$1001))&gt;=Calc!$F$2:$F$1001)*Calc!$F$2:$F$1001))))</f>
        <v/>
      </c>
      <c r="R753">
        <f>IF(I753=0,0,(MIN(MAX((K753+N753),0),L753)*W753+SUMPRODUCT((Calc!$A$2:$A$1001=A753)*Calc!$G$2:$G$1001*((((K753+N753)-(L753+Calc!$J$2:$J$1001))&gt;0)*(((K753+N753)-(L753+Calc!$J$2:$J$1001))&lt;Calc!$F$2:$F$1001)*((K753+N753)-(L753+Calc!$J$2:$J$1001))+(((K753+N753)-(L753+Calc!$J$2:$J$1001))&gt;=Calc!$F$2:$F$1001)*Calc!$F$2:$F$1001))))</f>
        <v/>
      </c>
      <c r="S753">
        <f>IF(I753=0,0,(MIN(MAX((K753+O753),0),L753)*W753+SUMPRODUCT((Calc!$A$2:$A$1001=A753)*Calc!$G$2:$G$1001*((((K753+O753)-(L753+Calc!$J$2:$J$1001))&gt;0)*(((K753+O753)-(L753+Calc!$J$2:$J$1001))&lt;Calc!$F$2:$F$1001)*((K753+O753)-(L753+Calc!$J$2:$J$1001))+(((K753+O753)-(L753+Calc!$J$2:$J$1001))&gt;=Calc!$F$2:$F$1001)*Calc!$F$2:$F$1001))))</f>
        <v/>
      </c>
      <c r="T753">
        <f>IF(AND(E753=1,B753="RETURN"),Transactions!E753*Transactions!G753,0)</f>
        <v/>
      </c>
      <c r="U753">
        <f>IF(AND(E753=1,B753="EXPENSE"),Transactions!J753,0)</f>
        <v/>
      </c>
      <c r="V753">
        <f>IF(AND(Transactions!A753&lt;&gt;"",E753=0),ROW(),"")</f>
        <v/>
      </c>
      <c r="W753">
        <f>IFERROR(VLOOKUP(A753,Opening!$A:$D,4,0),0)</f>
        <v/>
      </c>
    </row>
    <row r="754">
      <c r="A754">
        <f>IF(Transactions!D754="","",UPPER(TRIM(Transactions!D754)))</f>
        <v/>
      </c>
      <c r="B754">
        <f>IF(Transactions!C754="","",UPPER(TRIM(Transactions!C754)))</f>
        <v/>
      </c>
      <c r="C754">
        <f>IF(Transactions!B754="",0,YEAR(Transactions!B754)*100+MONTH(Transactions!B754))</f>
        <v/>
      </c>
      <c r="D754">
        <f>IF(Transactions!A754="",1,IF(COUNTIF(Transactions!$A$1:A753,Transactions!A754)&gt;0,1,0))</f>
        <v/>
      </c>
      <c r="E754">
        <f>IF(D754=1,0,IF(B754="RETURN",IF(COUNTIFS($A$1:A753,A754,$B$1:B753,"SALE",$E$1:E753,1)&gt;0,1,0),1))</f>
        <v/>
      </c>
      <c r="F754">
        <f>IF(E754=1,IF(B754="RECEIPT",Transactions!E754,IF(AND(B754="RETURN",LOWER(TRIM(Transactions!H754))="resellable"),Transactions!E754,0)),0)</f>
        <v/>
      </c>
      <c r="G754">
        <f>IF(F754&gt;0,IF(B754="RECEIPT",Transactions!F754,IF(_xlfn.MAXIFS($H$2:H754,$A$2:A754,A754)&gt;0,INDEX(Transactions!$F:$F,_xlfn.MAXIFS($H$2:H754,$A$2:A754,A754)),W754)),0)</f>
        <v/>
      </c>
      <c r="H754">
        <f>IF(AND(E754=1,B754="RECEIPT"),ROW(),0)</f>
        <v/>
      </c>
      <c r="I754">
        <f>IF(E754=1,IF(OR(B754="SALE",B754="WRITEOFF"),Transactions!E754,0),0)</f>
        <v/>
      </c>
      <c r="J754">
        <f>SUMIFS($F$1:F753,$A$1:A753,A754)</f>
        <v/>
      </c>
      <c r="K754">
        <f>SUMIFS($I$1:I753,$A$1:A753,A754)</f>
        <v/>
      </c>
      <c r="L754">
        <f>IFERROR(VLOOKUP(A754,Opening!$A:$C,3,0),0)</f>
        <v/>
      </c>
      <c r="M754">
        <f>IF(I754=0,0,MAX(0,MIN(INDEX(Month!H$2:H$13,MATCH($A754,Month!$A$2:$A$13,0))-K754,I754)))</f>
        <v/>
      </c>
      <c r="N754">
        <f>IF(I754=0,0,MAX(0,MIN(INDEX(Month!I$2:I$13,MATCH($A754,Month!$A$2:$A$13,0))-K754,I754)))</f>
        <v/>
      </c>
      <c r="O754">
        <f>IF(I754=0,0,MAX(0,MIN(INDEX(Month!J$2:J$13,MATCH($A754,Month!$A$2:$A$13,0))-K754,I754)))</f>
        <v/>
      </c>
      <c r="P754">
        <f>IF(I754=0,0,(MIN(MAX(K754,0),L754)*W754+SUMPRODUCT((Calc!$A$2:$A$1001=A754)*Calc!$G$2:$G$1001*(((K754-(L754+Calc!$J$2:$J$1001))&gt;0)*((K754-(L754+Calc!$J$2:$J$1001))&lt;Calc!$F$2:$F$1001)*(K754-(L754+Calc!$J$2:$J$1001))+((K754-(L754+Calc!$J$2:$J$1001))&gt;=Calc!$F$2:$F$1001)*Calc!$F$2:$F$1001))))</f>
        <v/>
      </c>
      <c r="Q754">
        <f>IF(I754=0,0,(MIN(MAX((K754+M754),0),L754)*W754+SUMPRODUCT((Calc!$A$2:$A$1001=A754)*Calc!$G$2:$G$1001*((((K754+M754)-(L754+Calc!$J$2:$J$1001))&gt;0)*(((K754+M754)-(L754+Calc!$J$2:$J$1001))&lt;Calc!$F$2:$F$1001)*((K754+M754)-(L754+Calc!$J$2:$J$1001))+(((K754+M754)-(L754+Calc!$J$2:$J$1001))&gt;=Calc!$F$2:$F$1001)*Calc!$F$2:$F$1001))))</f>
        <v/>
      </c>
      <c r="R754">
        <f>IF(I754=0,0,(MIN(MAX((K754+N754),0),L754)*W754+SUMPRODUCT((Calc!$A$2:$A$1001=A754)*Calc!$G$2:$G$1001*((((K754+N754)-(L754+Calc!$J$2:$J$1001))&gt;0)*(((K754+N754)-(L754+Calc!$J$2:$J$1001))&lt;Calc!$F$2:$F$1001)*((K754+N754)-(L754+Calc!$J$2:$J$1001))+(((K754+N754)-(L754+Calc!$J$2:$J$1001))&gt;=Calc!$F$2:$F$1001)*Calc!$F$2:$F$1001))))</f>
        <v/>
      </c>
      <c r="S754">
        <f>IF(I754=0,0,(MIN(MAX((K754+O754),0),L754)*W754+SUMPRODUCT((Calc!$A$2:$A$1001=A754)*Calc!$G$2:$G$1001*((((K754+O754)-(L754+Calc!$J$2:$J$1001))&gt;0)*(((K754+O754)-(L754+Calc!$J$2:$J$1001))&lt;Calc!$F$2:$F$1001)*((K754+O754)-(L754+Calc!$J$2:$J$1001))+(((K754+O754)-(L754+Calc!$J$2:$J$1001))&gt;=Calc!$F$2:$F$1001)*Calc!$F$2:$F$1001))))</f>
        <v/>
      </c>
      <c r="T754">
        <f>IF(AND(E754=1,B754="RETURN"),Transactions!E754*Transactions!G754,0)</f>
        <v/>
      </c>
      <c r="U754">
        <f>IF(AND(E754=1,B754="EXPENSE"),Transactions!J754,0)</f>
        <v/>
      </c>
      <c r="V754">
        <f>IF(AND(Transactions!A754&lt;&gt;"",E754=0),ROW(),"")</f>
        <v/>
      </c>
      <c r="W754">
        <f>IFERROR(VLOOKUP(A754,Opening!$A:$D,4,0),0)</f>
        <v/>
      </c>
    </row>
    <row r="755">
      <c r="A755">
        <f>IF(Transactions!D755="","",UPPER(TRIM(Transactions!D755)))</f>
        <v/>
      </c>
      <c r="B755">
        <f>IF(Transactions!C755="","",UPPER(TRIM(Transactions!C755)))</f>
        <v/>
      </c>
      <c r="C755">
        <f>IF(Transactions!B755="",0,YEAR(Transactions!B755)*100+MONTH(Transactions!B755))</f>
        <v/>
      </c>
      <c r="D755">
        <f>IF(Transactions!A755="",1,IF(COUNTIF(Transactions!$A$1:A754,Transactions!A755)&gt;0,1,0))</f>
        <v/>
      </c>
      <c r="E755">
        <f>IF(D755=1,0,IF(B755="RETURN",IF(COUNTIFS($A$1:A754,A755,$B$1:B754,"SALE",$E$1:E754,1)&gt;0,1,0),1))</f>
        <v/>
      </c>
      <c r="F755">
        <f>IF(E755=1,IF(B755="RECEIPT",Transactions!E755,IF(AND(B755="RETURN",LOWER(TRIM(Transactions!H755))="resellable"),Transactions!E755,0)),0)</f>
        <v/>
      </c>
      <c r="G755">
        <f>IF(F755&gt;0,IF(B755="RECEIPT",Transactions!F755,IF(_xlfn.MAXIFS($H$2:H755,$A$2:A755,A755)&gt;0,INDEX(Transactions!$F:$F,_xlfn.MAXIFS($H$2:H755,$A$2:A755,A755)),W755)),0)</f>
        <v/>
      </c>
      <c r="H755">
        <f>IF(AND(E755=1,B755="RECEIPT"),ROW(),0)</f>
        <v/>
      </c>
      <c r="I755">
        <f>IF(E755=1,IF(OR(B755="SALE",B755="WRITEOFF"),Transactions!E755,0),0)</f>
        <v/>
      </c>
      <c r="J755">
        <f>SUMIFS($F$1:F754,$A$1:A754,A755)</f>
        <v/>
      </c>
      <c r="K755">
        <f>SUMIFS($I$1:I754,$A$1:A754,A755)</f>
        <v/>
      </c>
      <c r="L755">
        <f>IFERROR(VLOOKUP(A755,Opening!$A:$C,3,0),0)</f>
        <v/>
      </c>
      <c r="M755">
        <f>IF(I755=0,0,MAX(0,MIN(INDEX(Month!H$2:H$13,MATCH($A755,Month!$A$2:$A$13,0))-K755,I755)))</f>
        <v/>
      </c>
      <c r="N755">
        <f>IF(I755=0,0,MAX(0,MIN(INDEX(Month!I$2:I$13,MATCH($A755,Month!$A$2:$A$13,0))-K755,I755)))</f>
        <v/>
      </c>
      <c r="O755">
        <f>IF(I755=0,0,MAX(0,MIN(INDEX(Month!J$2:J$13,MATCH($A755,Month!$A$2:$A$13,0))-K755,I755)))</f>
        <v/>
      </c>
      <c r="P755">
        <f>IF(I755=0,0,(MIN(MAX(K755,0),L755)*W755+SUMPRODUCT((Calc!$A$2:$A$1001=A755)*Calc!$G$2:$G$1001*(((K755-(L755+Calc!$J$2:$J$1001))&gt;0)*((K755-(L755+Calc!$J$2:$J$1001))&lt;Calc!$F$2:$F$1001)*(K755-(L755+Calc!$J$2:$J$1001))+((K755-(L755+Calc!$J$2:$J$1001))&gt;=Calc!$F$2:$F$1001)*Calc!$F$2:$F$1001))))</f>
        <v/>
      </c>
      <c r="Q755">
        <f>IF(I755=0,0,(MIN(MAX((K755+M755),0),L755)*W755+SUMPRODUCT((Calc!$A$2:$A$1001=A755)*Calc!$G$2:$G$1001*((((K755+M755)-(L755+Calc!$J$2:$J$1001))&gt;0)*(((K755+M755)-(L755+Calc!$J$2:$J$1001))&lt;Calc!$F$2:$F$1001)*((K755+M755)-(L755+Calc!$J$2:$J$1001))+(((K755+M755)-(L755+Calc!$J$2:$J$1001))&gt;=Calc!$F$2:$F$1001)*Calc!$F$2:$F$1001))))</f>
        <v/>
      </c>
      <c r="R755">
        <f>IF(I755=0,0,(MIN(MAX((K755+N755),0),L755)*W755+SUMPRODUCT((Calc!$A$2:$A$1001=A755)*Calc!$G$2:$G$1001*((((K755+N755)-(L755+Calc!$J$2:$J$1001))&gt;0)*(((K755+N755)-(L755+Calc!$J$2:$J$1001))&lt;Calc!$F$2:$F$1001)*((K755+N755)-(L755+Calc!$J$2:$J$1001))+(((K755+N755)-(L755+Calc!$J$2:$J$1001))&gt;=Calc!$F$2:$F$1001)*Calc!$F$2:$F$1001))))</f>
        <v/>
      </c>
      <c r="S755">
        <f>IF(I755=0,0,(MIN(MAX((K755+O755),0),L755)*W755+SUMPRODUCT((Calc!$A$2:$A$1001=A755)*Calc!$G$2:$G$1001*((((K755+O755)-(L755+Calc!$J$2:$J$1001))&gt;0)*(((K755+O755)-(L755+Calc!$J$2:$J$1001))&lt;Calc!$F$2:$F$1001)*((K755+O755)-(L755+Calc!$J$2:$J$1001))+(((K755+O755)-(L755+Calc!$J$2:$J$1001))&gt;=Calc!$F$2:$F$1001)*Calc!$F$2:$F$1001))))</f>
        <v/>
      </c>
      <c r="T755">
        <f>IF(AND(E755=1,B755="RETURN"),Transactions!E755*Transactions!G755,0)</f>
        <v/>
      </c>
      <c r="U755">
        <f>IF(AND(E755=1,B755="EXPENSE"),Transactions!J755,0)</f>
        <v/>
      </c>
      <c r="V755">
        <f>IF(AND(Transactions!A755&lt;&gt;"",E755=0),ROW(),"")</f>
        <v/>
      </c>
      <c r="W755">
        <f>IFERROR(VLOOKUP(A755,Opening!$A:$D,4,0),0)</f>
        <v/>
      </c>
    </row>
    <row r="756">
      <c r="A756">
        <f>IF(Transactions!D756="","",UPPER(TRIM(Transactions!D756)))</f>
        <v/>
      </c>
      <c r="B756">
        <f>IF(Transactions!C756="","",UPPER(TRIM(Transactions!C756)))</f>
        <v/>
      </c>
      <c r="C756">
        <f>IF(Transactions!B756="",0,YEAR(Transactions!B756)*100+MONTH(Transactions!B756))</f>
        <v/>
      </c>
      <c r="D756">
        <f>IF(Transactions!A756="",1,IF(COUNTIF(Transactions!$A$1:A755,Transactions!A756)&gt;0,1,0))</f>
        <v/>
      </c>
      <c r="E756">
        <f>IF(D756=1,0,IF(B756="RETURN",IF(COUNTIFS($A$1:A755,A756,$B$1:B755,"SALE",$E$1:E755,1)&gt;0,1,0),1))</f>
        <v/>
      </c>
      <c r="F756">
        <f>IF(E756=1,IF(B756="RECEIPT",Transactions!E756,IF(AND(B756="RETURN",LOWER(TRIM(Transactions!H756))="resellable"),Transactions!E756,0)),0)</f>
        <v/>
      </c>
      <c r="G756">
        <f>IF(F756&gt;0,IF(B756="RECEIPT",Transactions!F756,IF(_xlfn.MAXIFS($H$2:H756,$A$2:A756,A756)&gt;0,INDEX(Transactions!$F:$F,_xlfn.MAXIFS($H$2:H756,$A$2:A756,A756)),W756)),0)</f>
        <v/>
      </c>
      <c r="H756">
        <f>IF(AND(E756=1,B756="RECEIPT"),ROW(),0)</f>
        <v/>
      </c>
      <c r="I756">
        <f>IF(E756=1,IF(OR(B756="SALE",B756="WRITEOFF"),Transactions!E756,0),0)</f>
        <v/>
      </c>
      <c r="J756">
        <f>SUMIFS($F$1:F755,$A$1:A755,A756)</f>
        <v/>
      </c>
      <c r="K756">
        <f>SUMIFS($I$1:I755,$A$1:A755,A756)</f>
        <v/>
      </c>
      <c r="L756">
        <f>IFERROR(VLOOKUP(A756,Opening!$A:$C,3,0),0)</f>
        <v/>
      </c>
      <c r="M756">
        <f>IF(I756=0,0,MAX(0,MIN(INDEX(Month!H$2:H$13,MATCH($A756,Month!$A$2:$A$13,0))-K756,I756)))</f>
        <v/>
      </c>
      <c r="N756">
        <f>IF(I756=0,0,MAX(0,MIN(INDEX(Month!I$2:I$13,MATCH($A756,Month!$A$2:$A$13,0))-K756,I756)))</f>
        <v/>
      </c>
      <c r="O756">
        <f>IF(I756=0,0,MAX(0,MIN(INDEX(Month!J$2:J$13,MATCH($A756,Month!$A$2:$A$13,0))-K756,I756)))</f>
        <v/>
      </c>
      <c r="P756">
        <f>IF(I756=0,0,(MIN(MAX(K756,0),L756)*W756+SUMPRODUCT((Calc!$A$2:$A$1001=A756)*Calc!$G$2:$G$1001*(((K756-(L756+Calc!$J$2:$J$1001))&gt;0)*((K756-(L756+Calc!$J$2:$J$1001))&lt;Calc!$F$2:$F$1001)*(K756-(L756+Calc!$J$2:$J$1001))+((K756-(L756+Calc!$J$2:$J$1001))&gt;=Calc!$F$2:$F$1001)*Calc!$F$2:$F$1001))))</f>
        <v/>
      </c>
      <c r="Q756">
        <f>IF(I756=0,0,(MIN(MAX((K756+M756),0),L756)*W756+SUMPRODUCT((Calc!$A$2:$A$1001=A756)*Calc!$G$2:$G$1001*((((K756+M756)-(L756+Calc!$J$2:$J$1001))&gt;0)*(((K756+M756)-(L756+Calc!$J$2:$J$1001))&lt;Calc!$F$2:$F$1001)*((K756+M756)-(L756+Calc!$J$2:$J$1001))+(((K756+M756)-(L756+Calc!$J$2:$J$1001))&gt;=Calc!$F$2:$F$1001)*Calc!$F$2:$F$1001))))</f>
        <v/>
      </c>
      <c r="R756">
        <f>IF(I756=0,0,(MIN(MAX((K756+N756),0),L756)*W756+SUMPRODUCT((Calc!$A$2:$A$1001=A756)*Calc!$G$2:$G$1001*((((K756+N756)-(L756+Calc!$J$2:$J$1001))&gt;0)*(((K756+N756)-(L756+Calc!$J$2:$J$1001))&lt;Calc!$F$2:$F$1001)*((K756+N756)-(L756+Calc!$J$2:$J$1001))+(((K756+N756)-(L756+Calc!$J$2:$J$1001))&gt;=Calc!$F$2:$F$1001)*Calc!$F$2:$F$1001))))</f>
        <v/>
      </c>
      <c r="S756">
        <f>IF(I756=0,0,(MIN(MAX((K756+O756),0),L756)*W756+SUMPRODUCT((Calc!$A$2:$A$1001=A756)*Calc!$G$2:$G$1001*((((K756+O756)-(L756+Calc!$J$2:$J$1001))&gt;0)*(((K756+O756)-(L756+Calc!$J$2:$J$1001))&lt;Calc!$F$2:$F$1001)*((K756+O756)-(L756+Calc!$J$2:$J$1001))+(((K756+O756)-(L756+Calc!$J$2:$J$1001))&gt;=Calc!$F$2:$F$1001)*Calc!$F$2:$F$1001))))</f>
        <v/>
      </c>
      <c r="T756">
        <f>IF(AND(E756=1,B756="RETURN"),Transactions!E756*Transactions!G756,0)</f>
        <v/>
      </c>
      <c r="U756">
        <f>IF(AND(E756=1,B756="EXPENSE"),Transactions!J756,0)</f>
        <v/>
      </c>
      <c r="V756">
        <f>IF(AND(Transactions!A756&lt;&gt;"",E756=0),ROW(),"")</f>
        <v/>
      </c>
      <c r="W756">
        <f>IFERROR(VLOOKUP(A756,Opening!$A:$D,4,0),0)</f>
        <v/>
      </c>
    </row>
    <row r="757">
      <c r="A757">
        <f>IF(Transactions!D757="","",UPPER(TRIM(Transactions!D757)))</f>
        <v/>
      </c>
      <c r="B757">
        <f>IF(Transactions!C757="","",UPPER(TRIM(Transactions!C757)))</f>
        <v/>
      </c>
      <c r="C757">
        <f>IF(Transactions!B757="",0,YEAR(Transactions!B757)*100+MONTH(Transactions!B757))</f>
        <v/>
      </c>
      <c r="D757">
        <f>IF(Transactions!A757="",1,IF(COUNTIF(Transactions!$A$1:A756,Transactions!A757)&gt;0,1,0))</f>
        <v/>
      </c>
      <c r="E757">
        <f>IF(D757=1,0,IF(B757="RETURN",IF(COUNTIFS($A$1:A756,A757,$B$1:B756,"SALE",$E$1:E756,1)&gt;0,1,0),1))</f>
        <v/>
      </c>
      <c r="F757">
        <f>IF(E757=1,IF(B757="RECEIPT",Transactions!E757,IF(AND(B757="RETURN",LOWER(TRIM(Transactions!H757))="resellable"),Transactions!E757,0)),0)</f>
        <v/>
      </c>
      <c r="G757">
        <f>IF(F757&gt;0,IF(B757="RECEIPT",Transactions!F757,IF(_xlfn.MAXIFS($H$2:H757,$A$2:A757,A757)&gt;0,INDEX(Transactions!$F:$F,_xlfn.MAXIFS($H$2:H757,$A$2:A757,A757)),W757)),0)</f>
        <v/>
      </c>
      <c r="H757">
        <f>IF(AND(E757=1,B757="RECEIPT"),ROW(),0)</f>
        <v/>
      </c>
      <c r="I757">
        <f>IF(E757=1,IF(OR(B757="SALE",B757="WRITEOFF"),Transactions!E757,0),0)</f>
        <v/>
      </c>
      <c r="J757">
        <f>SUMIFS($F$1:F756,$A$1:A756,A757)</f>
        <v/>
      </c>
      <c r="K757">
        <f>SUMIFS($I$1:I756,$A$1:A756,A757)</f>
        <v/>
      </c>
      <c r="L757">
        <f>IFERROR(VLOOKUP(A757,Opening!$A:$C,3,0),0)</f>
        <v/>
      </c>
      <c r="M757">
        <f>IF(I757=0,0,MAX(0,MIN(INDEX(Month!H$2:H$13,MATCH($A757,Month!$A$2:$A$13,0))-K757,I757)))</f>
        <v/>
      </c>
      <c r="N757">
        <f>IF(I757=0,0,MAX(0,MIN(INDEX(Month!I$2:I$13,MATCH($A757,Month!$A$2:$A$13,0))-K757,I757)))</f>
        <v/>
      </c>
      <c r="O757">
        <f>IF(I757=0,0,MAX(0,MIN(INDEX(Month!J$2:J$13,MATCH($A757,Month!$A$2:$A$13,0))-K757,I757)))</f>
        <v/>
      </c>
      <c r="P757">
        <f>IF(I757=0,0,(MIN(MAX(K757,0),L757)*W757+SUMPRODUCT((Calc!$A$2:$A$1001=A757)*Calc!$G$2:$G$1001*(((K757-(L757+Calc!$J$2:$J$1001))&gt;0)*((K757-(L757+Calc!$J$2:$J$1001))&lt;Calc!$F$2:$F$1001)*(K757-(L757+Calc!$J$2:$J$1001))+((K757-(L757+Calc!$J$2:$J$1001))&gt;=Calc!$F$2:$F$1001)*Calc!$F$2:$F$1001))))</f>
        <v/>
      </c>
      <c r="Q757">
        <f>IF(I757=0,0,(MIN(MAX((K757+M757),0),L757)*W757+SUMPRODUCT((Calc!$A$2:$A$1001=A757)*Calc!$G$2:$G$1001*((((K757+M757)-(L757+Calc!$J$2:$J$1001))&gt;0)*(((K757+M757)-(L757+Calc!$J$2:$J$1001))&lt;Calc!$F$2:$F$1001)*((K757+M757)-(L757+Calc!$J$2:$J$1001))+(((K757+M757)-(L757+Calc!$J$2:$J$1001))&gt;=Calc!$F$2:$F$1001)*Calc!$F$2:$F$1001))))</f>
        <v/>
      </c>
      <c r="R757">
        <f>IF(I757=0,0,(MIN(MAX((K757+N757),0),L757)*W757+SUMPRODUCT((Calc!$A$2:$A$1001=A757)*Calc!$G$2:$G$1001*((((K757+N757)-(L757+Calc!$J$2:$J$1001))&gt;0)*(((K757+N757)-(L757+Calc!$J$2:$J$1001))&lt;Calc!$F$2:$F$1001)*((K757+N757)-(L757+Calc!$J$2:$J$1001))+(((K757+N757)-(L757+Calc!$J$2:$J$1001))&gt;=Calc!$F$2:$F$1001)*Calc!$F$2:$F$1001))))</f>
        <v/>
      </c>
      <c r="S757">
        <f>IF(I757=0,0,(MIN(MAX((K757+O757),0),L757)*W757+SUMPRODUCT((Calc!$A$2:$A$1001=A757)*Calc!$G$2:$G$1001*((((K757+O757)-(L757+Calc!$J$2:$J$1001))&gt;0)*(((K757+O757)-(L757+Calc!$J$2:$J$1001))&lt;Calc!$F$2:$F$1001)*((K757+O757)-(L757+Calc!$J$2:$J$1001))+(((K757+O757)-(L757+Calc!$J$2:$J$1001))&gt;=Calc!$F$2:$F$1001)*Calc!$F$2:$F$1001))))</f>
        <v/>
      </c>
      <c r="T757">
        <f>IF(AND(E757=1,B757="RETURN"),Transactions!E757*Transactions!G757,0)</f>
        <v/>
      </c>
      <c r="U757">
        <f>IF(AND(E757=1,B757="EXPENSE"),Transactions!J757,0)</f>
        <v/>
      </c>
      <c r="V757">
        <f>IF(AND(Transactions!A757&lt;&gt;"",E757=0),ROW(),"")</f>
        <v/>
      </c>
      <c r="W757">
        <f>IFERROR(VLOOKUP(A757,Opening!$A:$D,4,0),0)</f>
        <v/>
      </c>
    </row>
    <row r="758">
      <c r="A758">
        <f>IF(Transactions!D758="","",UPPER(TRIM(Transactions!D758)))</f>
        <v/>
      </c>
      <c r="B758">
        <f>IF(Transactions!C758="","",UPPER(TRIM(Transactions!C758)))</f>
        <v/>
      </c>
      <c r="C758">
        <f>IF(Transactions!B758="",0,YEAR(Transactions!B758)*100+MONTH(Transactions!B758))</f>
        <v/>
      </c>
      <c r="D758">
        <f>IF(Transactions!A758="",1,IF(COUNTIF(Transactions!$A$1:A757,Transactions!A758)&gt;0,1,0))</f>
        <v/>
      </c>
      <c r="E758">
        <f>IF(D758=1,0,IF(B758="RETURN",IF(COUNTIFS($A$1:A757,A758,$B$1:B757,"SALE",$E$1:E757,1)&gt;0,1,0),1))</f>
        <v/>
      </c>
      <c r="F758">
        <f>IF(E758=1,IF(B758="RECEIPT",Transactions!E758,IF(AND(B758="RETURN",LOWER(TRIM(Transactions!H758))="resellable"),Transactions!E758,0)),0)</f>
        <v/>
      </c>
      <c r="G758">
        <f>IF(F758&gt;0,IF(B758="RECEIPT",Transactions!F758,IF(_xlfn.MAXIFS($H$2:H758,$A$2:A758,A758)&gt;0,INDEX(Transactions!$F:$F,_xlfn.MAXIFS($H$2:H758,$A$2:A758,A758)),W758)),0)</f>
        <v/>
      </c>
      <c r="H758">
        <f>IF(AND(E758=1,B758="RECEIPT"),ROW(),0)</f>
        <v/>
      </c>
      <c r="I758">
        <f>IF(E758=1,IF(OR(B758="SALE",B758="WRITEOFF"),Transactions!E758,0),0)</f>
        <v/>
      </c>
      <c r="J758">
        <f>SUMIFS($F$1:F757,$A$1:A757,A758)</f>
        <v/>
      </c>
      <c r="K758">
        <f>SUMIFS($I$1:I757,$A$1:A757,A758)</f>
        <v/>
      </c>
      <c r="L758">
        <f>IFERROR(VLOOKUP(A758,Opening!$A:$C,3,0),0)</f>
        <v/>
      </c>
      <c r="M758">
        <f>IF(I758=0,0,MAX(0,MIN(INDEX(Month!H$2:H$13,MATCH($A758,Month!$A$2:$A$13,0))-K758,I758)))</f>
        <v/>
      </c>
      <c r="N758">
        <f>IF(I758=0,0,MAX(0,MIN(INDEX(Month!I$2:I$13,MATCH($A758,Month!$A$2:$A$13,0))-K758,I758)))</f>
        <v/>
      </c>
      <c r="O758">
        <f>IF(I758=0,0,MAX(0,MIN(INDEX(Month!J$2:J$13,MATCH($A758,Month!$A$2:$A$13,0))-K758,I758)))</f>
        <v/>
      </c>
      <c r="P758">
        <f>IF(I758=0,0,(MIN(MAX(K758,0),L758)*W758+SUMPRODUCT((Calc!$A$2:$A$1001=A758)*Calc!$G$2:$G$1001*(((K758-(L758+Calc!$J$2:$J$1001))&gt;0)*((K758-(L758+Calc!$J$2:$J$1001))&lt;Calc!$F$2:$F$1001)*(K758-(L758+Calc!$J$2:$J$1001))+((K758-(L758+Calc!$J$2:$J$1001))&gt;=Calc!$F$2:$F$1001)*Calc!$F$2:$F$1001))))</f>
        <v/>
      </c>
      <c r="Q758">
        <f>IF(I758=0,0,(MIN(MAX((K758+M758),0),L758)*W758+SUMPRODUCT((Calc!$A$2:$A$1001=A758)*Calc!$G$2:$G$1001*((((K758+M758)-(L758+Calc!$J$2:$J$1001))&gt;0)*(((K758+M758)-(L758+Calc!$J$2:$J$1001))&lt;Calc!$F$2:$F$1001)*((K758+M758)-(L758+Calc!$J$2:$J$1001))+(((K758+M758)-(L758+Calc!$J$2:$J$1001))&gt;=Calc!$F$2:$F$1001)*Calc!$F$2:$F$1001))))</f>
        <v/>
      </c>
      <c r="R758">
        <f>IF(I758=0,0,(MIN(MAX((K758+N758),0),L758)*W758+SUMPRODUCT((Calc!$A$2:$A$1001=A758)*Calc!$G$2:$G$1001*((((K758+N758)-(L758+Calc!$J$2:$J$1001))&gt;0)*(((K758+N758)-(L758+Calc!$J$2:$J$1001))&lt;Calc!$F$2:$F$1001)*((K758+N758)-(L758+Calc!$J$2:$J$1001))+(((K758+N758)-(L758+Calc!$J$2:$J$1001))&gt;=Calc!$F$2:$F$1001)*Calc!$F$2:$F$1001))))</f>
        <v/>
      </c>
      <c r="S758">
        <f>IF(I758=0,0,(MIN(MAX((K758+O758),0),L758)*W758+SUMPRODUCT((Calc!$A$2:$A$1001=A758)*Calc!$G$2:$G$1001*((((K758+O758)-(L758+Calc!$J$2:$J$1001))&gt;0)*(((K758+O758)-(L758+Calc!$J$2:$J$1001))&lt;Calc!$F$2:$F$1001)*((K758+O758)-(L758+Calc!$J$2:$J$1001))+(((K758+O758)-(L758+Calc!$J$2:$J$1001))&gt;=Calc!$F$2:$F$1001)*Calc!$F$2:$F$1001))))</f>
        <v/>
      </c>
      <c r="T758">
        <f>IF(AND(E758=1,B758="RETURN"),Transactions!E758*Transactions!G758,0)</f>
        <v/>
      </c>
      <c r="U758">
        <f>IF(AND(E758=1,B758="EXPENSE"),Transactions!J758,0)</f>
        <v/>
      </c>
      <c r="V758">
        <f>IF(AND(Transactions!A758&lt;&gt;"",E758=0),ROW(),"")</f>
        <v/>
      </c>
      <c r="W758">
        <f>IFERROR(VLOOKUP(A758,Opening!$A:$D,4,0),0)</f>
        <v/>
      </c>
    </row>
    <row r="759">
      <c r="A759">
        <f>IF(Transactions!D759="","",UPPER(TRIM(Transactions!D759)))</f>
        <v/>
      </c>
      <c r="B759">
        <f>IF(Transactions!C759="","",UPPER(TRIM(Transactions!C759)))</f>
        <v/>
      </c>
      <c r="C759">
        <f>IF(Transactions!B759="",0,YEAR(Transactions!B759)*100+MONTH(Transactions!B759))</f>
        <v/>
      </c>
      <c r="D759">
        <f>IF(Transactions!A759="",1,IF(COUNTIF(Transactions!$A$1:A758,Transactions!A759)&gt;0,1,0))</f>
        <v/>
      </c>
      <c r="E759">
        <f>IF(D759=1,0,IF(B759="RETURN",IF(COUNTIFS($A$1:A758,A759,$B$1:B758,"SALE",$E$1:E758,1)&gt;0,1,0),1))</f>
        <v/>
      </c>
      <c r="F759">
        <f>IF(E759=1,IF(B759="RECEIPT",Transactions!E759,IF(AND(B759="RETURN",LOWER(TRIM(Transactions!H759))="resellable"),Transactions!E759,0)),0)</f>
        <v/>
      </c>
      <c r="G759">
        <f>IF(F759&gt;0,IF(B759="RECEIPT",Transactions!F759,IF(_xlfn.MAXIFS($H$2:H759,$A$2:A759,A759)&gt;0,INDEX(Transactions!$F:$F,_xlfn.MAXIFS($H$2:H759,$A$2:A759,A759)),W759)),0)</f>
        <v/>
      </c>
      <c r="H759">
        <f>IF(AND(E759=1,B759="RECEIPT"),ROW(),0)</f>
        <v/>
      </c>
      <c r="I759">
        <f>IF(E759=1,IF(OR(B759="SALE",B759="WRITEOFF"),Transactions!E759,0),0)</f>
        <v/>
      </c>
      <c r="J759">
        <f>SUMIFS($F$1:F758,$A$1:A758,A759)</f>
        <v/>
      </c>
      <c r="K759">
        <f>SUMIFS($I$1:I758,$A$1:A758,A759)</f>
        <v/>
      </c>
      <c r="L759">
        <f>IFERROR(VLOOKUP(A759,Opening!$A:$C,3,0),0)</f>
        <v/>
      </c>
      <c r="M759">
        <f>IF(I759=0,0,MAX(0,MIN(INDEX(Month!H$2:H$13,MATCH($A759,Month!$A$2:$A$13,0))-K759,I759)))</f>
        <v/>
      </c>
      <c r="N759">
        <f>IF(I759=0,0,MAX(0,MIN(INDEX(Month!I$2:I$13,MATCH($A759,Month!$A$2:$A$13,0))-K759,I759)))</f>
        <v/>
      </c>
      <c r="O759">
        <f>IF(I759=0,0,MAX(0,MIN(INDEX(Month!J$2:J$13,MATCH($A759,Month!$A$2:$A$13,0))-K759,I759)))</f>
        <v/>
      </c>
      <c r="P759">
        <f>IF(I759=0,0,(MIN(MAX(K759,0),L759)*W759+SUMPRODUCT((Calc!$A$2:$A$1001=A759)*Calc!$G$2:$G$1001*(((K759-(L759+Calc!$J$2:$J$1001))&gt;0)*((K759-(L759+Calc!$J$2:$J$1001))&lt;Calc!$F$2:$F$1001)*(K759-(L759+Calc!$J$2:$J$1001))+((K759-(L759+Calc!$J$2:$J$1001))&gt;=Calc!$F$2:$F$1001)*Calc!$F$2:$F$1001))))</f>
        <v/>
      </c>
      <c r="Q759">
        <f>IF(I759=0,0,(MIN(MAX((K759+M759),0),L759)*W759+SUMPRODUCT((Calc!$A$2:$A$1001=A759)*Calc!$G$2:$G$1001*((((K759+M759)-(L759+Calc!$J$2:$J$1001))&gt;0)*(((K759+M759)-(L759+Calc!$J$2:$J$1001))&lt;Calc!$F$2:$F$1001)*((K759+M759)-(L759+Calc!$J$2:$J$1001))+(((K759+M759)-(L759+Calc!$J$2:$J$1001))&gt;=Calc!$F$2:$F$1001)*Calc!$F$2:$F$1001))))</f>
        <v/>
      </c>
      <c r="R759">
        <f>IF(I759=0,0,(MIN(MAX((K759+N759),0),L759)*W759+SUMPRODUCT((Calc!$A$2:$A$1001=A759)*Calc!$G$2:$G$1001*((((K759+N759)-(L759+Calc!$J$2:$J$1001))&gt;0)*(((K759+N759)-(L759+Calc!$J$2:$J$1001))&lt;Calc!$F$2:$F$1001)*((K759+N759)-(L759+Calc!$J$2:$J$1001))+(((K759+N759)-(L759+Calc!$J$2:$J$1001))&gt;=Calc!$F$2:$F$1001)*Calc!$F$2:$F$1001))))</f>
        <v/>
      </c>
      <c r="S759">
        <f>IF(I759=0,0,(MIN(MAX((K759+O759),0),L759)*W759+SUMPRODUCT((Calc!$A$2:$A$1001=A759)*Calc!$G$2:$G$1001*((((K759+O759)-(L759+Calc!$J$2:$J$1001))&gt;0)*(((K759+O759)-(L759+Calc!$J$2:$J$1001))&lt;Calc!$F$2:$F$1001)*((K759+O759)-(L759+Calc!$J$2:$J$1001))+(((K759+O759)-(L759+Calc!$J$2:$J$1001))&gt;=Calc!$F$2:$F$1001)*Calc!$F$2:$F$1001))))</f>
        <v/>
      </c>
      <c r="T759">
        <f>IF(AND(E759=1,B759="RETURN"),Transactions!E759*Transactions!G759,0)</f>
        <v/>
      </c>
      <c r="U759">
        <f>IF(AND(E759=1,B759="EXPENSE"),Transactions!J759,0)</f>
        <v/>
      </c>
      <c r="V759">
        <f>IF(AND(Transactions!A759&lt;&gt;"",E759=0),ROW(),"")</f>
        <v/>
      </c>
      <c r="W759">
        <f>IFERROR(VLOOKUP(A759,Opening!$A:$D,4,0),0)</f>
        <v/>
      </c>
    </row>
    <row r="760">
      <c r="A760">
        <f>IF(Transactions!D760="","",UPPER(TRIM(Transactions!D760)))</f>
        <v/>
      </c>
      <c r="B760">
        <f>IF(Transactions!C760="","",UPPER(TRIM(Transactions!C760)))</f>
        <v/>
      </c>
      <c r="C760">
        <f>IF(Transactions!B760="",0,YEAR(Transactions!B760)*100+MONTH(Transactions!B760))</f>
        <v/>
      </c>
      <c r="D760">
        <f>IF(Transactions!A760="",1,IF(COUNTIF(Transactions!$A$1:A759,Transactions!A760)&gt;0,1,0))</f>
        <v/>
      </c>
      <c r="E760">
        <f>IF(D760=1,0,IF(B760="RETURN",IF(COUNTIFS($A$1:A759,A760,$B$1:B759,"SALE",$E$1:E759,1)&gt;0,1,0),1))</f>
        <v/>
      </c>
      <c r="F760">
        <f>IF(E760=1,IF(B760="RECEIPT",Transactions!E760,IF(AND(B760="RETURN",LOWER(TRIM(Transactions!H760))="resellable"),Transactions!E760,0)),0)</f>
        <v/>
      </c>
      <c r="G760">
        <f>IF(F760&gt;0,IF(B760="RECEIPT",Transactions!F760,IF(_xlfn.MAXIFS($H$2:H760,$A$2:A760,A760)&gt;0,INDEX(Transactions!$F:$F,_xlfn.MAXIFS($H$2:H760,$A$2:A760,A760)),W760)),0)</f>
        <v/>
      </c>
      <c r="H760">
        <f>IF(AND(E760=1,B760="RECEIPT"),ROW(),0)</f>
        <v/>
      </c>
      <c r="I760">
        <f>IF(E760=1,IF(OR(B760="SALE",B760="WRITEOFF"),Transactions!E760,0),0)</f>
        <v/>
      </c>
      <c r="J760">
        <f>SUMIFS($F$1:F759,$A$1:A759,A760)</f>
        <v/>
      </c>
      <c r="K760">
        <f>SUMIFS($I$1:I759,$A$1:A759,A760)</f>
        <v/>
      </c>
      <c r="L760">
        <f>IFERROR(VLOOKUP(A760,Opening!$A:$C,3,0),0)</f>
        <v/>
      </c>
      <c r="M760">
        <f>IF(I760=0,0,MAX(0,MIN(INDEX(Month!H$2:H$13,MATCH($A760,Month!$A$2:$A$13,0))-K760,I760)))</f>
        <v/>
      </c>
      <c r="N760">
        <f>IF(I760=0,0,MAX(0,MIN(INDEX(Month!I$2:I$13,MATCH($A760,Month!$A$2:$A$13,0))-K760,I760)))</f>
        <v/>
      </c>
      <c r="O760">
        <f>IF(I760=0,0,MAX(0,MIN(INDEX(Month!J$2:J$13,MATCH($A760,Month!$A$2:$A$13,0))-K760,I760)))</f>
        <v/>
      </c>
      <c r="P760">
        <f>IF(I760=0,0,(MIN(MAX(K760,0),L760)*W760+SUMPRODUCT((Calc!$A$2:$A$1001=A760)*Calc!$G$2:$G$1001*(((K760-(L760+Calc!$J$2:$J$1001))&gt;0)*((K760-(L760+Calc!$J$2:$J$1001))&lt;Calc!$F$2:$F$1001)*(K760-(L760+Calc!$J$2:$J$1001))+((K760-(L760+Calc!$J$2:$J$1001))&gt;=Calc!$F$2:$F$1001)*Calc!$F$2:$F$1001))))</f>
        <v/>
      </c>
      <c r="Q760">
        <f>IF(I760=0,0,(MIN(MAX((K760+M760),0),L760)*W760+SUMPRODUCT((Calc!$A$2:$A$1001=A760)*Calc!$G$2:$G$1001*((((K760+M760)-(L760+Calc!$J$2:$J$1001))&gt;0)*(((K760+M760)-(L760+Calc!$J$2:$J$1001))&lt;Calc!$F$2:$F$1001)*((K760+M760)-(L760+Calc!$J$2:$J$1001))+(((K760+M760)-(L760+Calc!$J$2:$J$1001))&gt;=Calc!$F$2:$F$1001)*Calc!$F$2:$F$1001))))</f>
        <v/>
      </c>
      <c r="R760">
        <f>IF(I760=0,0,(MIN(MAX((K760+N760),0),L760)*W760+SUMPRODUCT((Calc!$A$2:$A$1001=A760)*Calc!$G$2:$G$1001*((((K760+N760)-(L760+Calc!$J$2:$J$1001))&gt;0)*(((K760+N760)-(L760+Calc!$J$2:$J$1001))&lt;Calc!$F$2:$F$1001)*((K760+N760)-(L760+Calc!$J$2:$J$1001))+(((K760+N760)-(L760+Calc!$J$2:$J$1001))&gt;=Calc!$F$2:$F$1001)*Calc!$F$2:$F$1001))))</f>
        <v/>
      </c>
      <c r="S760">
        <f>IF(I760=0,0,(MIN(MAX((K760+O760),0),L760)*W760+SUMPRODUCT((Calc!$A$2:$A$1001=A760)*Calc!$G$2:$G$1001*((((K760+O760)-(L760+Calc!$J$2:$J$1001))&gt;0)*(((K760+O760)-(L760+Calc!$J$2:$J$1001))&lt;Calc!$F$2:$F$1001)*((K760+O760)-(L760+Calc!$J$2:$J$1001))+(((K760+O760)-(L760+Calc!$J$2:$J$1001))&gt;=Calc!$F$2:$F$1001)*Calc!$F$2:$F$1001))))</f>
        <v/>
      </c>
      <c r="T760">
        <f>IF(AND(E760=1,B760="RETURN"),Transactions!E760*Transactions!G760,0)</f>
        <v/>
      </c>
      <c r="U760">
        <f>IF(AND(E760=1,B760="EXPENSE"),Transactions!J760,0)</f>
        <v/>
      </c>
      <c r="V760">
        <f>IF(AND(Transactions!A760&lt;&gt;"",E760=0),ROW(),"")</f>
        <v/>
      </c>
      <c r="W760">
        <f>IFERROR(VLOOKUP(A760,Opening!$A:$D,4,0),0)</f>
        <v/>
      </c>
    </row>
    <row r="761">
      <c r="A761">
        <f>IF(Transactions!D761="","",UPPER(TRIM(Transactions!D761)))</f>
        <v/>
      </c>
      <c r="B761">
        <f>IF(Transactions!C761="","",UPPER(TRIM(Transactions!C761)))</f>
        <v/>
      </c>
      <c r="C761">
        <f>IF(Transactions!B761="",0,YEAR(Transactions!B761)*100+MONTH(Transactions!B761))</f>
        <v/>
      </c>
      <c r="D761">
        <f>IF(Transactions!A761="",1,IF(COUNTIF(Transactions!$A$1:A760,Transactions!A761)&gt;0,1,0))</f>
        <v/>
      </c>
      <c r="E761">
        <f>IF(D761=1,0,IF(B761="RETURN",IF(COUNTIFS($A$1:A760,A761,$B$1:B760,"SALE",$E$1:E760,1)&gt;0,1,0),1))</f>
        <v/>
      </c>
      <c r="F761">
        <f>IF(E761=1,IF(B761="RECEIPT",Transactions!E761,IF(AND(B761="RETURN",LOWER(TRIM(Transactions!H761))="resellable"),Transactions!E761,0)),0)</f>
        <v/>
      </c>
      <c r="G761">
        <f>IF(F761&gt;0,IF(B761="RECEIPT",Transactions!F761,IF(_xlfn.MAXIFS($H$2:H761,$A$2:A761,A761)&gt;0,INDEX(Transactions!$F:$F,_xlfn.MAXIFS($H$2:H761,$A$2:A761,A761)),W761)),0)</f>
        <v/>
      </c>
      <c r="H761">
        <f>IF(AND(E761=1,B761="RECEIPT"),ROW(),0)</f>
        <v/>
      </c>
      <c r="I761">
        <f>IF(E761=1,IF(OR(B761="SALE",B761="WRITEOFF"),Transactions!E761,0),0)</f>
        <v/>
      </c>
      <c r="J761">
        <f>SUMIFS($F$1:F760,$A$1:A760,A761)</f>
        <v/>
      </c>
      <c r="K761">
        <f>SUMIFS($I$1:I760,$A$1:A760,A761)</f>
        <v/>
      </c>
      <c r="L761">
        <f>IFERROR(VLOOKUP(A761,Opening!$A:$C,3,0),0)</f>
        <v/>
      </c>
      <c r="M761">
        <f>IF(I761=0,0,MAX(0,MIN(INDEX(Month!H$2:H$13,MATCH($A761,Month!$A$2:$A$13,0))-K761,I761)))</f>
        <v/>
      </c>
      <c r="N761">
        <f>IF(I761=0,0,MAX(0,MIN(INDEX(Month!I$2:I$13,MATCH($A761,Month!$A$2:$A$13,0))-K761,I761)))</f>
        <v/>
      </c>
      <c r="O761">
        <f>IF(I761=0,0,MAX(0,MIN(INDEX(Month!J$2:J$13,MATCH($A761,Month!$A$2:$A$13,0))-K761,I761)))</f>
        <v/>
      </c>
      <c r="P761">
        <f>IF(I761=0,0,(MIN(MAX(K761,0),L761)*W761+SUMPRODUCT((Calc!$A$2:$A$1001=A761)*Calc!$G$2:$G$1001*(((K761-(L761+Calc!$J$2:$J$1001))&gt;0)*((K761-(L761+Calc!$J$2:$J$1001))&lt;Calc!$F$2:$F$1001)*(K761-(L761+Calc!$J$2:$J$1001))+((K761-(L761+Calc!$J$2:$J$1001))&gt;=Calc!$F$2:$F$1001)*Calc!$F$2:$F$1001))))</f>
        <v/>
      </c>
      <c r="Q761">
        <f>IF(I761=0,0,(MIN(MAX((K761+M761),0),L761)*W761+SUMPRODUCT((Calc!$A$2:$A$1001=A761)*Calc!$G$2:$G$1001*((((K761+M761)-(L761+Calc!$J$2:$J$1001))&gt;0)*(((K761+M761)-(L761+Calc!$J$2:$J$1001))&lt;Calc!$F$2:$F$1001)*((K761+M761)-(L761+Calc!$J$2:$J$1001))+(((K761+M761)-(L761+Calc!$J$2:$J$1001))&gt;=Calc!$F$2:$F$1001)*Calc!$F$2:$F$1001))))</f>
        <v/>
      </c>
      <c r="R761">
        <f>IF(I761=0,0,(MIN(MAX((K761+N761),0),L761)*W761+SUMPRODUCT((Calc!$A$2:$A$1001=A761)*Calc!$G$2:$G$1001*((((K761+N761)-(L761+Calc!$J$2:$J$1001))&gt;0)*(((K761+N761)-(L761+Calc!$J$2:$J$1001))&lt;Calc!$F$2:$F$1001)*((K761+N761)-(L761+Calc!$J$2:$J$1001))+(((K761+N761)-(L761+Calc!$J$2:$J$1001))&gt;=Calc!$F$2:$F$1001)*Calc!$F$2:$F$1001))))</f>
        <v/>
      </c>
      <c r="S761">
        <f>IF(I761=0,0,(MIN(MAX((K761+O761),0),L761)*W761+SUMPRODUCT((Calc!$A$2:$A$1001=A761)*Calc!$G$2:$G$1001*((((K761+O761)-(L761+Calc!$J$2:$J$1001))&gt;0)*(((K761+O761)-(L761+Calc!$J$2:$J$1001))&lt;Calc!$F$2:$F$1001)*((K761+O761)-(L761+Calc!$J$2:$J$1001))+(((K761+O761)-(L761+Calc!$J$2:$J$1001))&gt;=Calc!$F$2:$F$1001)*Calc!$F$2:$F$1001))))</f>
        <v/>
      </c>
      <c r="T761">
        <f>IF(AND(E761=1,B761="RETURN"),Transactions!E761*Transactions!G761,0)</f>
        <v/>
      </c>
      <c r="U761">
        <f>IF(AND(E761=1,B761="EXPENSE"),Transactions!J761,0)</f>
        <v/>
      </c>
      <c r="V761">
        <f>IF(AND(Transactions!A761&lt;&gt;"",E761=0),ROW(),"")</f>
        <v/>
      </c>
      <c r="W761">
        <f>IFERROR(VLOOKUP(A761,Opening!$A:$D,4,0),0)</f>
        <v/>
      </c>
    </row>
    <row r="762">
      <c r="A762">
        <f>IF(Transactions!D762="","",UPPER(TRIM(Transactions!D762)))</f>
        <v/>
      </c>
      <c r="B762">
        <f>IF(Transactions!C762="","",UPPER(TRIM(Transactions!C762)))</f>
        <v/>
      </c>
      <c r="C762">
        <f>IF(Transactions!B762="",0,YEAR(Transactions!B762)*100+MONTH(Transactions!B762))</f>
        <v/>
      </c>
      <c r="D762">
        <f>IF(Transactions!A762="",1,IF(COUNTIF(Transactions!$A$1:A761,Transactions!A762)&gt;0,1,0))</f>
        <v/>
      </c>
      <c r="E762">
        <f>IF(D762=1,0,IF(B762="RETURN",IF(COUNTIFS($A$1:A761,A762,$B$1:B761,"SALE",$E$1:E761,1)&gt;0,1,0),1))</f>
        <v/>
      </c>
      <c r="F762">
        <f>IF(E762=1,IF(B762="RECEIPT",Transactions!E762,IF(AND(B762="RETURN",LOWER(TRIM(Transactions!H762))="resellable"),Transactions!E762,0)),0)</f>
        <v/>
      </c>
      <c r="G762">
        <f>IF(F762&gt;0,IF(B762="RECEIPT",Transactions!F762,IF(_xlfn.MAXIFS($H$2:H762,$A$2:A762,A762)&gt;0,INDEX(Transactions!$F:$F,_xlfn.MAXIFS($H$2:H762,$A$2:A762,A762)),W762)),0)</f>
        <v/>
      </c>
      <c r="H762">
        <f>IF(AND(E762=1,B762="RECEIPT"),ROW(),0)</f>
        <v/>
      </c>
      <c r="I762">
        <f>IF(E762=1,IF(OR(B762="SALE",B762="WRITEOFF"),Transactions!E762,0),0)</f>
        <v/>
      </c>
      <c r="J762">
        <f>SUMIFS($F$1:F761,$A$1:A761,A762)</f>
        <v/>
      </c>
      <c r="K762">
        <f>SUMIFS($I$1:I761,$A$1:A761,A762)</f>
        <v/>
      </c>
      <c r="L762">
        <f>IFERROR(VLOOKUP(A762,Opening!$A:$C,3,0),0)</f>
        <v/>
      </c>
      <c r="M762">
        <f>IF(I762=0,0,MAX(0,MIN(INDEX(Month!H$2:H$13,MATCH($A762,Month!$A$2:$A$13,0))-K762,I762)))</f>
        <v/>
      </c>
      <c r="N762">
        <f>IF(I762=0,0,MAX(0,MIN(INDEX(Month!I$2:I$13,MATCH($A762,Month!$A$2:$A$13,0))-K762,I762)))</f>
        <v/>
      </c>
      <c r="O762">
        <f>IF(I762=0,0,MAX(0,MIN(INDEX(Month!J$2:J$13,MATCH($A762,Month!$A$2:$A$13,0))-K762,I762)))</f>
        <v/>
      </c>
      <c r="P762">
        <f>IF(I762=0,0,(MIN(MAX(K762,0),L762)*W762+SUMPRODUCT((Calc!$A$2:$A$1001=A762)*Calc!$G$2:$G$1001*(((K762-(L762+Calc!$J$2:$J$1001))&gt;0)*((K762-(L762+Calc!$J$2:$J$1001))&lt;Calc!$F$2:$F$1001)*(K762-(L762+Calc!$J$2:$J$1001))+((K762-(L762+Calc!$J$2:$J$1001))&gt;=Calc!$F$2:$F$1001)*Calc!$F$2:$F$1001))))</f>
        <v/>
      </c>
      <c r="Q762">
        <f>IF(I762=0,0,(MIN(MAX((K762+M762),0),L762)*W762+SUMPRODUCT((Calc!$A$2:$A$1001=A762)*Calc!$G$2:$G$1001*((((K762+M762)-(L762+Calc!$J$2:$J$1001))&gt;0)*(((K762+M762)-(L762+Calc!$J$2:$J$1001))&lt;Calc!$F$2:$F$1001)*((K762+M762)-(L762+Calc!$J$2:$J$1001))+(((K762+M762)-(L762+Calc!$J$2:$J$1001))&gt;=Calc!$F$2:$F$1001)*Calc!$F$2:$F$1001))))</f>
        <v/>
      </c>
      <c r="R762">
        <f>IF(I762=0,0,(MIN(MAX((K762+N762),0),L762)*W762+SUMPRODUCT((Calc!$A$2:$A$1001=A762)*Calc!$G$2:$G$1001*((((K762+N762)-(L762+Calc!$J$2:$J$1001))&gt;0)*(((K762+N762)-(L762+Calc!$J$2:$J$1001))&lt;Calc!$F$2:$F$1001)*((K762+N762)-(L762+Calc!$J$2:$J$1001))+(((K762+N762)-(L762+Calc!$J$2:$J$1001))&gt;=Calc!$F$2:$F$1001)*Calc!$F$2:$F$1001))))</f>
        <v/>
      </c>
      <c r="S762">
        <f>IF(I762=0,0,(MIN(MAX((K762+O762),0),L762)*W762+SUMPRODUCT((Calc!$A$2:$A$1001=A762)*Calc!$G$2:$G$1001*((((K762+O762)-(L762+Calc!$J$2:$J$1001))&gt;0)*(((K762+O762)-(L762+Calc!$J$2:$J$1001))&lt;Calc!$F$2:$F$1001)*((K762+O762)-(L762+Calc!$J$2:$J$1001))+(((K762+O762)-(L762+Calc!$J$2:$J$1001))&gt;=Calc!$F$2:$F$1001)*Calc!$F$2:$F$1001))))</f>
        <v/>
      </c>
      <c r="T762">
        <f>IF(AND(E762=1,B762="RETURN"),Transactions!E762*Transactions!G762,0)</f>
        <v/>
      </c>
      <c r="U762">
        <f>IF(AND(E762=1,B762="EXPENSE"),Transactions!J762,0)</f>
        <v/>
      </c>
      <c r="V762">
        <f>IF(AND(Transactions!A762&lt;&gt;"",E762=0),ROW(),"")</f>
        <v/>
      </c>
      <c r="W762">
        <f>IFERROR(VLOOKUP(A762,Opening!$A:$D,4,0),0)</f>
        <v/>
      </c>
    </row>
    <row r="763">
      <c r="A763">
        <f>IF(Transactions!D763="","",UPPER(TRIM(Transactions!D763)))</f>
        <v/>
      </c>
      <c r="B763">
        <f>IF(Transactions!C763="","",UPPER(TRIM(Transactions!C763)))</f>
        <v/>
      </c>
      <c r="C763">
        <f>IF(Transactions!B763="",0,YEAR(Transactions!B763)*100+MONTH(Transactions!B763))</f>
        <v/>
      </c>
      <c r="D763">
        <f>IF(Transactions!A763="",1,IF(COUNTIF(Transactions!$A$1:A762,Transactions!A763)&gt;0,1,0))</f>
        <v/>
      </c>
      <c r="E763">
        <f>IF(D763=1,0,IF(B763="RETURN",IF(COUNTIFS($A$1:A762,A763,$B$1:B762,"SALE",$E$1:E762,1)&gt;0,1,0),1))</f>
        <v/>
      </c>
      <c r="F763">
        <f>IF(E763=1,IF(B763="RECEIPT",Transactions!E763,IF(AND(B763="RETURN",LOWER(TRIM(Transactions!H763))="resellable"),Transactions!E763,0)),0)</f>
        <v/>
      </c>
      <c r="G763">
        <f>IF(F763&gt;0,IF(B763="RECEIPT",Transactions!F763,IF(_xlfn.MAXIFS($H$2:H763,$A$2:A763,A763)&gt;0,INDEX(Transactions!$F:$F,_xlfn.MAXIFS($H$2:H763,$A$2:A763,A763)),W763)),0)</f>
        <v/>
      </c>
      <c r="H763">
        <f>IF(AND(E763=1,B763="RECEIPT"),ROW(),0)</f>
        <v/>
      </c>
      <c r="I763">
        <f>IF(E763=1,IF(OR(B763="SALE",B763="WRITEOFF"),Transactions!E763,0),0)</f>
        <v/>
      </c>
      <c r="J763">
        <f>SUMIFS($F$1:F762,$A$1:A762,A763)</f>
        <v/>
      </c>
      <c r="K763">
        <f>SUMIFS($I$1:I762,$A$1:A762,A763)</f>
        <v/>
      </c>
      <c r="L763">
        <f>IFERROR(VLOOKUP(A763,Opening!$A:$C,3,0),0)</f>
        <v/>
      </c>
      <c r="M763">
        <f>IF(I763=0,0,MAX(0,MIN(INDEX(Month!H$2:H$13,MATCH($A763,Month!$A$2:$A$13,0))-K763,I763)))</f>
        <v/>
      </c>
      <c r="N763">
        <f>IF(I763=0,0,MAX(0,MIN(INDEX(Month!I$2:I$13,MATCH($A763,Month!$A$2:$A$13,0))-K763,I763)))</f>
        <v/>
      </c>
      <c r="O763">
        <f>IF(I763=0,0,MAX(0,MIN(INDEX(Month!J$2:J$13,MATCH($A763,Month!$A$2:$A$13,0))-K763,I763)))</f>
        <v/>
      </c>
      <c r="P763">
        <f>IF(I763=0,0,(MIN(MAX(K763,0),L763)*W763+SUMPRODUCT((Calc!$A$2:$A$1001=A763)*Calc!$G$2:$G$1001*(((K763-(L763+Calc!$J$2:$J$1001))&gt;0)*((K763-(L763+Calc!$J$2:$J$1001))&lt;Calc!$F$2:$F$1001)*(K763-(L763+Calc!$J$2:$J$1001))+((K763-(L763+Calc!$J$2:$J$1001))&gt;=Calc!$F$2:$F$1001)*Calc!$F$2:$F$1001))))</f>
        <v/>
      </c>
      <c r="Q763">
        <f>IF(I763=0,0,(MIN(MAX((K763+M763),0),L763)*W763+SUMPRODUCT((Calc!$A$2:$A$1001=A763)*Calc!$G$2:$G$1001*((((K763+M763)-(L763+Calc!$J$2:$J$1001))&gt;0)*(((K763+M763)-(L763+Calc!$J$2:$J$1001))&lt;Calc!$F$2:$F$1001)*((K763+M763)-(L763+Calc!$J$2:$J$1001))+(((K763+M763)-(L763+Calc!$J$2:$J$1001))&gt;=Calc!$F$2:$F$1001)*Calc!$F$2:$F$1001))))</f>
        <v/>
      </c>
      <c r="R763">
        <f>IF(I763=0,0,(MIN(MAX((K763+N763),0),L763)*W763+SUMPRODUCT((Calc!$A$2:$A$1001=A763)*Calc!$G$2:$G$1001*((((K763+N763)-(L763+Calc!$J$2:$J$1001))&gt;0)*(((K763+N763)-(L763+Calc!$J$2:$J$1001))&lt;Calc!$F$2:$F$1001)*((K763+N763)-(L763+Calc!$J$2:$J$1001))+(((K763+N763)-(L763+Calc!$J$2:$J$1001))&gt;=Calc!$F$2:$F$1001)*Calc!$F$2:$F$1001))))</f>
        <v/>
      </c>
      <c r="S763">
        <f>IF(I763=0,0,(MIN(MAX((K763+O763),0),L763)*W763+SUMPRODUCT((Calc!$A$2:$A$1001=A763)*Calc!$G$2:$G$1001*((((K763+O763)-(L763+Calc!$J$2:$J$1001))&gt;0)*(((K763+O763)-(L763+Calc!$J$2:$J$1001))&lt;Calc!$F$2:$F$1001)*((K763+O763)-(L763+Calc!$J$2:$J$1001))+(((K763+O763)-(L763+Calc!$J$2:$J$1001))&gt;=Calc!$F$2:$F$1001)*Calc!$F$2:$F$1001))))</f>
        <v/>
      </c>
      <c r="T763">
        <f>IF(AND(E763=1,B763="RETURN"),Transactions!E763*Transactions!G763,0)</f>
        <v/>
      </c>
      <c r="U763">
        <f>IF(AND(E763=1,B763="EXPENSE"),Transactions!J763,0)</f>
        <v/>
      </c>
      <c r="V763">
        <f>IF(AND(Transactions!A763&lt;&gt;"",E763=0),ROW(),"")</f>
        <v/>
      </c>
      <c r="W763">
        <f>IFERROR(VLOOKUP(A763,Opening!$A:$D,4,0),0)</f>
        <v/>
      </c>
    </row>
    <row r="764">
      <c r="A764">
        <f>IF(Transactions!D764="","",UPPER(TRIM(Transactions!D764)))</f>
        <v/>
      </c>
      <c r="B764">
        <f>IF(Transactions!C764="","",UPPER(TRIM(Transactions!C764)))</f>
        <v/>
      </c>
      <c r="C764">
        <f>IF(Transactions!B764="",0,YEAR(Transactions!B764)*100+MONTH(Transactions!B764))</f>
        <v/>
      </c>
      <c r="D764">
        <f>IF(Transactions!A764="",1,IF(COUNTIF(Transactions!$A$1:A763,Transactions!A764)&gt;0,1,0))</f>
        <v/>
      </c>
      <c r="E764">
        <f>IF(D764=1,0,IF(B764="RETURN",IF(COUNTIFS($A$1:A763,A764,$B$1:B763,"SALE",$E$1:E763,1)&gt;0,1,0),1))</f>
        <v/>
      </c>
      <c r="F764">
        <f>IF(E764=1,IF(B764="RECEIPT",Transactions!E764,IF(AND(B764="RETURN",LOWER(TRIM(Transactions!H764))="resellable"),Transactions!E764,0)),0)</f>
        <v/>
      </c>
      <c r="G764">
        <f>IF(F764&gt;0,IF(B764="RECEIPT",Transactions!F764,IF(_xlfn.MAXIFS($H$2:H764,$A$2:A764,A764)&gt;0,INDEX(Transactions!$F:$F,_xlfn.MAXIFS($H$2:H764,$A$2:A764,A764)),W764)),0)</f>
        <v/>
      </c>
      <c r="H764">
        <f>IF(AND(E764=1,B764="RECEIPT"),ROW(),0)</f>
        <v/>
      </c>
      <c r="I764">
        <f>IF(E764=1,IF(OR(B764="SALE",B764="WRITEOFF"),Transactions!E764,0),0)</f>
        <v/>
      </c>
      <c r="J764">
        <f>SUMIFS($F$1:F763,$A$1:A763,A764)</f>
        <v/>
      </c>
      <c r="K764">
        <f>SUMIFS($I$1:I763,$A$1:A763,A764)</f>
        <v/>
      </c>
      <c r="L764">
        <f>IFERROR(VLOOKUP(A764,Opening!$A:$C,3,0),0)</f>
        <v/>
      </c>
      <c r="M764">
        <f>IF(I764=0,0,MAX(0,MIN(INDEX(Month!H$2:H$13,MATCH($A764,Month!$A$2:$A$13,0))-K764,I764)))</f>
        <v/>
      </c>
      <c r="N764">
        <f>IF(I764=0,0,MAX(0,MIN(INDEX(Month!I$2:I$13,MATCH($A764,Month!$A$2:$A$13,0))-K764,I764)))</f>
        <v/>
      </c>
      <c r="O764">
        <f>IF(I764=0,0,MAX(0,MIN(INDEX(Month!J$2:J$13,MATCH($A764,Month!$A$2:$A$13,0))-K764,I764)))</f>
        <v/>
      </c>
      <c r="P764">
        <f>IF(I764=0,0,(MIN(MAX(K764,0),L764)*W764+SUMPRODUCT((Calc!$A$2:$A$1001=A764)*Calc!$G$2:$G$1001*(((K764-(L764+Calc!$J$2:$J$1001))&gt;0)*((K764-(L764+Calc!$J$2:$J$1001))&lt;Calc!$F$2:$F$1001)*(K764-(L764+Calc!$J$2:$J$1001))+((K764-(L764+Calc!$J$2:$J$1001))&gt;=Calc!$F$2:$F$1001)*Calc!$F$2:$F$1001))))</f>
        <v/>
      </c>
      <c r="Q764">
        <f>IF(I764=0,0,(MIN(MAX((K764+M764),0),L764)*W764+SUMPRODUCT((Calc!$A$2:$A$1001=A764)*Calc!$G$2:$G$1001*((((K764+M764)-(L764+Calc!$J$2:$J$1001))&gt;0)*(((K764+M764)-(L764+Calc!$J$2:$J$1001))&lt;Calc!$F$2:$F$1001)*((K764+M764)-(L764+Calc!$J$2:$J$1001))+(((K764+M764)-(L764+Calc!$J$2:$J$1001))&gt;=Calc!$F$2:$F$1001)*Calc!$F$2:$F$1001))))</f>
        <v/>
      </c>
      <c r="R764">
        <f>IF(I764=0,0,(MIN(MAX((K764+N764),0),L764)*W764+SUMPRODUCT((Calc!$A$2:$A$1001=A764)*Calc!$G$2:$G$1001*((((K764+N764)-(L764+Calc!$J$2:$J$1001))&gt;0)*(((K764+N764)-(L764+Calc!$J$2:$J$1001))&lt;Calc!$F$2:$F$1001)*((K764+N764)-(L764+Calc!$J$2:$J$1001))+(((K764+N764)-(L764+Calc!$J$2:$J$1001))&gt;=Calc!$F$2:$F$1001)*Calc!$F$2:$F$1001))))</f>
        <v/>
      </c>
      <c r="S764">
        <f>IF(I764=0,0,(MIN(MAX((K764+O764),0),L764)*W764+SUMPRODUCT((Calc!$A$2:$A$1001=A764)*Calc!$G$2:$G$1001*((((K764+O764)-(L764+Calc!$J$2:$J$1001))&gt;0)*(((K764+O764)-(L764+Calc!$J$2:$J$1001))&lt;Calc!$F$2:$F$1001)*((K764+O764)-(L764+Calc!$J$2:$J$1001))+(((K764+O764)-(L764+Calc!$J$2:$J$1001))&gt;=Calc!$F$2:$F$1001)*Calc!$F$2:$F$1001))))</f>
        <v/>
      </c>
      <c r="T764">
        <f>IF(AND(E764=1,B764="RETURN"),Transactions!E764*Transactions!G764,0)</f>
        <v/>
      </c>
      <c r="U764">
        <f>IF(AND(E764=1,B764="EXPENSE"),Transactions!J764,0)</f>
        <v/>
      </c>
      <c r="V764">
        <f>IF(AND(Transactions!A764&lt;&gt;"",E764=0),ROW(),"")</f>
        <v/>
      </c>
      <c r="W764">
        <f>IFERROR(VLOOKUP(A764,Opening!$A:$D,4,0),0)</f>
        <v/>
      </c>
    </row>
    <row r="765">
      <c r="A765">
        <f>IF(Transactions!D765="","",UPPER(TRIM(Transactions!D765)))</f>
        <v/>
      </c>
      <c r="B765">
        <f>IF(Transactions!C765="","",UPPER(TRIM(Transactions!C765)))</f>
        <v/>
      </c>
      <c r="C765">
        <f>IF(Transactions!B765="",0,YEAR(Transactions!B765)*100+MONTH(Transactions!B765))</f>
        <v/>
      </c>
      <c r="D765">
        <f>IF(Transactions!A765="",1,IF(COUNTIF(Transactions!$A$1:A764,Transactions!A765)&gt;0,1,0))</f>
        <v/>
      </c>
      <c r="E765">
        <f>IF(D765=1,0,IF(B765="RETURN",IF(COUNTIFS($A$1:A764,A765,$B$1:B764,"SALE",$E$1:E764,1)&gt;0,1,0),1))</f>
        <v/>
      </c>
      <c r="F765">
        <f>IF(E765=1,IF(B765="RECEIPT",Transactions!E765,IF(AND(B765="RETURN",LOWER(TRIM(Transactions!H765))="resellable"),Transactions!E765,0)),0)</f>
        <v/>
      </c>
      <c r="G765">
        <f>IF(F765&gt;0,IF(B765="RECEIPT",Transactions!F765,IF(_xlfn.MAXIFS($H$2:H765,$A$2:A765,A765)&gt;0,INDEX(Transactions!$F:$F,_xlfn.MAXIFS($H$2:H765,$A$2:A765,A765)),W765)),0)</f>
        <v/>
      </c>
      <c r="H765">
        <f>IF(AND(E765=1,B765="RECEIPT"),ROW(),0)</f>
        <v/>
      </c>
      <c r="I765">
        <f>IF(E765=1,IF(OR(B765="SALE",B765="WRITEOFF"),Transactions!E765,0),0)</f>
        <v/>
      </c>
      <c r="J765">
        <f>SUMIFS($F$1:F764,$A$1:A764,A765)</f>
        <v/>
      </c>
      <c r="K765">
        <f>SUMIFS($I$1:I764,$A$1:A764,A765)</f>
        <v/>
      </c>
      <c r="L765">
        <f>IFERROR(VLOOKUP(A765,Opening!$A:$C,3,0),0)</f>
        <v/>
      </c>
      <c r="M765">
        <f>IF(I765=0,0,MAX(0,MIN(INDEX(Month!H$2:H$13,MATCH($A765,Month!$A$2:$A$13,0))-K765,I765)))</f>
        <v/>
      </c>
      <c r="N765">
        <f>IF(I765=0,0,MAX(0,MIN(INDEX(Month!I$2:I$13,MATCH($A765,Month!$A$2:$A$13,0))-K765,I765)))</f>
        <v/>
      </c>
      <c r="O765">
        <f>IF(I765=0,0,MAX(0,MIN(INDEX(Month!J$2:J$13,MATCH($A765,Month!$A$2:$A$13,0))-K765,I765)))</f>
        <v/>
      </c>
      <c r="P765">
        <f>IF(I765=0,0,(MIN(MAX(K765,0),L765)*W765+SUMPRODUCT((Calc!$A$2:$A$1001=A765)*Calc!$G$2:$G$1001*(((K765-(L765+Calc!$J$2:$J$1001))&gt;0)*((K765-(L765+Calc!$J$2:$J$1001))&lt;Calc!$F$2:$F$1001)*(K765-(L765+Calc!$J$2:$J$1001))+((K765-(L765+Calc!$J$2:$J$1001))&gt;=Calc!$F$2:$F$1001)*Calc!$F$2:$F$1001))))</f>
        <v/>
      </c>
      <c r="Q765">
        <f>IF(I765=0,0,(MIN(MAX((K765+M765),0),L765)*W765+SUMPRODUCT((Calc!$A$2:$A$1001=A765)*Calc!$G$2:$G$1001*((((K765+M765)-(L765+Calc!$J$2:$J$1001))&gt;0)*(((K765+M765)-(L765+Calc!$J$2:$J$1001))&lt;Calc!$F$2:$F$1001)*((K765+M765)-(L765+Calc!$J$2:$J$1001))+(((K765+M765)-(L765+Calc!$J$2:$J$1001))&gt;=Calc!$F$2:$F$1001)*Calc!$F$2:$F$1001))))</f>
        <v/>
      </c>
      <c r="R765">
        <f>IF(I765=0,0,(MIN(MAX((K765+N765),0),L765)*W765+SUMPRODUCT((Calc!$A$2:$A$1001=A765)*Calc!$G$2:$G$1001*((((K765+N765)-(L765+Calc!$J$2:$J$1001))&gt;0)*(((K765+N765)-(L765+Calc!$J$2:$J$1001))&lt;Calc!$F$2:$F$1001)*((K765+N765)-(L765+Calc!$J$2:$J$1001))+(((K765+N765)-(L765+Calc!$J$2:$J$1001))&gt;=Calc!$F$2:$F$1001)*Calc!$F$2:$F$1001))))</f>
        <v/>
      </c>
      <c r="S765">
        <f>IF(I765=0,0,(MIN(MAX((K765+O765),0),L765)*W765+SUMPRODUCT((Calc!$A$2:$A$1001=A765)*Calc!$G$2:$G$1001*((((K765+O765)-(L765+Calc!$J$2:$J$1001))&gt;0)*(((K765+O765)-(L765+Calc!$J$2:$J$1001))&lt;Calc!$F$2:$F$1001)*((K765+O765)-(L765+Calc!$J$2:$J$1001))+(((K765+O765)-(L765+Calc!$J$2:$J$1001))&gt;=Calc!$F$2:$F$1001)*Calc!$F$2:$F$1001))))</f>
        <v/>
      </c>
      <c r="T765">
        <f>IF(AND(E765=1,B765="RETURN"),Transactions!E765*Transactions!G765,0)</f>
        <v/>
      </c>
      <c r="U765">
        <f>IF(AND(E765=1,B765="EXPENSE"),Transactions!J765,0)</f>
        <v/>
      </c>
      <c r="V765">
        <f>IF(AND(Transactions!A765&lt;&gt;"",E765=0),ROW(),"")</f>
        <v/>
      </c>
      <c r="W765">
        <f>IFERROR(VLOOKUP(A765,Opening!$A:$D,4,0),0)</f>
        <v/>
      </c>
    </row>
    <row r="766">
      <c r="A766">
        <f>IF(Transactions!D766="","",UPPER(TRIM(Transactions!D766)))</f>
        <v/>
      </c>
      <c r="B766">
        <f>IF(Transactions!C766="","",UPPER(TRIM(Transactions!C766)))</f>
        <v/>
      </c>
      <c r="C766">
        <f>IF(Transactions!B766="",0,YEAR(Transactions!B766)*100+MONTH(Transactions!B766))</f>
        <v/>
      </c>
      <c r="D766">
        <f>IF(Transactions!A766="",1,IF(COUNTIF(Transactions!$A$1:A765,Transactions!A766)&gt;0,1,0))</f>
        <v/>
      </c>
      <c r="E766">
        <f>IF(D766=1,0,IF(B766="RETURN",IF(COUNTIFS($A$1:A765,A766,$B$1:B765,"SALE",$E$1:E765,1)&gt;0,1,0),1))</f>
        <v/>
      </c>
      <c r="F766">
        <f>IF(E766=1,IF(B766="RECEIPT",Transactions!E766,IF(AND(B766="RETURN",LOWER(TRIM(Transactions!H766))="resellable"),Transactions!E766,0)),0)</f>
        <v/>
      </c>
      <c r="G766">
        <f>IF(F766&gt;0,IF(B766="RECEIPT",Transactions!F766,IF(_xlfn.MAXIFS($H$2:H766,$A$2:A766,A766)&gt;0,INDEX(Transactions!$F:$F,_xlfn.MAXIFS($H$2:H766,$A$2:A766,A766)),W766)),0)</f>
        <v/>
      </c>
      <c r="H766">
        <f>IF(AND(E766=1,B766="RECEIPT"),ROW(),0)</f>
        <v/>
      </c>
      <c r="I766">
        <f>IF(E766=1,IF(OR(B766="SALE",B766="WRITEOFF"),Transactions!E766,0),0)</f>
        <v/>
      </c>
      <c r="J766">
        <f>SUMIFS($F$1:F765,$A$1:A765,A766)</f>
        <v/>
      </c>
      <c r="K766">
        <f>SUMIFS($I$1:I765,$A$1:A765,A766)</f>
        <v/>
      </c>
      <c r="L766">
        <f>IFERROR(VLOOKUP(A766,Opening!$A:$C,3,0),0)</f>
        <v/>
      </c>
      <c r="M766">
        <f>IF(I766=0,0,MAX(0,MIN(INDEX(Month!H$2:H$13,MATCH($A766,Month!$A$2:$A$13,0))-K766,I766)))</f>
        <v/>
      </c>
      <c r="N766">
        <f>IF(I766=0,0,MAX(0,MIN(INDEX(Month!I$2:I$13,MATCH($A766,Month!$A$2:$A$13,0))-K766,I766)))</f>
        <v/>
      </c>
      <c r="O766">
        <f>IF(I766=0,0,MAX(0,MIN(INDEX(Month!J$2:J$13,MATCH($A766,Month!$A$2:$A$13,0))-K766,I766)))</f>
        <v/>
      </c>
      <c r="P766">
        <f>IF(I766=0,0,(MIN(MAX(K766,0),L766)*W766+SUMPRODUCT((Calc!$A$2:$A$1001=A766)*Calc!$G$2:$G$1001*(((K766-(L766+Calc!$J$2:$J$1001))&gt;0)*((K766-(L766+Calc!$J$2:$J$1001))&lt;Calc!$F$2:$F$1001)*(K766-(L766+Calc!$J$2:$J$1001))+((K766-(L766+Calc!$J$2:$J$1001))&gt;=Calc!$F$2:$F$1001)*Calc!$F$2:$F$1001))))</f>
        <v/>
      </c>
      <c r="Q766">
        <f>IF(I766=0,0,(MIN(MAX((K766+M766),0),L766)*W766+SUMPRODUCT((Calc!$A$2:$A$1001=A766)*Calc!$G$2:$G$1001*((((K766+M766)-(L766+Calc!$J$2:$J$1001))&gt;0)*(((K766+M766)-(L766+Calc!$J$2:$J$1001))&lt;Calc!$F$2:$F$1001)*((K766+M766)-(L766+Calc!$J$2:$J$1001))+(((K766+M766)-(L766+Calc!$J$2:$J$1001))&gt;=Calc!$F$2:$F$1001)*Calc!$F$2:$F$1001))))</f>
        <v/>
      </c>
      <c r="R766">
        <f>IF(I766=0,0,(MIN(MAX((K766+N766),0),L766)*W766+SUMPRODUCT((Calc!$A$2:$A$1001=A766)*Calc!$G$2:$G$1001*((((K766+N766)-(L766+Calc!$J$2:$J$1001))&gt;0)*(((K766+N766)-(L766+Calc!$J$2:$J$1001))&lt;Calc!$F$2:$F$1001)*((K766+N766)-(L766+Calc!$J$2:$J$1001))+(((K766+N766)-(L766+Calc!$J$2:$J$1001))&gt;=Calc!$F$2:$F$1001)*Calc!$F$2:$F$1001))))</f>
        <v/>
      </c>
      <c r="S766">
        <f>IF(I766=0,0,(MIN(MAX((K766+O766),0),L766)*W766+SUMPRODUCT((Calc!$A$2:$A$1001=A766)*Calc!$G$2:$G$1001*((((K766+O766)-(L766+Calc!$J$2:$J$1001))&gt;0)*(((K766+O766)-(L766+Calc!$J$2:$J$1001))&lt;Calc!$F$2:$F$1001)*((K766+O766)-(L766+Calc!$J$2:$J$1001))+(((K766+O766)-(L766+Calc!$J$2:$J$1001))&gt;=Calc!$F$2:$F$1001)*Calc!$F$2:$F$1001))))</f>
        <v/>
      </c>
      <c r="T766">
        <f>IF(AND(E766=1,B766="RETURN"),Transactions!E766*Transactions!G766,0)</f>
        <v/>
      </c>
      <c r="U766">
        <f>IF(AND(E766=1,B766="EXPENSE"),Transactions!J766,0)</f>
        <v/>
      </c>
      <c r="V766">
        <f>IF(AND(Transactions!A766&lt;&gt;"",E766=0),ROW(),"")</f>
        <v/>
      </c>
      <c r="W766">
        <f>IFERROR(VLOOKUP(A766,Opening!$A:$D,4,0),0)</f>
        <v/>
      </c>
    </row>
    <row r="767">
      <c r="A767">
        <f>IF(Transactions!D767="","",UPPER(TRIM(Transactions!D767)))</f>
        <v/>
      </c>
      <c r="B767">
        <f>IF(Transactions!C767="","",UPPER(TRIM(Transactions!C767)))</f>
        <v/>
      </c>
      <c r="C767">
        <f>IF(Transactions!B767="",0,YEAR(Transactions!B767)*100+MONTH(Transactions!B767))</f>
        <v/>
      </c>
      <c r="D767">
        <f>IF(Transactions!A767="",1,IF(COUNTIF(Transactions!$A$1:A766,Transactions!A767)&gt;0,1,0))</f>
        <v/>
      </c>
      <c r="E767">
        <f>IF(D767=1,0,IF(B767="RETURN",IF(COUNTIFS($A$1:A766,A767,$B$1:B766,"SALE",$E$1:E766,1)&gt;0,1,0),1))</f>
        <v/>
      </c>
      <c r="F767">
        <f>IF(E767=1,IF(B767="RECEIPT",Transactions!E767,IF(AND(B767="RETURN",LOWER(TRIM(Transactions!H767))="resellable"),Transactions!E767,0)),0)</f>
        <v/>
      </c>
      <c r="G767">
        <f>IF(F767&gt;0,IF(B767="RECEIPT",Transactions!F767,IF(_xlfn.MAXIFS($H$2:H767,$A$2:A767,A767)&gt;0,INDEX(Transactions!$F:$F,_xlfn.MAXIFS($H$2:H767,$A$2:A767,A767)),W767)),0)</f>
        <v/>
      </c>
      <c r="H767">
        <f>IF(AND(E767=1,B767="RECEIPT"),ROW(),0)</f>
        <v/>
      </c>
      <c r="I767">
        <f>IF(E767=1,IF(OR(B767="SALE",B767="WRITEOFF"),Transactions!E767,0),0)</f>
        <v/>
      </c>
      <c r="J767">
        <f>SUMIFS($F$1:F766,$A$1:A766,A767)</f>
        <v/>
      </c>
      <c r="K767">
        <f>SUMIFS($I$1:I766,$A$1:A766,A767)</f>
        <v/>
      </c>
      <c r="L767">
        <f>IFERROR(VLOOKUP(A767,Opening!$A:$C,3,0),0)</f>
        <v/>
      </c>
      <c r="M767">
        <f>IF(I767=0,0,MAX(0,MIN(INDEX(Month!H$2:H$13,MATCH($A767,Month!$A$2:$A$13,0))-K767,I767)))</f>
        <v/>
      </c>
      <c r="N767">
        <f>IF(I767=0,0,MAX(0,MIN(INDEX(Month!I$2:I$13,MATCH($A767,Month!$A$2:$A$13,0))-K767,I767)))</f>
        <v/>
      </c>
      <c r="O767">
        <f>IF(I767=0,0,MAX(0,MIN(INDEX(Month!J$2:J$13,MATCH($A767,Month!$A$2:$A$13,0))-K767,I767)))</f>
        <v/>
      </c>
      <c r="P767">
        <f>IF(I767=0,0,(MIN(MAX(K767,0),L767)*W767+SUMPRODUCT((Calc!$A$2:$A$1001=A767)*Calc!$G$2:$G$1001*(((K767-(L767+Calc!$J$2:$J$1001))&gt;0)*((K767-(L767+Calc!$J$2:$J$1001))&lt;Calc!$F$2:$F$1001)*(K767-(L767+Calc!$J$2:$J$1001))+((K767-(L767+Calc!$J$2:$J$1001))&gt;=Calc!$F$2:$F$1001)*Calc!$F$2:$F$1001))))</f>
        <v/>
      </c>
      <c r="Q767">
        <f>IF(I767=0,0,(MIN(MAX((K767+M767),0),L767)*W767+SUMPRODUCT((Calc!$A$2:$A$1001=A767)*Calc!$G$2:$G$1001*((((K767+M767)-(L767+Calc!$J$2:$J$1001))&gt;0)*(((K767+M767)-(L767+Calc!$J$2:$J$1001))&lt;Calc!$F$2:$F$1001)*((K767+M767)-(L767+Calc!$J$2:$J$1001))+(((K767+M767)-(L767+Calc!$J$2:$J$1001))&gt;=Calc!$F$2:$F$1001)*Calc!$F$2:$F$1001))))</f>
        <v/>
      </c>
      <c r="R767">
        <f>IF(I767=0,0,(MIN(MAX((K767+N767),0),L767)*W767+SUMPRODUCT((Calc!$A$2:$A$1001=A767)*Calc!$G$2:$G$1001*((((K767+N767)-(L767+Calc!$J$2:$J$1001))&gt;0)*(((K767+N767)-(L767+Calc!$J$2:$J$1001))&lt;Calc!$F$2:$F$1001)*((K767+N767)-(L767+Calc!$J$2:$J$1001))+(((K767+N767)-(L767+Calc!$J$2:$J$1001))&gt;=Calc!$F$2:$F$1001)*Calc!$F$2:$F$1001))))</f>
        <v/>
      </c>
      <c r="S767">
        <f>IF(I767=0,0,(MIN(MAX((K767+O767),0),L767)*W767+SUMPRODUCT((Calc!$A$2:$A$1001=A767)*Calc!$G$2:$G$1001*((((K767+O767)-(L767+Calc!$J$2:$J$1001))&gt;0)*(((K767+O767)-(L767+Calc!$J$2:$J$1001))&lt;Calc!$F$2:$F$1001)*((K767+O767)-(L767+Calc!$J$2:$J$1001))+(((K767+O767)-(L767+Calc!$J$2:$J$1001))&gt;=Calc!$F$2:$F$1001)*Calc!$F$2:$F$1001))))</f>
        <v/>
      </c>
      <c r="T767">
        <f>IF(AND(E767=1,B767="RETURN"),Transactions!E767*Transactions!G767,0)</f>
        <v/>
      </c>
      <c r="U767">
        <f>IF(AND(E767=1,B767="EXPENSE"),Transactions!J767,0)</f>
        <v/>
      </c>
      <c r="V767">
        <f>IF(AND(Transactions!A767&lt;&gt;"",E767=0),ROW(),"")</f>
        <v/>
      </c>
      <c r="W767">
        <f>IFERROR(VLOOKUP(A767,Opening!$A:$D,4,0),0)</f>
        <v/>
      </c>
    </row>
    <row r="768">
      <c r="A768">
        <f>IF(Transactions!D768="","",UPPER(TRIM(Transactions!D768)))</f>
        <v/>
      </c>
      <c r="B768">
        <f>IF(Transactions!C768="","",UPPER(TRIM(Transactions!C768)))</f>
        <v/>
      </c>
      <c r="C768">
        <f>IF(Transactions!B768="",0,YEAR(Transactions!B768)*100+MONTH(Transactions!B768))</f>
        <v/>
      </c>
      <c r="D768">
        <f>IF(Transactions!A768="",1,IF(COUNTIF(Transactions!$A$1:A767,Transactions!A768)&gt;0,1,0))</f>
        <v/>
      </c>
      <c r="E768">
        <f>IF(D768=1,0,IF(B768="RETURN",IF(COUNTIFS($A$1:A767,A768,$B$1:B767,"SALE",$E$1:E767,1)&gt;0,1,0),1))</f>
        <v/>
      </c>
      <c r="F768">
        <f>IF(E768=1,IF(B768="RECEIPT",Transactions!E768,IF(AND(B768="RETURN",LOWER(TRIM(Transactions!H768))="resellable"),Transactions!E768,0)),0)</f>
        <v/>
      </c>
      <c r="G768">
        <f>IF(F768&gt;0,IF(B768="RECEIPT",Transactions!F768,IF(_xlfn.MAXIFS($H$2:H768,$A$2:A768,A768)&gt;0,INDEX(Transactions!$F:$F,_xlfn.MAXIFS($H$2:H768,$A$2:A768,A768)),W768)),0)</f>
        <v/>
      </c>
      <c r="H768">
        <f>IF(AND(E768=1,B768="RECEIPT"),ROW(),0)</f>
        <v/>
      </c>
      <c r="I768">
        <f>IF(E768=1,IF(OR(B768="SALE",B768="WRITEOFF"),Transactions!E768,0),0)</f>
        <v/>
      </c>
      <c r="J768">
        <f>SUMIFS($F$1:F767,$A$1:A767,A768)</f>
        <v/>
      </c>
      <c r="K768">
        <f>SUMIFS($I$1:I767,$A$1:A767,A768)</f>
        <v/>
      </c>
      <c r="L768">
        <f>IFERROR(VLOOKUP(A768,Opening!$A:$C,3,0),0)</f>
        <v/>
      </c>
      <c r="M768">
        <f>IF(I768=0,0,MAX(0,MIN(INDEX(Month!H$2:H$13,MATCH($A768,Month!$A$2:$A$13,0))-K768,I768)))</f>
        <v/>
      </c>
      <c r="N768">
        <f>IF(I768=0,0,MAX(0,MIN(INDEX(Month!I$2:I$13,MATCH($A768,Month!$A$2:$A$13,0))-K768,I768)))</f>
        <v/>
      </c>
      <c r="O768">
        <f>IF(I768=0,0,MAX(0,MIN(INDEX(Month!J$2:J$13,MATCH($A768,Month!$A$2:$A$13,0))-K768,I768)))</f>
        <v/>
      </c>
      <c r="P768">
        <f>IF(I768=0,0,(MIN(MAX(K768,0),L768)*W768+SUMPRODUCT((Calc!$A$2:$A$1001=A768)*Calc!$G$2:$G$1001*(((K768-(L768+Calc!$J$2:$J$1001))&gt;0)*((K768-(L768+Calc!$J$2:$J$1001))&lt;Calc!$F$2:$F$1001)*(K768-(L768+Calc!$J$2:$J$1001))+((K768-(L768+Calc!$J$2:$J$1001))&gt;=Calc!$F$2:$F$1001)*Calc!$F$2:$F$1001))))</f>
        <v/>
      </c>
      <c r="Q768">
        <f>IF(I768=0,0,(MIN(MAX((K768+M768),0),L768)*W768+SUMPRODUCT((Calc!$A$2:$A$1001=A768)*Calc!$G$2:$G$1001*((((K768+M768)-(L768+Calc!$J$2:$J$1001))&gt;0)*(((K768+M768)-(L768+Calc!$J$2:$J$1001))&lt;Calc!$F$2:$F$1001)*((K768+M768)-(L768+Calc!$J$2:$J$1001))+(((K768+M768)-(L768+Calc!$J$2:$J$1001))&gt;=Calc!$F$2:$F$1001)*Calc!$F$2:$F$1001))))</f>
        <v/>
      </c>
      <c r="R768">
        <f>IF(I768=0,0,(MIN(MAX((K768+N768),0),L768)*W768+SUMPRODUCT((Calc!$A$2:$A$1001=A768)*Calc!$G$2:$G$1001*((((K768+N768)-(L768+Calc!$J$2:$J$1001))&gt;0)*(((K768+N768)-(L768+Calc!$J$2:$J$1001))&lt;Calc!$F$2:$F$1001)*((K768+N768)-(L768+Calc!$J$2:$J$1001))+(((K768+N768)-(L768+Calc!$J$2:$J$1001))&gt;=Calc!$F$2:$F$1001)*Calc!$F$2:$F$1001))))</f>
        <v/>
      </c>
      <c r="S768">
        <f>IF(I768=0,0,(MIN(MAX((K768+O768),0),L768)*W768+SUMPRODUCT((Calc!$A$2:$A$1001=A768)*Calc!$G$2:$G$1001*((((K768+O768)-(L768+Calc!$J$2:$J$1001))&gt;0)*(((K768+O768)-(L768+Calc!$J$2:$J$1001))&lt;Calc!$F$2:$F$1001)*((K768+O768)-(L768+Calc!$J$2:$J$1001))+(((K768+O768)-(L768+Calc!$J$2:$J$1001))&gt;=Calc!$F$2:$F$1001)*Calc!$F$2:$F$1001))))</f>
        <v/>
      </c>
      <c r="T768">
        <f>IF(AND(E768=1,B768="RETURN"),Transactions!E768*Transactions!G768,0)</f>
        <v/>
      </c>
      <c r="U768">
        <f>IF(AND(E768=1,B768="EXPENSE"),Transactions!J768,0)</f>
        <v/>
      </c>
      <c r="V768">
        <f>IF(AND(Transactions!A768&lt;&gt;"",E768=0),ROW(),"")</f>
        <v/>
      </c>
      <c r="W768">
        <f>IFERROR(VLOOKUP(A768,Opening!$A:$D,4,0),0)</f>
        <v/>
      </c>
    </row>
    <row r="769">
      <c r="A769">
        <f>IF(Transactions!D769="","",UPPER(TRIM(Transactions!D769)))</f>
        <v/>
      </c>
      <c r="B769">
        <f>IF(Transactions!C769="","",UPPER(TRIM(Transactions!C769)))</f>
        <v/>
      </c>
      <c r="C769">
        <f>IF(Transactions!B769="",0,YEAR(Transactions!B769)*100+MONTH(Transactions!B769))</f>
        <v/>
      </c>
      <c r="D769">
        <f>IF(Transactions!A769="",1,IF(COUNTIF(Transactions!$A$1:A768,Transactions!A769)&gt;0,1,0))</f>
        <v/>
      </c>
      <c r="E769">
        <f>IF(D769=1,0,IF(B769="RETURN",IF(COUNTIFS($A$1:A768,A769,$B$1:B768,"SALE",$E$1:E768,1)&gt;0,1,0),1))</f>
        <v/>
      </c>
      <c r="F769">
        <f>IF(E769=1,IF(B769="RECEIPT",Transactions!E769,IF(AND(B769="RETURN",LOWER(TRIM(Transactions!H769))="resellable"),Transactions!E769,0)),0)</f>
        <v/>
      </c>
      <c r="G769">
        <f>IF(F769&gt;0,IF(B769="RECEIPT",Transactions!F769,IF(_xlfn.MAXIFS($H$2:H769,$A$2:A769,A769)&gt;0,INDEX(Transactions!$F:$F,_xlfn.MAXIFS($H$2:H769,$A$2:A769,A769)),W769)),0)</f>
        <v/>
      </c>
      <c r="H769">
        <f>IF(AND(E769=1,B769="RECEIPT"),ROW(),0)</f>
        <v/>
      </c>
      <c r="I769">
        <f>IF(E769=1,IF(OR(B769="SALE",B769="WRITEOFF"),Transactions!E769,0),0)</f>
        <v/>
      </c>
      <c r="J769">
        <f>SUMIFS($F$1:F768,$A$1:A768,A769)</f>
        <v/>
      </c>
      <c r="K769">
        <f>SUMIFS($I$1:I768,$A$1:A768,A769)</f>
        <v/>
      </c>
      <c r="L769">
        <f>IFERROR(VLOOKUP(A769,Opening!$A:$C,3,0),0)</f>
        <v/>
      </c>
      <c r="M769">
        <f>IF(I769=0,0,MAX(0,MIN(INDEX(Month!H$2:H$13,MATCH($A769,Month!$A$2:$A$13,0))-K769,I769)))</f>
        <v/>
      </c>
      <c r="N769">
        <f>IF(I769=0,0,MAX(0,MIN(INDEX(Month!I$2:I$13,MATCH($A769,Month!$A$2:$A$13,0))-K769,I769)))</f>
        <v/>
      </c>
      <c r="O769">
        <f>IF(I769=0,0,MAX(0,MIN(INDEX(Month!J$2:J$13,MATCH($A769,Month!$A$2:$A$13,0))-K769,I769)))</f>
        <v/>
      </c>
      <c r="P769">
        <f>IF(I769=0,0,(MIN(MAX(K769,0),L769)*W769+SUMPRODUCT((Calc!$A$2:$A$1001=A769)*Calc!$G$2:$G$1001*(((K769-(L769+Calc!$J$2:$J$1001))&gt;0)*((K769-(L769+Calc!$J$2:$J$1001))&lt;Calc!$F$2:$F$1001)*(K769-(L769+Calc!$J$2:$J$1001))+((K769-(L769+Calc!$J$2:$J$1001))&gt;=Calc!$F$2:$F$1001)*Calc!$F$2:$F$1001))))</f>
        <v/>
      </c>
      <c r="Q769">
        <f>IF(I769=0,0,(MIN(MAX((K769+M769),0),L769)*W769+SUMPRODUCT((Calc!$A$2:$A$1001=A769)*Calc!$G$2:$G$1001*((((K769+M769)-(L769+Calc!$J$2:$J$1001))&gt;0)*(((K769+M769)-(L769+Calc!$J$2:$J$1001))&lt;Calc!$F$2:$F$1001)*((K769+M769)-(L769+Calc!$J$2:$J$1001))+(((K769+M769)-(L769+Calc!$J$2:$J$1001))&gt;=Calc!$F$2:$F$1001)*Calc!$F$2:$F$1001))))</f>
        <v/>
      </c>
      <c r="R769">
        <f>IF(I769=0,0,(MIN(MAX((K769+N769),0),L769)*W769+SUMPRODUCT((Calc!$A$2:$A$1001=A769)*Calc!$G$2:$G$1001*((((K769+N769)-(L769+Calc!$J$2:$J$1001))&gt;0)*(((K769+N769)-(L769+Calc!$J$2:$J$1001))&lt;Calc!$F$2:$F$1001)*((K769+N769)-(L769+Calc!$J$2:$J$1001))+(((K769+N769)-(L769+Calc!$J$2:$J$1001))&gt;=Calc!$F$2:$F$1001)*Calc!$F$2:$F$1001))))</f>
        <v/>
      </c>
      <c r="S769">
        <f>IF(I769=0,0,(MIN(MAX((K769+O769),0),L769)*W769+SUMPRODUCT((Calc!$A$2:$A$1001=A769)*Calc!$G$2:$G$1001*((((K769+O769)-(L769+Calc!$J$2:$J$1001))&gt;0)*(((K769+O769)-(L769+Calc!$J$2:$J$1001))&lt;Calc!$F$2:$F$1001)*((K769+O769)-(L769+Calc!$J$2:$J$1001))+(((K769+O769)-(L769+Calc!$J$2:$J$1001))&gt;=Calc!$F$2:$F$1001)*Calc!$F$2:$F$1001))))</f>
        <v/>
      </c>
      <c r="T769">
        <f>IF(AND(E769=1,B769="RETURN"),Transactions!E769*Transactions!G769,0)</f>
        <v/>
      </c>
      <c r="U769">
        <f>IF(AND(E769=1,B769="EXPENSE"),Transactions!J769,0)</f>
        <v/>
      </c>
      <c r="V769">
        <f>IF(AND(Transactions!A769&lt;&gt;"",E769=0),ROW(),"")</f>
        <v/>
      </c>
      <c r="W769">
        <f>IFERROR(VLOOKUP(A769,Opening!$A:$D,4,0),0)</f>
        <v/>
      </c>
    </row>
    <row r="770">
      <c r="A770">
        <f>IF(Transactions!D770="","",UPPER(TRIM(Transactions!D770)))</f>
        <v/>
      </c>
      <c r="B770">
        <f>IF(Transactions!C770="","",UPPER(TRIM(Transactions!C770)))</f>
        <v/>
      </c>
      <c r="C770">
        <f>IF(Transactions!B770="",0,YEAR(Transactions!B770)*100+MONTH(Transactions!B770))</f>
        <v/>
      </c>
      <c r="D770">
        <f>IF(Transactions!A770="",1,IF(COUNTIF(Transactions!$A$1:A769,Transactions!A770)&gt;0,1,0))</f>
        <v/>
      </c>
      <c r="E770">
        <f>IF(D770=1,0,IF(B770="RETURN",IF(COUNTIFS($A$1:A769,A770,$B$1:B769,"SALE",$E$1:E769,1)&gt;0,1,0),1))</f>
        <v/>
      </c>
      <c r="F770">
        <f>IF(E770=1,IF(B770="RECEIPT",Transactions!E770,IF(AND(B770="RETURN",LOWER(TRIM(Transactions!H770))="resellable"),Transactions!E770,0)),0)</f>
        <v/>
      </c>
      <c r="G770">
        <f>IF(F770&gt;0,IF(B770="RECEIPT",Transactions!F770,IF(_xlfn.MAXIFS($H$2:H770,$A$2:A770,A770)&gt;0,INDEX(Transactions!$F:$F,_xlfn.MAXIFS($H$2:H770,$A$2:A770,A770)),W770)),0)</f>
        <v/>
      </c>
      <c r="H770">
        <f>IF(AND(E770=1,B770="RECEIPT"),ROW(),0)</f>
        <v/>
      </c>
      <c r="I770">
        <f>IF(E770=1,IF(OR(B770="SALE",B770="WRITEOFF"),Transactions!E770,0),0)</f>
        <v/>
      </c>
      <c r="J770">
        <f>SUMIFS($F$1:F769,$A$1:A769,A770)</f>
        <v/>
      </c>
      <c r="K770">
        <f>SUMIFS($I$1:I769,$A$1:A769,A770)</f>
        <v/>
      </c>
      <c r="L770">
        <f>IFERROR(VLOOKUP(A770,Opening!$A:$C,3,0),0)</f>
        <v/>
      </c>
      <c r="M770">
        <f>IF(I770=0,0,MAX(0,MIN(INDEX(Month!H$2:H$13,MATCH($A770,Month!$A$2:$A$13,0))-K770,I770)))</f>
        <v/>
      </c>
      <c r="N770">
        <f>IF(I770=0,0,MAX(0,MIN(INDEX(Month!I$2:I$13,MATCH($A770,Month!$A$2:$A$13,0))-K770,I770)))</f>
        <v/>
      </c>
      <c r="O770">
        <f>IF(I770=0,0,MAX(0,MIN(INDEX(Month!J$2:J$13,MATCH($A770,Month!$A$2:$A$13,0))-K770,I770)))</f>
        <v/>
      </c>
      <c r="P770">
        <f>IF(I770=0,0,(MIN(MAX(K770,0),L770)*W770+SUMPRODUCT((Calc!$A$2:$A$1001=A770)*Calc!$G$2:$G$1001*(((K770-(L770+Calc!$J$2:$J$1001))&gt;0)*((K770-(L770+Calc!$J$2:$J$1001))&lt;Calc!$F$2:$F$1001)*(K770-(L770+Calc!$J$2:$J$1001))+((K770-(L770+Calc!$J$2:$J$1001))&gt;=Calc!$F$2:$F$1001)*Calc!$F$2:$F$1001))))</f>
        <v/>
      </c>
      <c r="Q770">
        <f>IF(I770=0,0,(MIN(MAX((K770+M770),0),L770)*W770+SUMPRODUCT((Calc!$A$2:$A$1001=A770)*Calc!$G$2:$G$1001*((((K770+M770)-(L770+Calc!$J$2:$J$1001))&gt;0)*(((K770+M770)-(L770+Calc!$J$2:$J$1001))&lt;Calc!$F$2:$F$1001)*((K770+M770)-(L770+Calc!$J$2:$J$1001))+(((K770+M770)-(L770+Calc!$J$2:$J$1001))&gt;=Calc!$F$2:$F$1001)*Calc!$F$2:$F$1001))))</f>
        <v/>
      </c>
      <c r="R770">
        <f>IF(I770=0,0,(MIN(MAX((K770+N770),0),L770)*W770+SUMPRODUCT((Calc!$A$2:$A$1001=A770)*Calc!$G$2:$G$1001*((((K770+N770)-(L770+Calc!$J$2:$J$1001))&gt;0)*(((K770+N770)-(L770+Calc!$J$2:$J$1001))&lt;Calc!$F$2:$F$1001)*((K770+N770)-(L770+Calc!$J$2:$J$1001))+(((K770+N770)-(L770+Calc!$J$2:$J$1001))&gt;=Calc!$F$2:$F$1001)*Calc!$F$2:$F$1001))))</f>
        <v/>
      </c>
      <c r="S770">
        <f>IF(I770=0,0,(MIN(MAX((K770+O770),0),L770)*W770+SUMPRODUCT((Calc!$A$2:$A$1001=A770)*Calc!$G$2:$G$1001*((((K770+O770)-(L770+Calc!$J$2:$J$1001))&gt;0)*(((K770+O770)-(L770+Calc!$J$2:$J$1001))&lt;Calc!$F$2:$F$1001)*((K770+O770)-(L770+Calc!$J$2:$J$1001))+(((K770+O770)-(L770+Calc!$J$2:$J$1001))&gt;=Calc!$F$2:$F$1001)*Calc!$F$2:$F$1001))))</f>
        <v/>
      </c>
      <c r="T770">
        <f>IF(AND(E770=1,B770="RETURN"),Transactions!E770*Transactions!G770,0)</f>
        <v/>
      </c>
      <c r="U770">
        <f>IF(AND(E770=1,B770="EXPENSE"),Transactions!J770,0)</f>
        <v/>
      </c>
      <c r="V770">
        <f>IF(AND(Transactions!A770&lt;&gt;"",E770=0),ROW(),"")</f>
        <v/>
      </c>
      <c r="W770">
        <f>IFERROR(VLOOKUP(A770,Opening!$A:$D,4,0),0)</f>
        <v/>
      </c>
    </row>
    <row r="771">
      <c r="A771">
        <f>IF(Transactions!D771="","",UPPER(TRIM(Transactions!D771)))</f>
        <v/>
      </c>
      <c r="B771">
        <f>IF(Transactions!C771="","",UPPER(TRIM(Transactions!C771)))</f>
        <v/>
      </c>
      <c r="C771">
        <f>IF(Transactions!B771="",0,YEAR(Transactions!B771)*100+MONTH(Transactions!B771))</f>
        <v/>
      </c>
      <c r="D771">
        <f>IF(Transactions!A771="",1,IF(COUNTIF(Transactions!$A$1:A770,Transactions!A771)&gt;0,1,0))</f>
        <v/>
      </c>
      <c r="E771">
        <f>IF(D771=1,0,IF(B771="RETURN",IF(COUNTIFS($A$1:A770,A771,$B$1:B770,"SALE",$E$1:E770,1)&gt;0,1,0),1))</f>
        <v/>
      </c>
      <c r="F771">
        <f>IF(E771=1,IF(B771="RECEIPT",Transactions!E771,IF(AND(B771="RETURN",LOWER(TRIM(Transactions!H771))="resellable"),Transactions!E771,0)),0)</f>
        <v/>
      </c>
      <c r="G771">
        <f>IF(F771&gt;0,IF(B771="RECEIPT",Transactions!F771,IF(_xlfn.MAXIFS($H$2:H771,$A$2:A771,A771)&gt;0,INDEX(Transactions!$F:$F,_xlfn.MAXIFS($H$2:H771,$A$2:A771,A771)),W771)),0)</f>
        <v/>
      </c>
      <c r="H771">
        <f>IF(AND(E771=1,B771="RECEIPT"),ROW(),0)</f>
        <v/>
      </c>
      <c r="I771">
        <f>IF(E771=1,IF(OR(B771="SALE",B771="WRITEOFF"),Transactions!E771,0),0)</f>
        <v/>
      </c>
      <c r="J771">
        <f>SUMIFS($F$1:F770,$A$1:A770,A771)</f>
        <v/>
      </c>
      <c r="K771">
        <f>SUMIFS($I$1:I770,$A$1:A770,A771)</f>
        <v/>
      </c>
      <c r="L771">
        <f>IFERROR(VLOOKUP(A771,Opening!$A:$C,3,0),0)</f>
        <v/>
      </c>
      <c r="M771">
        <f>IF(I771=0,0,MAX(0,MIN(INDEX(Month!H$2:H$13,MATCH($A771,Month!$A$2:$A$13,0))-K771,I771)))</f>
        <v/>
      </c>
      <c r="N771">
        <f>IF(I771=0,0,MAX(0,MIN(INDEX(Month!I$2:I$13,MATCH($A771,Month!$A$2:$A$13,0))-K771,I771)))</f>
        <v/>
      </c>
      <c r="O771">
        <f>IF(I771=0,0,MAX(0,MIN(INDEX(Month!J$2:J$13,MATCH($A771,Month!$A$2:$A$13,0))-K771,I771)))</f>
        <v/>
      </c>
      <c r="P771">
        <f>IF(I771=0,0,(MIN(MAX(K771,0),L771)*W771+SUMPRODUCT((Calc!$A$2:$A$1001=A771)*Calc!$G$2:$G$1001*(((K771-(L771+Calc!$J$2:$J$1001))&gt;0)*((K771-(L771+Calc!$J$2:$J$1001))&lt;Calc!$F$2:$F$1001)*(K771-(L771+Calc!$J$2:$J$1001))+((K771-(L771+Calc!$J$2:$J$1001))&gt;=Calc!$F$2:$F$1001)*Calc!$F$2:$F$1001))))</f>
        <v/>
      </c>
      <c r="Q771">
        <f>IF(I771=0,0,(MIN(MAX((K771+M771),0),L771)*W771+SUMPRODUCT((Calc!$A$2:$A$1001=A771)*Calc!$G$2:$G$1001*((((K771+M771)-(L771+Calc!$J$2:$J$1001))&gt;0)*(((K771+M771)-(L771+Calc!$J$2:$J$1001))&lt;Calc!$F$2:$F$1001)*((K771+M771)-(L771+Calc!$J$2:$J$1001))+(((K771+M771)-(L771+Calc!$J$2:$J$1001))&gt;=Calc!$F$2:$F$1001)*Calc!$F$2:$F$1001))))</f>
        <v/>
      </c>
      <c r="R771">
        <f>IF(I771=0,0,(MIN(MAX((K771+N771),0),L771)*W771+SUMPRODUCT((Calc!$A$2:$A$1001=A771)*Calc!$G$2:$G$1001*((((K771+N771)-(L771+Calc!$J$2:$J$1001))&gt;0)*(((K771+N771)-(L771+Calc!$J$2:$J$1001))&lt;Calc!$F$2:$F$1001)*((K771+N771)-(L771+Calc!$J$2:$J$1001))+(((K771+N771)-(L771+Calc!$J$2:$J$1001))&gt;=Calc!$F$2:$F$1001)*Calc!$F$2:$F$1001))))</f>
        <v/>
      </c>
      <c r="S771">
        <f>IF(I771=0,0,(MIN(MAX((K771+O771),0),L771)*W771+SUMPRODUCT((Calc!$A$2:$A$1001=A771)*Calc!$G$2:$G$1001*((((K771+O771)-(L771+Calc!$J$2:$J$1001))&gt;0)*(((K771+O771)-(L771+Calc!$J$2:$J$1001))&lt;Calc!$F$2:$F$1001)*((K771+O771)-(L771+Calc!$J$2:$J$1001))+(((K771+O771)-(L771+Calc!$J$2:$J$1001))&gt;=Calc!$F$2:$F$1001)*Calc!$F$2:$F$1001))))</f>
        <v/>
      </c>
      <c r="T771">
        <f>IF(AND(E771=1,B771="RETURN"),Transactions!E771*Transactions!G771,0)</f>
        <v/>
      </c>
      <c r="U771">
        <f>IF(AND(E771=1,B771="EXPENSE"),Transactions!J771,0)</f>
        <v/>
      </c>
      <c r="V771">
        <f>IF(AND(Transactions!A771&lt;&gt;"",E771=0),ROW(),"")</f>
        <v/>
      </c>
      <c r="W771">
        <f>IFERROR(VLOOKUP(A771,Opening!$A:$D,4,0),0)</f>
        <v/>
      </c>
    </row>
    <row r="772">
      <c r="A772">
        <f>IF(Transactions!D772="","",UPPER(TRIM(Transactions!D772)))</f>
        <v/>
      </c>
      <c r="B772">
        <f>IF(Transactions!C772="","",UPPER(TRIM(Transactions!C772)))</f>
        <v/>
      </c>
      <c r="C772">
        <f>IF(Transactions!B772="",0,YEAR(Transactions!B772)*100+MONTH(Transactions!B772))</f>
        <v/>
      </c>
      <c r="D772">
        <f>IF(Transactions!A772="",1,IF(COUNTIF(Transactions!$A$1:A771,Transactions!A772)&gt;0,1,0))</f>
        <v/>
      </c>
      <c r="E772">
        <f>IF(D772=1,0,IF(B772="RETURN",IF(COUNTIFS($A$1:A771,A772,$B$1:B771,"SALE",$E$1:E771,1)&gt;0,1,0),1))</f>
        <v/>
      </c>
      <c r="F772">
        <f>IF(E772=1,IF(B772="RECEIPT",Transactions!E772,IF(AND(B772="RETURN",LOWER(TRIM(Transactions!H772))="resellable"),Transactions!E772,0)),0)</f>
        <v/>
      </c>
      <c r="G772">
        <f>IF(F772&gt;0,IF(B772="RECEIPT",Transactions!F772,IF(_xlfn.MAXIFS($H$2:H772,$A$2:A772,A772)&gt;0,INDEX(Transactions!$F:$F,_xlfn.MAXIFS($H$2:H772,$A$2:A772,A772)),W772)),0)</f>
        <v/>
      </c>
      <c r="H772">
        <f>IF(AND(E772=1,B772="RECEIPT"),ROW(),0)</f>
        <v/>
      </c>
      <c r="I772">
        <f>IF(E772=1,IF(OR(B772="SALE",B772="WRITEOFF"),Transactions!E772,0),0)</f>
        <v/>
      </c>
      <c r="J772">
        <f>SUMIFS($F$1:F771,$A$1:A771,A772)</f>
        <v/>
      </c>
      <c r="K772">
        <f>SUMIFS($I$1:I771,$A$1:A771,A772)</f>
        <v/>
      </c>
      <c r="L772">
        <f>IFERROR(VLOOKUP(A772,Opening!$A:$C,3,0),0)</f>
        <v/>
      </c>
      <c r="M772">
        <f>IF(I772=0,0,MAX(0,MIN(INDEX(Month!H$2:H$13,MATCH($A772,Month!$A$2:$A$13,0))-K772,I772)))</f>
        <v/>
      </c>
      <c r="N772">
        <f>IF(I772=0,0,MAX(0,MIN(INDEX(Month!I$2:I$13,MATCH($A772,Month!$A$2:$A$13,0))-K772,I772)))</f>
        <v/>
      </c>
      <c r="O772">
        <f>IF(I772=0,0,MAX(0,MIN(INDEX(Month!J$2:J$13,MATCH($A772,Month!$A$2:$A$13,0))-K772,I772)))</f>
        <v/>
      </c>
      <c r="P772">
        <f>IF(I772=0,0,(MIN(MAX(K772,0),L772)*W772+SUMPRODUCT((Calc!$A$2:$A$1001=A772)*Calc!$G$2:$G$1001*(((K772-(L772+Calc!$J$2:$J$1001))&gt;0)*((K772-(L772+Calc!$J$2:$J$1001))&lt;Calc!$F$2:$F$1001)*(K772-(L772+Calc!$J$2:$J$1001))+((K772-(L772+Calc!$J$2:$J$1001))&gt;=Calc!$F$2:$F$1001)*Calc!$F$2:$F$1001))))</f>
        <v/>
      </c>
      <c r="Q772">
        <f>IF(I772=0,0,(MIN(MAX((K772+M772),0),L772)*W772+SUMPRODUCT((Calc!$A$2:$A$1001=A772)*Calc!$G$2:$G$1001*((((K772+M772)-(L772+Calc!$J$2:$J$1001))&gt;0)*(((K772+M772)-(L772+Calc!$J$2:$J$1001))&lt;Calc!$F$2:$F$1001)*((K772+M772)-(L772+Calc!$J$2:$J$1001))+(((K772+M772)-(L772+Calc!$J$2:$J$1001))&gt;=Calc!$F$2:$F$1001)*Calc!$F$2:$F$1001))))</f>
        <v/>
      </c>
      <c r="R772">
        <f>IF(I772=0,0,(MIN(MAX((K772+N772),0),L772)*W772+SUMPRODUCT((Calc!$A$2:$A$1001=A772)*Calc!$G$2:$G$1001*((((K772+N772)-(L772+Calc!$J$2:$J$1001))&gt;0)*(((K772+N772)-(L772+Calc!$J$2:$J$1001))&lt;Calc!$F$2:$F$1001)*((K772+N772)-(L772+Calc!$J$2:$J$1001))+(((K772+N772)-(L772+Calc!$J$2:$J$1001))&gt;=Calc!$F$2:$F$1001)*Calc!$F$2:$F$1001))))</f>
        <v/>
      </c>
      <c r="S772">
        <f>IF(I772=0,0,(MIN(MAX((K772+O772),0),L772)*W772+SUMPRODUCT((Calc!$A$2:$A$1001=A772)*Calc!$G$2:$G$1001*((((K772+O772)-(L772+Calc!$J$2:$J$1001))&gt;0)*(((K772+O772)-(L772+Calc!$J$2:$J$1001))&lt;Calc!$F$2:$F$1001)*((K772+O772)-(L772+Calc!$J$2:$J$1001))+(((K772+O772)-(L772+Calc!$J$2:$J$1001))&gt;=Calc!$F$2:$F$1001)*Calc!$F$2:$F$1001))))</f>
        <v/>
      </c>
      <c r="T772">
        <f>IF(AND(E772=1,B772="RETURN"),Transactions!E772*Transactions!G772,0)</f>
        <v/>
      </c>
      <c r="U772">
        <f>IF(AND(E772=1,B772="EXPENSE"),Transactions!J772,0)</f>
        <v/>
      </c>
      <c r="V772">
        <f>IF(AND(Transactions!A772&lt;&gt;"",E772=0),ROW(),"")</f>
        <v/>
      </c>
      <c r="W772">
        <f>IFERROR(VLOOKUP(A772,Opening!$A:$D,4,0),0)</f>
        <v/>
      </c>
    </row>
    <row r="773">
      <c r="A773">
        <f>IF(Transactions!D773="","",UPPER(TRIM(Transactions!D773)))</f>
        <v/>
      </c>
      <c r="B773">
        <f>IF(Transactions!C773="","",UPPER(TRIM(Transactions!C773)))</f>
        <v/>
      </c>
      <c r="C773">
        <f>IF(Transactions!B773="",0,YEAR(Transactions!B773)*100+MONTH(Transactions!B773))</f>
        <v/>
      </c>
      <c r="D773">
        <f>IF(Transactions!A773="",1,IF(COUNTIF(Transactions!$A$1:A772,Transactions!A773)&gt;0,1,0))</f>
        <v/>
      </c>
      <c r="E773">
        <f>IF(D773=1,0,IF(B773="RETURN",IF(COUNTIFS($A$1:A772,A773,$B$1:B772,"SALE",$E$1:E772,1)&gt;0,1,0),1))</f>
        <v/>
      </c>
      <c r="F773">
        <f>IF(E773=1,IF(B773="RECEIPT",Transactions!E773,IF(AND(B773="RETURN",LOWER(TRIM(Transactions!H773))="resellable"),Transactions!E773,0)),0)</f>
        <v/>
      </c>
      <c r="G773">
        <f>IF(F773&gt;0,IF(B773="RECEIPT",Transactions!F773,IF(_xlfn.MAXIFS($H$2:H773,$A$2:A773,A773)&gt;0,INDEX(Transactions!$F:$F,_xlfn.MAXIFS($H$2:H773,$A$2:A773,A773)),W773)),0)</f>
        <v/>
      </c>
      <c r="H773">
        <f>IF(AND(E773=1,B773="RECEIPT"),ROW(),0)</f>
        <v/>
      </c>
      <c r="I773">
        <f>IF(E773=1,IF(OR(B773="SALE",B773="WRITEOFF"),Transactions!E773,0),0)</f>
        <v/>
      </c>
      <c r="J773">
        <f>SUMIFS($F$1:F772,$A$1:A772,A773)</f>
        <v/>
      </c>
      <c r="K773">
        <f>SUMIFS($I$1:I772,$A$1:A772,A773)</f>
        <v/>
      </c>
      <c r="L773">
        <f>IFERROR(VLOOKUP(A773,Opening!$A:$C,3,0),0)</f>
        <v/>
      </c>
      <c r="M773">
        <f>IF(I773=0,0,MAX(0,MIN(INDEX(Month!H$2:H$13,MATCH($A773,Month!$A$2:$A$13,0))-K773,I773)))</f>
        <v/>
      </c>
      <c r="N773">
        <f>IF(I773=0,0,MAX(0,MIN(INDEX(Month!I$2:I$13,MATCH($A773,Month!$A$2:$A$13,0))-K773,I773)))</f>
        <v/>
      </c>
      <c r="O773">
        <f>IF(I773=0,0,MAX(0,MIN(INDEX(Month!J$2:J$13,MATCH($A773,Month!$A$2:$A$13,0))-K773,I773)))</f>
        <v/>
      </c>
      <c r="P773">
        <f>IF(I773=0,0,(MIN(MAX(K773,0),L773)*W773+SUMPRODUCT((Calc!$A$2:$A$1001=A773)*Calc!$G$2:$G$1001*(((K773-(L773+Calc!$J$2:$J$1001))&gt;0)*((K773-(L773+Calc!$J$2:$J$1001))&lt;Calc!$F$2:$F$1001)*(K773-(L773+Calc!$J$2:$J$1001))+((K773-(L773+Calc!$J$2:$J$1001))&gt;=Calc!$F$2:$F$1001)*Calc!$F$2:$F$1001))))</f>
        <v/>
      </c>
      <c r="Q773">
        <f>IF(I773=0,0,(MIN(MAX((K773+M773),0),L773)*W773+SUMPRODUCT((Calc!$A$2:$A$1001=A773)*Calc!$G$2:$G$1001*((((K773+M773)-(L773+Calc!$J$2:$J$1001))&gt;0)*(((K773+M773)-(L773+Calc!$J$2:$J$1001))&lt;Calc!$F$2:$F$1001)*((K773+M773)-(L773+Calc!$J$2:$J$1001))+(((K773+M773)-(L773+Calc!$J$2:$J$1001))&gt;=Calc!$F$2:$F$1001)*Calc!$F$2:$F$1001))))</f>
        <v/>
      </c>
      <c r="R773">
        <f>IF(I773=0,0,(MIN(MAX((K773+N773),0),L773)*W773+SUMPRODUCT((Calc!$A$2:$A$1001=A773)*Calc!$G$2:$G$1001*((((K773+N773)-(L773+Calc!$J$2:$J$1001))&gt;0)*(((K773+N773)-(L773+Calc!$J$2:$J$1001))&lt;Calc!$F$2:$F$1001)*((K773+N773)-(L773+Calc!$J$2:$J$1001))+(((K773+N773)-(L773+Calc!$J$2:$J$1001))&gt;=Calc!$F$2:$F$1001)*Calc!$F$2:$F$1001))))</f>
        <v/>
      </c>
      <c r="S773">
        <f>IF(I773=0,0,(MIN(MAX((K773+O773),0),L773)*W773+SUMPRODUCT((Calc!$A$2:$A$1001=A773)*Calc!$G$2:$G$1001*((((K773+O773)-(L773+Calc!$J$2:$J$1001))&gt;0)*(((K773+O773)-(L773+Calc!$J$2:$J$1001))&lt;Calc!$F$2:$F$1001)*((K773+O773)-(L773+Calc!$J$2:$J$1001))+(((K773+O773)-(L773+Calc!$J$2:$J$1001))&gt;=Calc!$F$2:$F$1001)*Calc!$F$2:$F$1001))))</f>
        <v/>
      </c>
      <c r="T773">
        <f>IF(AND(E773=1,B773="RETURN"),Transactions!E773*Transactions!G773,0)</f>
        <v/>
      </c>
      <c r="U773">
        <f>IF(AND(E773=1,B773="EXPENSE"),Transactions!J773,0)</f>
        <v/>
      </c>
      <c r="V773">
        <f>IF(AND(Transactions!A773&lt;&gt;"",E773=0),ROW(),"")</f>
        <v/>
      </c>
      <c r="W773">
        <f>IFERROR(VLOOKUP(A773,Opening!$A:$D,4,0),0)</f>
        <v/>
      </c>
    </row>
    <row r="774">
      <c r="A774">
        <f>IF(Transactions!D774="","",UPPER(TRIM(Transactions!D774)))</f>
        <v/>
      </c>
      <c r="B774">
        <f>IF(Transactions!C774="","",UPPER(TRIM(Transactions!C774)))</f>
        <v/>
      </c>
      <c r="C774">
        <f>IF(Transactions!B774="",0,YEAR(Transactions!B774)*100+MONTH(Transactions!B774))</f>
        <v/>
      </c>
      <c r="D774">
        <f>IF(Transactions!A774="",1,IF(COUNTIF(Transactions!$A$1:A773,Transactions!A774)&gt;0,1,0))</f>
        <v/>
      </c>
      <c r="E774">
        <f>IF(D774=1,0,IF(B774="RETURN",IF(COUNTIFS($A$1:A773,A774,$B$1:B773,"SALE",$E$1:E773,1)&gt;0,1,0),1))</f>
        <v/>
      </c>
      <c r="F774">
        <f>IF(E774=1,IF(B774="RECEIPT",Transactions!E774,IF(AND(B774="RETURN",LOWER(TRIM(Transactions!H774))="resellable"),Transactions!E774,0)),0)</f>
        <v/>
      </c>
      <c r="G774">
        <f>IF(F774&gt;0,IF(B774="RECEIPT",Transactions!F774,IF(_xlfn.MAXIFS($H$2:H774,$A$2:A774,A774)&gt;0,INDEX(Transactions!$F:$F,_xlfn.MAXIFS($H$2:H774,$A$2:A774,A774)),W774)),0)</f>
        <v/>
      </c>
      <c r="H774">
        <f>IF(AND(E774=1,B774="RECEIPT"),ROW(),0)</f>
        <v/>
      </c>
      <c r="I774">
        <f>IF(E774=1,IF(OR(B774="SALE",B774="WRITEOFF"),Transactions!E774,0),0)</f>
        <v/>
      </c>
      <c r="J774">
        <f>SUMIFS($F$1:F773,$A$1:A773,A774)</f>
        <v/>
      </c>
      <c r="K774">
        <f>SUMIFS($I$1:I773,$A$1:A773,A774)</f>
        <v/>
      </c>
      <c r="L774">
        <f>IFERROR(VLOOKUP(A774,Opening!$A:$C,3,0),0)</f>
        <v/>
      </c>
      <c r="M774">
        <f>IF(I774=0,0,MAX(0,MIN(INDEX(Month!H$2:H$13,MATCH($A774,Month!$A$2:$A$13,0))-K774,I774)))</f>
        <v/>
      </c>
      <c r="N774">
        <f>IF(I774=0,0,MAX(0,MIN(INDEX(Month!I$2:I$13,MATCH($A774,Month!$A$2:$A$13,0))-K774,I774)))</f>
        <v/>
      </c>
      <c r="O774">
        <f>IF(I774=0,0,MAX(0,MIN(INDEX(Month!J$2:J$13,MATCH($A774,Month!$A$2:$A$13,0))-K774,I774)))</f>
        <v/>
      </c>
      <c r="P774">
        <f>IF(I774=0,0,(MIN(MAX(K774,0),L774)*W774+SUMPRODUCT((Calc!$A$2:$A$1001=A774)*Calc!$G$2:$G$1001*(((K774-(L774+Calc!$J$2:$J$1001))&gt;0)*((K774-(L774+Calc!$J$2:$J$1001))&lt;Calc!$F$2:$F$1001)*(K774-(L774+Calc!$J$2:$J$1001))+((K774-(L774+Calc!$J$2:$J$1001))&gt;=Calc!$F$2:$F$1001)*Calc!$F$2:$F$1001))))</f>
        <v/>
      </c>
      <c r="Q774">
        <f>IF(I774=0,0,(MIN(MAX((K774+M774),0),L774)*W774+SUMPRODUCT((Calc!$A$2:$A$1001=A774)*Calc!$G$2:$G$1001*((((K774+M774)-(L774+Calc!$J$2:$J$1001))&gt;0)*(((K774+M774)-(L774+Calc!$J$2:$J$1001))&lt;Calc!$F$2:$F$1001)*((K774+M774)-(L774+Calc!$J$2:$J$1001))+(((K774+M774)-(L774+Calc!$J$2:$J$1001))&gt;=Calc!$F$2:$F$1001)*Calc!$F$2:$F$1001))))</f>
        <v/>
      </c>
      <c r="R774">
        <f>IF(I774=0,0,(MIN(MAX((K774+N774),0),L774)*W774+SUMPRODUCT((Calc!$A$2:$A$1001=A774)*Calc!$G$2:$G$1001*((((K774+N774)-(L774+Calc!$J$2:$J$1001))&gt;0)*(((K774+N774)-(L774+Calc!$J$2:$J$1001))&lt;Calc!$F$2:$F$1001)*((K774+N774)-(L774+Calc!$J$2:$J$1001))+(((K774+N774)-(L774+Calc!$J$2:$J$1001))&gt;=Calc!$F$2:$F$1001)*Calc!$F$2:$F$1001))))</f>
        <v/>
      </c>
      <c r="S774">
        <f>IF(I774=0,0,(MIN(MAX((K774+O774),0),L774)*W774+SUMPRODUCT((Calc!$A$2:$A$1001=A774)*Calc!$G$2:$G$1001*((((K774+O774)-(L774+Calc!$J$2:$J$1001))&gt;0)*(((K774+O774)-(L774+Calc!$J$2:$J$1001))&lt;Calc!$F$2:$F$1001)*((K774+O774)-(L774+Calc!$J$2:$J$1001))+(((K774+O774)-(L774+Calc!$J$2:$J$1001))&gt;=Calc!$F$2:$F$1001)*Calc!$F$2:$F$1001))))</f>
        <v/>
      </c>
      <c r="T774">
        <f>IF(AND(E774=1,B774="RETURN"),Transactions!E774*Transactions!G774,0)</f>
        <v/>
      </c>
      <c r="U774">
        <f>IF(AND(E774=1,B774="EXPENSE"),Transactions!J774,0)</f>
        <v/>
      </c>
      <c r="V774">
        <f>IF(AND(Transactions!A774&lt;&gt;"",E774=0),ROW(),"")</f>
        <v/>
      </c>
      <c r="W774">
        <f>IFERROR(VLOOKUP(A774,Opening!$A:$D,4,0),0)</f>
        <v/>
      </c>
    </row>
    <row r="775">
      <c r="A775">
        <f>IF(Transactions!D775="","",UPPER(TRIM(Transactions!D775)))</f>
        <v/>
      </c>
      <c r="B775">
        <f>IF(Transactions!C775="","",UPPER(TRIM(Transactions!C775)))</f>
        <v/>
      </c>
      <c r="C775">
        <f>IF(Transactions!B775="",0,YEAR(Transactions!B775)*100+MONTH(Transactions!B775))</f>
        <v/>
      </c>
      <c r="D775">
        <f>IF(Transactions!A775="",1,IF(COUNTIF(Transactions!$A$1:A774,Transactions!A775)&gt;0,1,0))</f>
        <v/>
      </c>
      <c r="E775">
        <f>IF(D775=1,0,IF(B775="RETURN",IF(COUNTIFS($A$1:A774,A775,$B$1:B774,"SALE",$E$1:E774,1)&gt;0,1,0),1))</f>
        <v/>
      </c>
      <c r="F775">
        <f>IF(E775=1,IF(B775="RECEIPT",Transactions!E775,IF(AND(B775="RETURN",LOWER(TRIM(Transactions!H775))="resellable"),Transactions!E775,0)),0)</f>
        <v/>
      </c>
      <c r="G775">
        <f>IF(F775&gt;0,IF(B775="RECEIPT",Transactions!F775,IF(_xlfn.MAXIFS($H$2:H775,$A$2:A775,A775)&gt;0,INDEX(Transactions!$F:$F,_xlfn.MAXIFS($H$2:H775,$A$2:A775,A775)),W775)),0)</f>
        <v/>
      </c>
      <c r="H775">
        <f>IF(AND(E775=1,B775="RECEIPT"),ROW(),0)</f>
        <v/>
      </c>
      <c r="I775">
        <f>IF(E775=1,IF(OR(B775="SALE",B775="WRITEOFF"),Transactions!E775,0),0)</f>
        <v/>
      </c>
      <c r="J775">
        <f>SUMIFS($F$1:F774,$A$1:A774,A775)</f>
        <v/>
      </c>
      <c r="K775">
        <f>SUMIFS($I$1:I774,$A$1:A774,A775)</f>
        <v/>
      </c>
      <c r="L775">
        <f>IFERROR(VLOOKUP(A775,Opening!$A:$C,3,0),0)</f>
        <v/>
      </c>
      <c r="M775">
        <f>IF(I775=0,0,MAX(0,MIN(INDEX(Month!H$2:H$13,MATCH($A775,Month!$A$2:$A$13,0))-K775,I775)))</f>
        <v/>
      </c>
      <c r="N775">
        <f>IF(I775=0,0,MAX(0,MIN(INDEX(Month!I$2:I$13,MATCH($A775,Month!$A$2:$A$13,0))-K775,I775)))</f>
        <v/>
      </c>
      <c r="O775">
        <f>IF(I775=0,0,MAX(0,MIN(INDEX(Month!J$2:J$13,MATCH($A775,Month!$A$2:$A$13,0))-K775,I775)))</f>
        <v/>
      </c>
      <c r="P775">
        <f>IF(I775=0,0,(MIN(MAX(K775,0),L775)*W775+SUMPRODUCT((Calc!$A$2:$A$1001=A775)*Calc!$G$2:$G$1001*(((K775-(L775+Calc!$J$2:$J$1001))&gt;0)*((K775-(L775+Calc!$J$2:$J$1001))&lt;Calc!$F$2:$F$1001)*(K775-(L775+Calc!$J$2:$J$1001))+((K775-(L775+Calc!$J$2:$J$1001))&gt;=Calc!$F$2:$F$1001)*Calc!$F$2:$F$1001))))</f>
        <v/>
      </c>
      <c r="Q775">
        <f>IF(I775=0,0,(MIN(MAX((K775+M775),0),L775)*W775+SUMPRODUCT((Calc!$A$2:$A$1001=A775)*Calc!$G$2:$G$1001*((((K775+M775)-(L775+Calc!$J$2:$J$1001))&gt;0)*(((K775+M775)-(L775+Calc!$J$2:$J$1001))&lt;Calc!$F$2:$F$1001)*((K775+M775)-(L775+Calc!$J$2:$J$1001))+(((K775+M775)-(L775+Calc!$J$2:$J$1001))&gt;=Calc!$F$2:$F$1001)*Calc!$F$2:$F$1001))))</f>
        <v/>
      </c>
      <c r="R775">
        <f>IF(I775=0,0,(MIN(MAX((K775+N775),0),L775)*W775+SUMPRODUCT((Calc!$A$2:$A$1001=A775)*Calc!$G$2:$G$1001*((((K775+N775)-(L775+Calc!$J$2:$J$1001))&gt;0)*(((K775+N775)-(L775+Calc!$J$2:$J$1001))&lt;Calc!$F$2:$F$1001)*((K775+N775)-(L775+Calc!$J$2:$J$1001))+(((K775+N775)-(L775+Calc!$J$2:$J$1001))&gt;=Calc!$F$2:$F$1001)*Calc!$F$2:$F$1001))))</f>
        <v/>
      </c>
      <c r="S775">
        <f>IF(I775=0,0,(MIN(MAX((K775+O775),0),L775)*W775+SUMPRODUCT((Calc!$A$2:$A$1001=A775)*Calc!$G$2:$G$1001*((((K775+O775)-(L775+Calc!$J$2:$J$1001))&gt;0)*(((K775+O775)-(L775+Calc!$J$2:$J$1001))&lt;Calc!$F$2:$F$1001)*((K775+O775)-(L775+Calc!$J$2:$J$1001))+(((K775+O775)-(L775+Calc!$J$2:$J$1001))&gt;=Calc!$F$2:$F$1001)*Calc!$F$2:$F$1001))))</f>
        <v/>
      </c>
      <c r="T775">
        <f>IF(AND(E775=1,B775="RETURN"),Transactions!E775*Transactions!G775,0)</f>
        <v/>
      </c>
      <c r="U775">
        <f>IF(AND(E775=1,B775="EXPENSE"),Transactions!J775,0)</f>
        <v/>
      </c>
      <c r="V775">
        <f>IF(AND(Transactions!A775&lt;&gt;"",E775=0),ROW(),"")</f>
        <v/>
      </c>
      <c r="W775">
        <f>IFERROR(VLOOKUP(A775,Opening!$A:$D,4,0),0)</f>
        <v/>
      </c>
    </row>
    <row r="776">
      <c r="A776">
        <f>IF(Transactions!D776="","",UPPER(TRIM(Transactions!D776)))</f>
        <v/>
      </c>
      <c r="B776">
        <f>IF(Transactions!C776="","",UPPER(TRIM(Transactions!C776)))</f>
        <v/>
      </c>
      <c r="C776">
        <f>IF(Transactions!B776="",0,YEAR(Transactions!B776)*100+MONTH(Transactions!B776))</f>
        <v/>
      </c>
      <c r="D776">
        <f>IF(Transactions!A776="",1,IF(COUNTIF(Transactions!$A$1:A775,Transactions!A776)&gt;0,1,0))</f>
        <v/>
      </c>
      <c r="E776">
        <f>IF(D776=1,0,IF(B776="RETURN",IF(COUNTIFS($A$1:A775,A776,$B$1:B775,"SALE",$E$1:E775,1)&gt;0,1,0),1))</f>
        <v/>
      </c>
      <c r="F776">
        <f>IF(E776=1,IF(B776="RECEIPT",Transactions!E776,IF(AND(B776="RETURN",LOWER(TRIM(Transactions!H776))="resellable"),Transactions!E776,0)),0)</f>
        <v/>
      </c>
      <c r="G776">
        <f>IF(F776&gt;0,IF(B776="RECEIPT",Transactions!F776,IF(_xlfn.MAXIFS($H$2:H776,$A$2:A776,A776)&gt;0,INDEX(Transactions!$F:$F,_xlfn.MAXIFS($H$2:H776,$A$2:A776,A776)),W776)),0)</f>
        <v/>
      </c>
      <c r="H776">
        <f>IF(AND(E776=1,B776="RECEIPT"),ROW(),0)</f>
        <v/>
      </c>
      <c r="I776">
        <f>IF(E776=1,IF(OR(B776="SALE",B776="WRITEOFF"),Transactions!E776,0),0)</f>
        <v/>
      </c>
      <c r="J776">
        <f>SUMIFS($F$1:F775,$A$1:A775,A776)</f>
        <v/>
      </c>
      <c r="K776">
        <f>SUMIFS($I$1:I775,$A$1:A775,A776)</f>
        <v/>
      </c>
      <c r="L776">
        <f>IFERROR(VLOOKUP(A776,Opening!$A:$C,3,0),0)</f>
        <v/>
      </c>
      <c r="M776">
        <f>IF(I776=0,0,MAX(0,MIN(INDEX(Month!H$2:H$13,MATCH($A776,Month!$A$2:$A$13,0))-K776,I776)))</f>
        <v/>
      </c>
      <c r="N776">
        <f>IF(I776=0,0,MAX(0,MIN(INDEX(Month!I$2:I$13,MATCH($A776,Month!$A$2:$A$13,0))-K776,I776)))</f>
        <v/>
      </c>
      <c r="O776">
        <f>IF(I776=0,0,MAX(0,MIN(INDEX(Month!J$2:J$13,MATCH($A776,Month!$A$2:$A$13,0))-K776,I776)))</f>
        <v/>
      </c>
      <c r="P776">
        <f>IF(I776=0,0,(MIN(MAX(K776,0),L776)*W776+SUMPRODUCT((Calc!$A$2:$A$1001=A776)*Calc!$G$2:$G$1001*(((K776-(L776+Calc!$J$2:$J$1001))&gt;0)*((K776-(L776+Calc!$J$2:$J$1001))&lt;Calc!$F$2:$F$1001)*(K776-(L776+Calc!$J$2:$J$1001))+((K776-(L776+Calc!$J$2:$J$1001))&gt;=Calc!$F$2:$F$1001)*Calc!$F$2:$F$1001))))</f>
        <v/>
      </c>
      <c r="Q776">
        <f>IF(I776=0,0,(MIN(MAX((K776+M776),0),L776)*W776+SUMPRODUCT((Calc!$A$2:$A$1001=A776)*Calc!$G$2:$G$1001*((((K776+M776)-(L776+Calc!$J$2:$J$1001))&gt;0)*(((K776+M776)-(L776+Calc!$J$2:$J$1001))&lt;Calc!$F$2:$F$1001)*((K776+M776)-(L776+Calc!$J$2:$J$1001))+(((K776+M776)-(L776+Calc!$J$2:$J$1001))&gt;=Calc!$F$2:$F$1001)*Calc!$F$2:$F$1001))))</f>
        <v/>
      </c>
      <c r="R776">
        <f>IF(I776=0,0,(MIN(MAX((K776+N776),0),L776)*W776+SUMPRODUCT((Calc!$A$2:$A$1001=A776)*Calc!$G$2:$G$1001*((((K776+N776)-(L776+Calc!$J$2:$J$1001))&gt;0)*(((K776+N776)-(L776+Calc!$J$2:$J$1001))&lt;Calc!$F$2:$F$1001)*((K776+N776)-(L776+Calc!$J$2:$J$1001))+(((K776+N776)-(L776+Calc!$J$2:$J$1001))&gt;=Calc!$F$2:$F$1001)*Calc!$F$2:$F$1001))))</f>
        <v/>
      </c>
      <c r="S776">
        <f>IF(I776=0,0,(MIN(MAX((K776+O776),0),L776)*W776+SUMPRODUCT((Calc!$A$2:$A$1001=A776)*Calc!$G$2:$G$1001*((((K776+O776)-(L776+Calc!$J$2:$J$1001))&gt;0)*(((K776+O776)-(L776+Calc!$J$2:$J$1001))&lt;Calc!$F$2:$F$1001)*((K776+O776)-(L776+Calc!$J$2:$J$1001))+(((K776+O776)-(L776+Calc!$J$2:$J$1001))&gt;=Calc!$F$2:$F$1001)*Calc!$F$2:$F$1001))))</f>
        <v/>
      </c>
      <c r="T776">
        <f>IF(AND(E776=1,B776="RETURN"),Transactions!E776*Transactions!G776,0)</f>
        <v/>
      </c>
      <c r="U776">
        <f>IF(AND(E776=1,B776="EXPENSE"),Transactions!J776,0)</f>
        <v/>
      </c>
      <c r="V776">
        <f>IF(AND(Transactions!A776&lt;&gt;"",E776=0),ROW(),"")</f>
        <v/>
      </c>
      <c r="W776">
        <f>IFERROR(VLOOKUP(A776,Opening!$A:$D,4,0),0)</f>
        <v/>
      </c>
    </row>
    <row r="777">
      <c r="A777">
        <f>IF(Transactions!D777="","",UPPER(TRIM(Transactions!D777)))</f>
        <v/>
      </c>
      <c r="B777">
        <f>IF(Transactions!C777="","",UPPER(TRIM(Transactions!C777)))</f>
        <v/>
      </c>
      <c r="C777">
        <f>IF(Transactions!B777="",0,YEAR(Transactions!B777)*100+MONTH(Transactions!B777))</f>
        <v/>
      </c>
      <c r="D777">
        <f>IF(Transactions!A777="",1,IF(COUNTIF(Transactions!$A$1:A776,Transactions!A777)&gt;0,1,0))</f>
        <v/>
      </c>
      <c r="E777">
        <f>IF(D777=1,0,IF(B777="RETURN",IF(COUNTIFS($A$1:A776,A777,$B$1:B776,"SALE",$E$1:E776,1)&gt;0,1,0),1))</f>
        <v/>
      </c>
      <c r="F777">
        <f>IF(E777=1,IF(B777="RECEIPT",Transactions!E777,IF(AND(B777="RETURN",LOWER(TRIM(Transactions!H777))="resellable"),Transactions!E777,0)),0)</f>
        <v/>
      </c>
      <c r="G777">
        <f>IF(F777&gt;0,IF(B777="RECEIPT",Transactions!F777,IF(_xlfn.MAXIFS($H$2:H777,$A$2:A777,A777)&gt;0,INDEX(Transactions!$F:$F,_xlfn.MAXIFS($H$2:H777,$A$2:A777,A777)),W777)),0)</f>
        <v/>
      </c>
      <c r="H777">
        <f>IF(AND(E777=1,B777="RECEIPT"),ROW(),0)</f>
        <v/>
      </c>
      <c r="I777">
        <f>IF(E777=1,IF(OR(B777="SALE",B777="WRITEOFF"),Transactions!E777,0),0)</f>
        <v/>
      </c>
      <c r="J777">
        <f>SUMIFS($F$1:F776,$A$1:A776,A777)</f>
        <v/>
      </c>
      <c r="K777">
        <f>SUMIFS($I$1:I776,$A$1:A776,A777)</f>
        <v/>
      </c>
      <c r="L777">
        <f>IFERROR(VLOOKUP(A777,Opening!$A:$C,3,0),0)</f>
        <v/>
      </c>
      <c r="M777">
        <f>IF(I777=0,0,MAX(0,MIN(INDEX(Month!H$2:H$13,MATCH($A777,Month!$A$2:$A$13,0))-K777,I777)))</f>
        <v/>
      </c>
      <c r="N777">
        <f>IF(I777=0,0,MAX(0,MIN(INDEX(Month!I$2:I$13,MATCH($A777,Month!$A$2:$A$13,0))-K777,I777)))</f>
        <v/>
      </c>
      <c r="O777">
        <f>IF(I777=0,0,MAX(0,MIN(INDEX(Month!J$2:J$13,MATCH($A777,Month!$A$2:$A$13,0))-K777,I777)))</f>
        <v/>
      </c>
      <c r="P777">
        <f>IF(I777=0,0,(MIN(MAX(K777,0),L777)*W777+SUMPRODUCT((Calc!$A$2:$A$1001=A777)*Calc!$G$2:$G$1001*(((K777-(L777+Calc!$J$2:$J$1001))&gt;0)*((K777-(L777+Calc!$J$2:$J$1001))&lt;Calc!$F$2:$F$1001)*(K777-(L777+Calc!$J$2:$J$1001))+((K777-(L777+Calc!$J$2:$J$1001))&gt;=Calc!$F$2:$F$1001)*Calc!$F$2:$F$1001))))</f>
        <v/>
      </c>
      <c r="Q777">
        <f>IF(I777=0,0,(MIN(MAX((K777+M777),0),L777)*W777+SUMPRODUCT((Calc!$A$2:$A$1001=A777)*Calc!$G$2:$G$1001*((((K777+M777)-(L777+Calc!$J$2:$J$1001))&gt;0)*(((K777+M777)-(L777+Calc!$J$2:$J$1001))&lt;Calc!$F$2:$F$1001)*((K777+M777)-(L777+Calc!$J$2:$J$1001))+(((K777+M777)-(L777+Calc!$J$2:$J$1001))&gt;=Calc!$F$2:$F$1001)*Calc!$F$2:$F$1001))))</f>
        <v/>
      </c>
      <c r="R777">
        <f>IF(I777=0,0,(MIN(MAX((K777+N777),0),L777)*W777+SUMPRODUCT((Calc!$A$2:$A$1001=A777)*Calc!$G$2:$G$1001*((((K777+N777)-(L777+Calc!$J$2:$J$1001))&gt;0)*(((K777+N777)-(L777+Calc!$J$2:$J$1001))&lt;Calc!$F$2:$F$1001)*((K777+N777)-(L777+Calc!$J$2:$J$1001))+(((K777+N777)-(L777+Calc!$J$2:$J$1001))&gt;=Calc!$F$2:$F$1001)*Calc!$F$2:$F$1001))))</f>
        <v/>
      </c>
      <c r="S777">
        <f>IF(I777=0,0,(MIN(MAX((K777+O777),0),L777)*W777+SUMPRODUCT((Calc!$A$2:$A$1001=A777)*Calc!$G$2:$G$1001*((((K777+O777)-(L777+Calc!$J$2:$J$1001))&gt;0)*(((K777+O777)-(L777+Calc!$J$2:$J$1001))&lt;Calc!$F$2:$F$1001)*((K777+O777)-(L777+Calc!$J$2:$J$1001))+(((K777+O777)-(L777+Calc!$J$2:$J$1001))&gt;=Calc!$F$2:$F$1001)*Calc!$F$2:$F$1001))))</f>
        <v/>
      </c>
      <c r="T777">
        <f>IF(AND(E777=1,B777="RETURN"),Transactions!E777*Transactions!G777,0)</f>
        <v/>
      </c>
      <c r="U777">
        <f>IF(AND(E777=1,B777="EXPENSE"),Transactions!J777,0)</f>
        <v/>
      </c>
      <c r="V777">
        <f>IF(AND(Transactions!A777&lt;&gt;"",E777=0),ROW(),"")</f>
        <v/>
      </c>
      <c r="W777">
        <f>IFERROR(VLOOKUP(A777,Opening!$A:$D,4,0),0)</f>
        <v/>
      </c>
    </row>
    <row r="778">
      <c r="A778">
        <f>IF(Transactions!D778="","",UPPER(TRIM(Transactions!D778)))</f>
        <v/>
      </c>
      <c r="B778">
        <f>IF(Transactions!C778="","",UPPER(TRIM(Transactions!C778)))</f>
        <v/>
      </c>
      <c r="C778">
        <f>IF(Transactions!B778="",0,YEAR(Transactions!B778)*100+MONTH(Transactions!B778))</f>
        <v/>
      </c>
      <c r="D778">
        <f>IF(Transactions!A778="",1,IF(COUNTIF(Transactions!$A$1:A777,Transactions!A778)&gt;0,1,0))</f>
        <v/>
      </c>
      <c r="E778">
        <f>IF(D778=1,0,IF(B778="RETURN",IF(COUNTIFS($A$1:A777,A778,$B$1:B777,"SALE",$E$1:E777,1)&gt;0,1,0),1))</f>
        <v/>
      </c>
      <c r="F778">
        <f>IF(E778=1,IF(B778="RECEIPT",Transactions!E778,IF(AND(B778="RETURN",LOWER(TRIM(Transactions!H778))="resellable"),Transactions!E778,0)),0)</f>
        <v/>
      </c>
      <c r="G778">
        <f>IF(F778&gt;0,IF(B778="RECEIPT",Transactions!F778,IF(_xlfn.MAXIFS($H$2:H778,$A$2:A778,A778)&gt;0,INDEX(Transactions!$F:$F,_xlfn.MAXIFS($H$2:H778,$A$2:A778,A778)),W778)),0)</f>
        <v/>
      </c>
      <c r="H778">
        <f>IF(AND(E778=1,B778="RECEIPT"),ROW(),0)</f>
        <v/>
      </c>
      <c r="I778">
        <f>IF(E778=1,IF(OR(B778="SALE",B778="WRITEOFF"),Transactions!E778,0),0)</f>
        <v/>
      </c>
      <c r="J778">
        <f>SUMIFS($F$1:F777,$A$1:A777,A778)</f>
        <v/>
      </c>
      <c r="K778">
        <f>SUMIFS($I$1:I777,$A$1:A777,A778)</f>
        <v/>
      </c>
      <c r="L778">
        <f>IFERROR(VLOOKUP(A778,Opening!$A:$C,3,0),0)</f>
        <v/>
      </c>
      <c r="M778">
        <f>IF(I778=0,0,MAX(0,MIN(INDEX(Month!H$2:H$13,MATCH($A778,Month!$A$2:$A$13,0))-K778,I778)))</f>
        <v/>
      </c>
      <c r="N778">
        <f>IF(I778=0,0,MAX(0,MIN(INDEX(Month!I$2:I$13,MATCH($A778,Month!$A$2:$A$13,0))-K778,I778)))</f>
        <v/>
      </c>
      <c r="O778">
        <f>IF(I778=0,0,MAX(0,MIN(INDEX(Month!J$2:J$13,MATCH($A778,Month!$A$2:$A$13,0))-K778,I778)))</f>
        <v/>
      </c>
      <c r="P778">
        <f>IF(I778=0,0,(MIN(MAX(K778,0),L778)*W778+SUMPRODUCT((Calc!$A$2:$A$1001=A778)*Calc!$G$2:$G$1001*(((K778-(L778+Calc!$J$2:$J$1001))&gt;0)*((K778-(L778+Calc!$J$2:$J$1001))&lt;Calc!$F$2:$F$1001)*(K778-(L778+Calc!$J$2:$J$1001))+((K778-(L778+Calc!$J$2:$J$1001))&gt;=Calc!$F$2:$F$1001)*Calc!$F$2:$F$1001))))</f>
        <v/>
      </c>
      <c r="Q778">
        <f>IF(I778=0,0,(MIN(MAX((K778+M778),0),L778)*W778+SUMPRODUCT((Calc!$A$2:$A$1001=A778)*Calc!$G$2:$G$1001*((((K778+M778)-(L778+Calc!$J$2:$J$1001))&gt;0)*(((K778+M778)-(L778+Calc!$J$2:$J$1001))&lt;Calc!$F$2:$F$1001)*((K778+M778)-(L778+Calc!$J$2:$J$1001))+(((K778+M778)-(L778+Calc!$J$2:$J$1001))&gt;=Calc!$F$2:$F$1001)*Calc!$F$2:$F$1001))))</f>
        <v/>
      </c>
      <c r="R778">
        <f>IF(I778=0,0,(MIN(MAX((K778+N778),0),L778)*W778+SUMPRODUCT((Calc!$A$2:$A$1001=A778)*Calc!$G$2:$G$1001*((((K778+N778)-(L778+Calc!$J$2:$J$1001))&gt;0)*(((K778+N778)-(L778+Calc!$J$2:$J$1001))&lt;Calc!$F$2:$F$1001)*((K778+N778)-(L778+Calc!$J$2:$J$1001))+(((K778+N778)-(L778+Calc!$J$2:$J$1001))&gt;=Calc!$F$2:$F$1001)*Calc!$F$2:$F$1001))))</f>
        <v/>
      </c>
      <c r="S778">
        <f>IF(I778=0,0,(MIN(MAX((K778+O778),0),L778)*W778+SUMPRODUCT((Calc!$A$2:$A$1001=A778)*Calc!$G$2:$G$1001*((((K778+O778)-(L778+Calc!$J$2:$J$1001))&gt;0)*(((K778+O778)-(L778+Calc!$J$2:$J$1001))&lt;Calc!$F$2:$F$1001)*((K778+O778)-(L778+Calc!$J$2:$J$1001))+(((K778+O778)-(L778+Calc!$J$2:$J$1001))&gt;=Calc!$F$2:$F$1001)*Calc!$F$2:$F$1001))))</f>
        <v/>
      </c>
      <c r="T778">
        <f>IF(AND(E778=1,B778="RETURN"),Transactions!E778*Transactions!G778,0)</f>
        <v/>
      </c>
      <c r="U778">
        <f>IF(AND(E778=1,B778="EXPENSE"),Transactions!J778,0)</f>
        <v/>
      </c>
      <c r="V778">
        <f>IF(AND(Transactions!A778&lt;&gt;"",E778=0),ROW(),"")</f>
        <v/>
      </c>
      <c r="W778">
        <f>IFERROR(VLOOKUP(A778,Opening!$A:$D,4,0),0)</f>
        <v/>
      </c>
    </row>
    <row r="779">
      <c r="A779">
        <f>IF(Transactions!D779="","",UPPER(TRIM(Transactions!D779)))</f>
        <v/>
      </c>
      <c r="B779">
        <f>IF(Transactions!C779="","",UPPER(TRIM(Transactions!C779)))</f>
        <v/>
      </c>
      <c r="C779">
        <f>IF(Transactions!B779="",0,YEAR(Transactions!B779)*100+MONTH(Transactions!B779))</f>
        <v/>
      </c>
      <c r="D779">
        <f>IF(Transactions!A779="",1,IF(COUNTIF(Transactions!$A$1:A778,Transactions!A779)&gt;0,1,0))</f>
        <v/>
      </c>
      <c r="E779">
        <f>IF(D779=1,0,IF(B779="RETURN",IF(COUNTIFS($A$1:A778,A779,$B$1:B778,"SALE",$E$1:E778,1)&gt;0,1,0),1))</f>
        <v/>
      </c>
      <c r="F779">
        <f>IF(E779=1,IF(B779="RECEIPT",Transactions!E779,IF(AND(B779="RETURN",LOWER(TRIM(Transactions!H779))="resellable"),Transactions!E779,0)),0)</f>
        <v/>
      </c>
      <c r="G779">
        <f>IF(F779&gt;0,IF(B779="RECEIPT",Transactions!F779,IF(_xlfn.MAXIFS($H$2:H779,$A$2:A779,A779)&gt;0,INDEX(Transactions!$F:$F,_xlfn.MAXIFS($H$2:H779,$A$2:A779,A779)),W779)),0)</f>
        <v/>
      </c>
      <c r="H779">
        <f>IF(AND(E779=1,B779="RECEIPT"),ROW(),0)</f>
        <v/>
      </c>
      <c r="I779">
        <f>IF(E779=1,IF(OR(B779="SALE",B779="WRITEOFF"),Transactions!E779,0),0)</f>
        <v/>
      </c>
      <c r="J779">
        <f>SUMIFS($F$1:F778,$A$1:A778,A779)</f>
        <v/>
      </c>
      <c r="K779">
        <f>SUMIFS($I$1:I778,$A$1:A778,A779)</f>
        <v/>
      </c>
      <c r="L779">
        <f>IFERROR(VLOOKUP(A779,Opening!$A:$C,3,0),0)</f>
        <v/>
      </c>
      <c r="M779">
        <f>IF(I779=0,0,MAX(0,MIN(INDEX(Month!H$2:H$13,MATCH($A779,Month!$A$2:$A$13,0))-K779,I779)))</f>
        <v/>
      </c>
      <c r="N779">
        <f>IF(I779=0,0,MAX(0,MIN(INDEX(Month!I$2:I$13,MATCH($A779,Month!$A$2:$A$13,0))-K779,I779)))</f>
        <v/>
      </c>
      <c r="O779">
        <f>IF(I779=0,0,MAX(0,MIN(INDEX(Month!J$2:J$13,MATCH($A779,Month!$A$2:$A$13,0))-K779,I779)))</f>
        <v/>
      </c>
      <c r="P779">
        <f>IF(I779=0,0,(MIN(MAX(K779,0),L779)*W779+SUMPRODUCT((Calc!$A$2:$A$1001=A779)*Calc!$G$2:$G$1001*(((K779-(L779+Calc!$J$2:$J$1001))&gt;0)*((K779-(L779+Calc!$J$2:$J$1001))&lt;Calc!$F$2:$F$1001)*(K779-(L779+Calc!$J$2:$J$1001))+((K779-(L779+Calc!$J$2:$J$1001))&gt;=Calc!$F$2:$F$1001)*Calc!$F$2:$F$1001))))</f>
        <v/>
      </c>
      <c r="Q779">
        <f>IF(I779=0,0,(MIN(MAX((K779+M779),0),L779)*W779+SUMPRODUCT((Calc!$A$2:$A$1001=A779)*Calc!$G$2:$G$1001*((((K779+M779)-(L779+Calc!$J$2:$J$1001))&gt;0)*(((K779+M779)-(L779+Calc!$J$2:$J$1001))&lt;Calc!$F$2:$F$1001)*((K779+M779)-(L779+Calc!$J$2:$J$1001))+(((K779+M779)-(L779+Calc!$J$2:$J$1001))&gt;=Calc!$F$2:$F$1001)*Calc!$F$2:$F$1001))))</f>
        <v/>
      </c>
      <c r="R779">
        <f>IF(I779=0,0,(MIN(MAX((K779+N779),0),L779)*W779+SUMPRODUCT((Calc!$A$2:$A$1001=A779)*Calc!$G$2:$G$1001*((((K779+N779)-(L779+Calc!$J$2:$J$1001))&gt;0)*(((K779+N779)-(L779+Calc!$J$2:$J$1001))&lt;Calc!$F$2:$F$1001)*((K779+N779)-(L779+Calc!$J$2:$J$1001))+(((K779+N779)-(L779+Calc!$J$2:$J$1001))&gt;=Calc!$F$2:$F$1001)*Calc!$F$2:$F$1001))))</f>
        <v/>
      </c>
      <c r="S779">
        <f>IF(I779=0,0,(MIN(MAX((K779+O779),0),L779)*W779+SUMPRODUCT((Calc!$A$2:$A$1001=A779)*Calc!$G$2:$G$1001*((((K779+O779)-(L779+Calc!$J$2:$J$1001))&gt;0)*(((K779+O779)-(L779+Calc!$J$2:$J$1001))&lt;Calc!$F$2:$F$1001)*((K779+O779)-(L779+Calc!$J$2:$J$1001))+(((K779+O779)-(L779+Calc!$J$2:$J$1001))&gt;=Calc!$F$2:$F$1001)*Calc!$F$2:$F$1001))))</f>
        <v/>
      </c>
      <c r="T779">
        <f>IF(AND(E779=1,B779="RETURN"),Transactions!E779*Transactions!G779,0)</f>
        <v/>
      </c>
      <c r="U779">
        <f>IF(AND(E779=1,B779="EXPENSE"),Transactions!J779,0)</f>
        <v/>
      </c>
      <c r="V779">
        <f>IF(AND(Transactions!A779&lt;&gt;"",E779=0),ROW(),"")</f>
        <v/>
      </c>
      <c r="W779">
        <f>IFERROR(VLOOKUP(A779,Opening!$A:$D,4,0),0)</f>
        <v/>
      </c>
    </row>
    <row r="780">
      <c r="A780">
        <f>IF(Transactions!D780="","",UPPER(TRIM(Transactions!D780)))</f>
        <v/>
      </c>
      <c r="B780">
        <f>IF(Transactions!C780="","",UPPER(TRIM(Transactions!C780)))</f>
        <v/>
      </c>
      <c r="C780">
        <f>IF(Transactions!B780="",0,YEAR(Transactions!B780)*100+MONTH(Transactions!B780))</f>
        <v/>
      </c>
      <c r="D780">
        <f>IF(Transactions!A780="",1,IF(COUNTIF(Transactions!$A$1:A779,Transactions!A780)&gt;0,1,0))</f>
        <v/>
      </c>
      <c r="E780">
        <f>IF(D780=1,0,IF(B780="RETURN",IF(COUNTIFS($A$1:A779,A780,$B$1:B779,"SALE",$E$1:E779,1)&gt;0,1,0),1))</f>
        <v/>
      </c>
      <c r="F780">
        <f>IF(E780=1,IF(B780="RECEIPT",Transactions!E780,IF(AND(B780="RETURN",LOWER(TRIM(Transactions!H780))="resellable"),Transactions!E780,0)),0)</f>
        <v/>
      </c>
      <c r="G780">
        <f>IF(F780&gt;0,IF(B780="RECEIPT",Transactions!F780,IF(_xlfn.MAXIFS($H$2:H780,$A$2:A780,A780)&gt;0,INDEX(Transactions!$F:$F,_xlfn.MAXIFS($H$2:H780,$A$2:A780,A780)),W780)),0)</f>
        <v/>
      </c>
      <c r="H780">
        <f>IF(AND(E780=1,B780="RECEIPT"),ROW(),0)</f>
        <v/>
      </c>
      <c r="I780">
        <f>IF(E780=1,IF(OR(B780="SALE",B780="WRITEOFF"),Transactions!E780,0),0)</f>
        <v/>
      </c>
      <c r="J780">
        <f>SUMIFS($F$1:F779,$A$1:A779,A780)</f>
        <v/>
      </c>
      <c r="K780">
        <f>SUMIFS($I$1:I779,$A$1:A779,A780)</f>
        <v/>
      </c>
      <c r="L780">
        <f>IFERROR(VLOOKUP(A780,Opening!$A:$C,3,0),0)</f>
        <v/>
      </c>
      <c r="M780">
        <f>IF(I780=0,0,MAX(0,MIN(INDEX(Month!H$2:H$13,MATCH($A780,Month!$A$2:$A$13,0))-K780,I780)))</f>
        <v/>
      </c>
      <c r="N780">
        <f>IF(I780=0,0,MAX(0,MIN(INDEX(Month!I$2:I$13,MATCH($A780,Month!$A$2:$A$13,0))-K780,I780)))</f>
        <v/>
      </c>
      <c r="O780">
        <f>IF(I780=0,0,MAX(0,MIN(INDEX(Month!J$2:J$13,MATCH($A780,Month!$A$2:$A$13,0))-K780,I780)))</f>
        <v/>
      </c>
      <c r="P780">
        <f>IF(I780=0,0,(MIN(MAX(K780,0),L780)*W780+SUMPRODUCT((Calc!$A$2:$A$1001=A780)*Calc!$G$2:$G$1001*(((K780-(L780+Calc!$J$2:$J$1001))&gt;0)*((K780-(L780+Calc!$J$2:$J$1001))&lt;Calc!$F$2:$F$1001)*(K780-(L780+Calc!$J$2:$J$1001))+((K780-(L780+Calc!$J$2:$J$1001))&gt;=Calc!$F$2:$F$1001)*Calc!$F$2:$F$1001))))</f>
        <v/>
      </c>
      <c r="Q780">
        <f>IF(I780=0,0,(MIN(MAX((K780+M780),0),L780)*W780+SUMPRODUCT((Calc!$A$2:$A$1001=A780)*Calc!$G$2:$G$1001*((((K780+M780)-(L780+Calc!$J$2:$J$1001))&gt;0)*(((K780+M780)-(L780+Calc!$J$2:$J$1001))&lt;Calc!$F$2:$F$1001)*((K780+M780)-(L780+Calc!$J$2:$J$1001))+(((K780+M780)-(L780+Calc!$J$2:$J$1001))&gt;=Calc!$F$2:$F$1001)*Calc!$F$2:$F$1001))))</f>
        <v/>
      </c>
      <c r="R780">
        <f>IF(I780=0,0,(MIN(MAX((K780+N780),0),L780)*W780+SUMPRODUCT((Calc!$A$2:$A$1001=A780)*Calc!$G$2:$G$1001*((((K780+N780)-(L780+Calc!$J$2:$J$1001))&gt;0)*(((K780+N780)-(L780+Calc!$J$2:$J$1001))&lt;Calc!$F$2:$F$1001)*((K780+N780)-(L780+Calc!$J$2:$J$1001))+(((K780+N780)-(L780+Calc!$J$2:$J$1001))&gt;=Calc!$F$2:$F$1001)*Calc!$F$2:$F$1001))))</f>
        <v/>
      </c>
      <c r="S780">
        <f>IF(I780=0,0,(MIN(MAX((K780+O780),0),L780)*W780+SUMPRODUCT((Calc!$A$2:$A$1001=A780)*Calc!$G$2:$G$1001*((((K780+O780)-(L780+Calc!$J$2:$J$1001))&gt;0)*(((K780+O780)-(L780+Calc!$J$2:$J$1001))&lt;Calc!$F$2:$F$1001)*((K780+O780)-(L780+Calc!$J$2:$J$1001))+(((K780+O780)-(L780+Calc!$J$2:$J$1001))&gt;=Calc!$F$2:$F$1001)*Calc!$F$2:$F$1001))))</f>
        <v/>
      </c>
      <c r="T780">
        <f>IF(AND(E780=1,B780="RETURN"),Transactions!E780*Transactions!G780,0)</f>
        <v/>
      </c>
      <c r="U780">
        <f>IF(AND(E780=1,B780="EXPENSE"),Transactions!J780,0)</f>
        <v/>
      </c>
      <c r="V780">
        <f>IF(AND(Transactions!A780&lt;&gt;"",E780=0),ROW(),"")</f>
        <v/>
      </c>
      <c r="W780">
        <f>IFERROR(VLOOKUP(A780,Opening!$A:$D,4,0),0)</f>
        <v/>
      </c>
    </row>
    <row r="781">
      <c r="A781">
        <f>IF(Transactions!D781="","",UPPER(TRIM(Transactions!D781)))</f>
        <v/>
      </c>
      <c r="B781">
        <f>IF(Transactions!C781="","",UPPER(TRIM(Transactions!C781)))</f>
        <v/>
      </c>
      <c r="C781">
        <f>IF(Transactions!B781="",0,YEAR(Transactions!B781)*100+MONTH(Transactions!B781))</f>
        <v/>
      </c>
      <c r="D781">
        <f>IF(Transactions!A781="",1,IF(COUNTIF(Transactions!$A$1:A780,Transactions!A781)&gt;0,1,0))</f>
        <v/>
      </c>
      <c r="E781">
        <f>IF(D781=1,0,IF(B781="RETURN",IF(COUNTIFS($A$1:A780,A781,$B$1:B780,"SALE",$E$1:E780,1)&gt;0,1,0),1))</f>
        <v/>
      </c>
      <c r="F781">
        <f>IF(E781=1,IF(B781="RECEIPT",Transactions!E781,IF(AND(B781="RETURN",LOWER(TRIM(Transactions!H781))="resellable"),Transactions!E781,0)),0)</f>
        <v/>
      </c>
      <c r="G781">
        <f>IF(F781&gt;0,IF(B781="RECEIPT",Transactions!F781,IF(_xlfn.MAXIFS($H$2:H781,$A$2:A781,A781)&gt;0,INDEX(Transactions!$F:$F,_xlfn.MAXIFS($H$2:H781,$A$2:A781,A781)),W781)),0)</f>
        <v/>
      </c>
      <c r="H781">
        <f>IF(AND(E781=1,B781="RECEIPT"),ROW(),0)</f>
        <v/>
      </c>
      <c r="I781">
        <f>IF(E781=1,IF(OR(B781="SALE",B781="WRITEOFF"),Transactions!E781,0),0)</f>
        <v/>
      </c>
      <c r="J781">
        <f>SUMIFS($F$1:F780,$A$1:A780,A781)</f>
        <v/>
      </c>
      <c r="K781">
        <f>SUMIFS($I$1:I780,$A$1:A780,A781)</f>
        <v/>
      </c>
      <c r="L781">
        <f>IFERROR(VLOOKUP(A781,Opening!$A:$C,3,0),0)</f>
        <v/>
      </c>
      <c r="M781">
        <f>IF(I781=0,0,MAX(0,MIN(INDEX(Month!H$2:H$13,MATCH($A781,Month!$A$2:$A$13,0))-K781,I781)))</f>
        <v/>
      </c>
      <c r="N781">
        <f>IF(I781=0,0,MAX(0,MIN(INDEX(Month!I$2:I$13,MATCH($A781,Month!$A$2:$A$13,0))-K781,I781)))</f>
        <v/>
      </c>
      <c r="O781">
        <f>IF(I781=0,0,MAX(0,MIN(INDEX(Month!J$2:J$13,MATCH($A781,Month!$A$2:$A$13,0))-K781,I781)))</f>
        <v/>
      </c>
      <c r="P781">
        <f>IF(I781=0,0,(MIN(MAX(K781,0),L781)*W781+SUMPRODUCT((Calc!$A$2:$A$1001=A781)*Calc!$G$2:$G$1001*(((K781-(L781+Calc!$J$2:$J$1001))&gt;0)*((K781-(L781+Calc!$J$2:$J$1001))&lt;Calc!$F$2:$F$1001)*(K781-(L781+Calc!$J$2:$J$1001))+((K781-(L781+Calc!$J$2:$J$1001))&gt;=Calc!$F$2:$F$1001)*Calc!$F$2:$F$1001))))</f>
        <v/>
      </c>
      <c r="Q781">
        <f>IF(I781=0,0,(MIN(MAX((K781+M781),0),L781)*W781+SUMPRODUCT((Calc!$A$2:$A$1001=A781)*Calc!$G$2:$G$1001*((((K781+M781)-(L781+Calc!$J$2:$J$1001))&gt;0)*(((K781+M781)-(L781+Calc!$J$2:$J$1001))&lt;Calc!$F$2:$F$1001)*((K781+M781)-(L781+Calc!$J$2:$J$1001))+(((K781+M781)-(L781+Calc!$J$2:$J$1001))&gt;=Calc!$F$2:$F$1001)*Calc!$F$2:$F$1001))))</f>
        <v/>
      </c>
      <c r="R781">
        <f>IF(I781=0,0,(MIN(MAX((K781+N781),0),L781)*W781+SUMPRODUCT((Calc!$A$2:$A$1001=A781)*Calc!$G$2:$G$1001*((((K781+N781)-(L781+Calc!$J$2:$J$1001))&gt;0)*(((K781+N781)-(L781+Calc!$J$2:$J$1001))&lt;Calc!$F$2:$F$1001)*((K781+N781)-(L781+Calc!$J$2:$J$1001))+(((K781+N781)-(L781+Calc!$J$2:$J$1001))&gt;=Calc!$F$2:$F$1001)*Calc!$F$2:$F$1001))))</f>
        <v/>
      </c>
      <c r="S781">
        <f>IF(I781=0,0,(MIN(MAX((K781+O781),0),L781)*W781+SUMPRODUCT((Calc!$A$2:$A$1001=A781)*Calc!$G$2:$G$1001*((((K781+O781)-(L781+Calc!$J$2:$J$1001))&gt;0)*(((K781+O781)-(L781+Calc!$J$2:$J$1001))&lt;Calc!$F$2:$F$1001)*((K781+O781)-(L781+Calc!$J$2:$J$1001))+(((K781+O781)-(L781+Calc!$J$2:$J$1001))&gt;=Calc!$F$2:$F$1001)*Calc!$F$2:$F$1001))))</f>
        <v/>
      </c>
      <c r="T781">
        <f>IF(AND(E781=1,B781="RETURN"),Transactions!E781*Transactions!G781,0)</f>
        <v/>
      </c>
      <c r="U781">
        <f>IF(AND(E781=1,B781="EXPENSE"),Transactions!J781,0)</f>
        <v/>
      </c>
      <c r="V781">
        <f>IF(AND(Transactions!A781&lt;&gt;"",E781=0),ROW(),"")</f>
        <v/>
      </c>
      <c r="W781">
        <f>IFERROR(VLOOKUP(A781,Opening!$A:$D,4,0),0)</f>
        <v/>
      </c>
    </row>
    <row r="782">
      <c r="A782">
        <f>IF(Transactions!D782="","",UPPER(TRIM(Transactions!D782)))</f>
        <v/>
      </c>
      <c r="B782">
        <f>IF(Transactions!C782="","",UPPER(TRIM(Transactions!C782)))</f>
        <v/>
      </c>
      <c r="C782">
        <f>IF(Transactions!B782="",0,YEAR(Transactions!B782)*100+MONTH(Transactions!B782))</f>
        <v/>
      </c>
      <c r="D782">
        <f>IF(Transactions!A782="",1,IF(COUNTIF(Transactions!$A$1:A781,Transactions!A782)&gt;0,1,0))</f>
        <v/>
      </c>
      <c r="E782">
        <f>IF(D782=1,0,IF(B782="RETURN",IF(COUNTIFS($A$1:A781,A782,$B$1:B781,"SALE",$E$1:E781,1)&gt;0,1,0),1))</f>
        <v/>
      </c>
      <c r="F782">
        <f>IF(E782=1,IF(B782="RECEIPT",Transactions!E782,IF(AND(B782="RETURN",LOWER(TRIM(Transactions!H782))="resellable"),Transactions!E782,0)),0)</f>
        <v/>
      </c>
      <c r="G782">
        <f>IF(F782&gt;0,IF(B782="RECEIPT",Transactions!F782,IF(_xlfn.MAXIFS($H$2:H782,$A$2:A782,A782)&gt;0,INDEX(Transactions!$F:$F,_xlfn.MAXIFS($H$2:H782,$A$2:A782,A782)),W782)),0)</f>
        <v/>
      </c>
      <c r="H782">
        <f>IF(AND(E782=1,B782="RECEIPT"),ROW(),0)</f>
        <v/>
      </c>
      <c r="I782">
        <f>IF(E782=1,IF(OR(B782="SALE",B782="WRITEOFF"),Transactions!E782,0),0)</f>
        <v/>
      </c>
      <c r="J782">
        <f>SUMIFS($F$1:F781,$A$1:A781,A782)</f>
        <v/>
      </c>
      <c r="K782">
        <f>SUMIFS($I$1:I781,$A$1:A781,A782)</f>
        <v/>
      </c>
      <c r="L782">
        <f>IFERROR(VLOOKUP(A782,Opening!$A:$C,3,0),0)</f>
        <v/>
      </c>
      <c r="M782">
        <f>IF(I782=0,0,MAX(0,MIN(INDEX(Month!H$2:H$13,MATCH($A782,Month!$A$2:$A$13,0))-K782,I782)))</f>
        <v/>
      </c>
      <c r="N782">
        <f>IF(I782=0,0,MAX(0,MIN(INDEX(Month!I$2:I$13,MATCH($A782,Month!$A$2:$A$13,0))-K782,I782)))</f>
        <v/>
      </c>
      <c r="O782">
        <f>IF(I782=0,0,MAX(0,MIN(INDEX(Month!J$2:J$13,MATCH($A782,Month!$A$2:$A$13,0))-K782,I782)))</f>
        <v/>
      </c>
      <c r="P782">
        <f>IF(I782=0,0,(MIN(MAX(K782,0),L782)*W782+SUMPRODUCT((Calc!$A$2:$A$1001=A782)*Calc!$G$2:$G$1001*(((K782-(L782+Calc!$J$2:$J$1001))&gt;0)*((K782-(L782+Calc!$J$2:$J$1001))&lt;Calc!$F$2:$F$1001)*(K782-(L782+Calc!$J$2:$J$1001))+((K782-(L782+Calc!$J$2:$J$1001))&gt;=Calc!$F$2:$F$1001)*Calc!$F$2:$F$1001))))</f>
        <v/>
      </c>
      <c r="Q782">
        <f>IF(I782=0,0,(MIN(MAX((K782+M782),0),L782)*W782+SUMPRODUCT((Calc!$A$2:$A$1001=A782)*Calc!$G$2:$G$1001*((((K782+M782)-(L782+Calc!$J$2:$J$1001))&gt;0)*(((K782+M782)-(L782+Calc!$J$2:$J$1001))&lt;Calc!$F$2:$F$1001)*((K782+M782)-(L782+Calc!$J$2:$J$1001))+(((K782+M782)-(L782+Calc!$J$2:$J$1001))&gt;=Calc!$F$2:$F$1001)*Calc!$F$2:$F$1001))))</f>
        <v/>
      </c>
      <c r="R782">
        <f>IF(I782=0,0,(MIN(MAX((K782+N782),0),L782)*W782+SUMPRODUCT((Calc!$A$2:$A$1001=A782)*Calc!$G$2:$G$1001*((((K782+N782)-(L782+Calc!$J$2:$J$1001))&gt;0)*(((K782+N782)-(L782+Calc!$J$2:$J$1001))&lt;Calc!$F$2:$F$1001)*((K782+N782)-(L782+Calc!$J$2:$J$1001))+(((K782+N782)-(L782+Calc!$J$2:$J$1001))&gt;=Calc!$F$2:$F$1001)*Calc!$F$2:$F$1001))))</f>
        <v/>
      </c>
      <c r="S782">
        <f>IF(I782=0,0,(MIN(MAX((K782+O782),0),L782)*W782+SUMPRODUCT((Calc!$A$2:$A$1001=A782)*Calc!$G$2:$G$1001*((((K782+O782)-(L782+Calc!$J$2:$J$1001))&gt;0)*(((K782+O782)-(L782+Calc!$J$2:$J$1001))&lt;Calc!$F$2:$F$1001)*((K782+O782)-(L782+Calc!$J$2:$J$1001))+(((K782+O782)-(L782+Calc!$J$2:$J$1001))&gt;=Calc!$F$2:$F$1001)*Calc!$F$2:$F$1001))))</f>
        <v/>
      </c>
      <c r="T782">
        <f>IF(AND(E782=1,B782="RETURN"),Transactions!E782*Transactions!G782,0)</f>
        <v/>
      </c>
      <c r="U782">
        <f>IF(AND(E782=1,B782="EXPENSE"),Transactions!J782,0)</f>
        <v/>
      </c>
      <c r="V782">
        <f>IF(AND(Transactions!A782&lt;&gt;"",E782=0),ROW(),"")</f>
        <v/>
      </c>
      <c r="W782">
        <f>IFERROR(VLOOKUP(A782,Opening!$A:$D,4,0),0)</f>
        <v/>
      </c>
    </row>
    <row r="783">
      <c r="A783">
        <f>IF(Transactions!D783="","",UPPER(TRIM(Transactions!D783)))</f>
        <v/>
      </c>
      <c r="B783">
        <f>IF(Transactions!C783="","",UPPER(TRIM(Transactions!C783)))</f>
        <v/>
      </c>
      <c r="C783">
        <f>IF(Transactions!B783="",0,YEAR(Transactions!B783)*100+MONTH(Transactions!B783))</f>
        <v/>
      </c>
      <c r="D783">
        <f>IF(Transactions!A783="",1,IF(COUNTIF(Transactions!$A$1:A782,Transactions!A783)&gt;0,1,0))</f>
        <v/>
      </c>
      <c r="E783">
        <f>IF(D783=1,0,IF(B783="RETURN",IF(COUNTIFS($A$1:A782,A783,$B$1:B782,"SALE",$E$1:E782,1)&gt;0,1,0),1))</f>
        <v/>
      </c>
      <c r="F783">
        <f>IF(E783=1,IF(B783="RECEIPT",Transactions!E783,IF(AND(B783="RETURN",LOWER(TRIM(Transactions!H783))="resellable"),Transactions!E783,0)),0)</f>
        <v/>
      </c>
      <c r="G783">
        <f>IF(F783&gt;0,IF(B783="RECEIPT",Transactions!F783,IF(_xlfn.MAXIFS($H$2:H783,$A$2:A783,A783)&gt;0,INDEX(Transactions!$F:$F,_xlfn.MAXIFS($H$2:H783,$A$2:A783,A783)),W783)),0)</f>
        <v/>
      </c>
      <c r="H783">
        <f>IF(AND(E783=1,B783="RECEIPT"),ROW(),0)</f>
        <v/>
      </c>
      <c r="I783">
        <f>IF(E783=1,IF(OR(B783="SALE",B783="WRITEOFF"),Transactions!E783,0),0)</f>
        <v/>
      </c>
      <c r="J783">
        <f>SUMIFS($F$1:F782,$A$1:A782,A783)</f>
        <v/>
      </c>
      <c r="K783">
        <f>SUMIFS($I$1:I782,$A$1:A782,A783)</f>
        <v/>
      </c>
      <c r="L783">
        <f>IFERROR(VLOOKUP(A783,Opening!$A:$C,3,0),0)</f>
        <v/>
      </c>
      <c r="M783">
        <f>IF(I783=0,0,MAX(0,MIN(INDEX(Month!H$2:H$13,MATCH($A783,Month!$A$2:$A$13,0))-K783,I783)))</f>
        <v/>
      </c>
      <c r="N783">
        <f>IF(I783=0,0,MAX(0,MIN(INDEX(Month!I$2:I$13,MATCH($A783,Month!$A$2:$A$13,0))-K783,I783)))</f>
        <v/>
      </c>
      <c r="O783">
        <f>IF(I783=0,0,MAX(0,MIN(INDEX(Month!J$2:J$13,MATCH($A783,Month!$A$2:$A$13,0))-K783,I783)))</f>
        <v/>
      </c>
      <c r="P783">
        <f>IF(I783=0,0,(MIN(MAX(K783,0),L783)*W783+SUMPRODUCT((Calc!$A$2:$A$1001=A783)*Calc!$G$2:$G$1001*(((K783-(L783+Calc!$J$2:$J$1001))&gt;0)*((K783-(L783+Calc!$J$2:$J$1001))&lt;Calc!$F$2:$F$1001)*(K783-(L783+Calc!$J$2:$J$1001))+((K783-(L783+Calc!$J$2:$J$1001))&gt;=Calc!$F$2:$F$1001)*Calc!$F$2:$F$1001))))</f>
        <v/>
      </c>
      <c r="Q783">
        <f>IF(I783=0,0,(MIN(MAX((K783+M783),0),L783)*W783+SUMPRODUCT((Calc!$A$2:$A$1001=A783)*Calc!$G$2:$G$1001*((((K783+M783)-(L783+Calc!$J$2:$J$1001))&gt;0)*(((K783+M783)-(L783+Calc!$J$2:$J$1001))&lt;Calc!$F$2:$F$1001)*((K783+M783)-(L783+Calc!$J$2:$J$1001))+(((K783+M783)-(L783+Calc!$J$2:$J$1001))&gt;=Calc!$F$2:$F$1001)*Calc!$F$2:$F$1001))))</f>
        <v/>
      </c>
      <c r="R783">
        <f>IF(I783=0,0,(MIN(MAX((K783+N783),0),L783)*W783+SUMPRODUCT((Calc!$A$2:$A$1001=A783)*Calc!$G$2:$G$1001*((((K783+N783)-(L783+Calc!$J$2:$J$1001))&gt;0)*(((K783+N783)-(L783+Calc!$J$2:$J$1001))&lt;Calc!$F$2:$F$1001)*((K783+N783)-(L783+Calc!$J$2:$J$1001))+(((K783+N783)-(L783+Calc!$J$2:$J$1001))&gt;=Calc!$F$2:$F$1001)*Calc!$F$2:$F$1001))))</f>
        <v/>
      </c>
      <c r="S783">
        <f>IF(I783=0,0,(MIN(MAX((K783+O783),0),L783)*W783+SUMPRODUCT((Calc!$A$2:$A$1001=A783)*Calc!$G$2:$G$1001*((((K783+O783)-(L783+Calc!$J$2:$J$1001))&gt;0)*(((K783+O783)-(L783+Calc!$J$2:$J$1001))&lt;Calc!$F$2:$F$1001)*((K783+O783)-(L783+Calc!$J$2:$J$1001))+(((K783+O783)-(L783+Calc!$J$2:$J$1001))&gt;=Calc!$F$2:$F$1001)*Calc!$F$2:$F$1001))))</f>
        <v/>
      </c>
      <c r="T783">
        <f>IF(AND(E783=1,B783="RETURN"),Transactions!E783*Transactions!G783,0)</f>
        <v/>
      </c>
      <c r="U783">
        <f>IF(AND(E783=1,B783="EXPENSE"),Transactions!J783,0)</f>
        <v/>
      </c>
      <c r="V783">
        <f>IF(AND(Transactions!A783&lt;&gt;"",E783=0),ROW(),"")</f>
        <v/>
      </c>
      <c r="W783">
        <f>IFERROR(VLOOKUP(A783,Opening!$A:$D,4,0),0)</f>
        <v/>
      </c>
    </row>
    <row r="784">
      <c r="A784">
        <f>IF(Transactions!D784="","",UPPER(TRIM(Transactions!D784)))</f>
        <v/>
      </c>
      <c r="B784">
        <f>IF(Transactions!C784="","",UPPER(TRIM(Transactions!C784)))</f>
        <v/>
      </c>
      <c r="C784">
        <f>IF(Transactions!B784="",0,YEAR(Transactions!B784)*100+MONTH(Transactions!B784))</f>
        <v/>
      </c>
      <c r="D784">
        <f>IF(Transactions!A784="",1,IF(COUNTIF(Transactions!$A$1:A783,Transactions!A784)&gt;0,1,0))</f>
        <v/>
      </c>
      <c r="E784">
        <f>IF(D784=1,0,IF(B784="RETURN",IF(COUNTIFS($A$1:A783,A784,$B$1:B783,"SALE",$E$1:E783,1)&gt;0,1,0),1))</f>
        <v/>
      </c>
      <c r="F784">
        <f>IF(E784=1,IF(B784="RECEIPT",Transactions!E784,IF(AND(B784="RETURN",LOWER(TRIM(Transactions!H784))="resellable"),Transactions!E784,0)),0)</f>
        <v/>
      </c>
      <c r="G784">
        <f>IF(F784&gt;0,IF(B784="RECEIPT",Transactions!F784,IF(_xlfn.MAXIFS($H$2:H784,$A$2:A784,A784)&gt;0,INDEX(Transactions!$F:$F,_xlfn.MAXIFS($H$2:H784,$A$2:A784,A784)),W784)),0)</f>
        <v/>
      </c>
      <c r="H784">
        <f>IF(AND(E784=1,B784="RECEIPT"),ROW(),0)</f>
        <v/>
      </c>
      <c r="I784">
        <f>IF(E784=1,IF(OR(B784="SALE",B784="WRITEOFF"),Transactions!E784,0),0)</f>
        <v/>
      </c>
      <c r="J784">
        <f>SUMIFS($F$1:F783,$A$1:A783,A784)</f>
        <v/>
      </c>
      <c r="K784">
        <f>SUMIFS($I$1:I783,$A$1:A783,A784)</f>
        <v/>
      </c>
      <c r="L784">
        <f>IFERROR(VLOOKUP(A784,Opening!$A:$C,3,0),0)</f>
        <v/>
      </c>
      <c r="M784">
        <f>IF(I784=0,0,MAX(0,MIN(INDEX(Month!H$2:H$13,MATCH($A784,Month!$A$2:$A$13,0))-K784,I784)))</f>
        <v/>
      </c>
      <c r="N784">
        <f>IF(I784=0,0,MAX(0,MIN(INDEX(Month!I$2:I$13,MATCH($A784,Month!$A$2:$A$13,0))-K784,I784)))</f>
        <v/>
      </c>
      <c r="O784">
        <f>IF(I784=0,0,MAX(0,MIN(INDEX(Month!J$2:J$13,MATCH($A784,Month!$A$2:$A$13,0))-K784,I784)))</f>
        <v/>
      </c>
      <c r="P784">
        <f>IF(I784=0,0,(MIN(MAX(K784,0),L784)*W784+SUMPRODUCT((Calc!$A$2:$A$1001=A784)*Calc!$G$2:$G$1001*(((K784-(L784+Calc!$J$2:$J$1001))&gt;0)*((K784-(L784+Calc!$J$2:$J$1001))&lt;Calc!$F$2:$F$1001)*(K784-(L784+Calc!$J$2:$J$1001))+((K784-(L784+Calc!$J$2:$J$1001))&gt;=Calc!$F$2:$F$1001)*Calc!$F$2:$F$1001))))</f>
        <v/>
      </c>
      <c r="Q784">
        <f>IF(I784=0,0,(MIN(MAX((K784+M784),0),L784)*W784+SUMPRODUCT((Calc!$A$2:$A$1001=A784)*Calc!$G$2:$G$1001*((((K784+M784)-(L784+Calc!$J$2:$J$1001))&gt;0)*(((K784+M784)-(L784+Calc!$J$2:$J$1001))&lt;Calc!$F$2:$F$1001)*((K784+M784)-(L784+Calc!$J$2:$J$1001))+(((K784+M784)-(L784+Calc!$J$2:$J$1001))&gt;=Calc!$F$2:$F$1001)*Calc!$F$2:$F$1001))))</f>
        <v/>
      </c>
      <c r="R784">
        <f>IF(I784=0,0,(MIN(MAX((K784+N784),0),L784)*W784+SUMPRODUCT((Calc!$A$2:$A$1001=A784)*Calc!$G$2:$G$1001*((((K784+N784)-(L784+Calc!$J$2:$J$1001))&gt;0)*(((K784+N784)-(L784+Calc!$J$2:$J$1001))&lt;Calc!$F$2:$F$1001)*((K784+N784)-(L784+Calc!$J$2:$J$1001))+(((K784+N784)-(L784+Calc!$J$2:$J$1001))&gt;=Calc!$F$2:$F$1001)*Calc!$F$2:$F$1001))))</f>
        <v/>
      </c>
      <c r="S784">
        <f>IF(I784=0,0,(MIN(MAX((K784+O784),0),L784)*W784+SUMPRODUCT((Calc!$A$2:$A$1001=A784)*Calc!$G$2:$G$1001*((((K784+O784)-(L784+Calc!$J$2:$J$1001))&gt;0)*(((K784+O784)-(L784+Calc!$J$2:$J$1001))&lt;Calc!$F$2:$F$1001)*((K784+O784)-(L784+Calc!$J$2:$J$1001))+(((K784+O784)-(L784+Calc!$J$2:$J$1001))&gt;=Calc!$F$2:$F$1001)*Calc!$F$2:$F$1001))))</f>
        <v/>
      </c>
      <c r="T784">
        <f>IF(AND(E784=1,B784="RETURN"),Transactions!E784*Transactions!G784,0)</f>
        <v/>
      </c>
      <c r="U784">
        <f>IF(AND(E784=1,B784="EXPENSE"),Transactions!J784,0)</f>
        <v/>
      </c>
      <c r="V784">
        <f>IF(AND(Transactions!A784&lt;&gt;"",E784=0),ROW(),"")</f>
        <v/>
      </c>
      <c r="W784">
        <f>IFERROR(VLOOKUP(A784,Opening!$A:$D,4,0),0)</f>
        <v/>
      </c>
    </row>
    <row r="785">
      <c r="A785">
        <f>IF(Transactions!D785="","",UPPER(TRIM(Transactions!D785)))</f>
        <v/>
      </c>
      <c r="B785">
        <f>IF(Transactions!C785="","",UPPER(TRIM(Transactions!C785)))</f>
        <v/>
      </c>
      <c r="C785">
        <f>IF(Transactions!B785="",0,YEAR(Transactions!B785)*100+MONTH(Transactions!B785))</f>
        <v/>
      </c>
      <c r="D785">
        <f>IF(Transactions!A785="",1,IF(COUNTIF(Transactions!$A$1:A784,Transactions!A785)&gt;0,1,0))</f>
        <v/>
      </c>
      <c r="E785">
        <f>IF(D785=1,0,IF(B785="RETURN",IF(COUNTIFS($A$1:A784,A785,$B$1:B784,"SALE",$E$1:E784,1)&gt;0,1,0),1))</f>
        <v/>
      </c>
      <c r="F785">
        <f>IF(E785=1,IF(B785="RECEIPT",Transactions!E785,IF(AND(B785="RETURN",LOWER(TRIM(Transactions!H785))="resellable"),Transactions!E785,0)),0)</f>
        <v/>
      </c>
      <c r="G785">
        <f>IF(F785&gt;0,IF(B785="RECEIPT",Transactions!F785,IF(_xlfn.MAXIFS($H$2:H785,$A$2:A785,A785)&gt;0,INDEX(Transactions!$F:$F,_xlfn.MAXIFS($H$2:H785,$A$2:A785,A785)),W785)),0)</f>
        <v/>
      </c>
      <c r="H785">
        <f>IF(AND(E785=1,B785="RECEIPT"),ROW(),0)</f>
        <v/>
      </c>
      <c r="I785">
        <f>IF(E785=1,IF(OR(B785="SALE",B785="WRITEOFF"),Transactions!E785,0),0)</f>
        <v/>
      </c>
      <c r="J785">
        <f>SUMIFS($F$1:F784,$A$1:A784,A785)</f>
        <v/>
      </c>
      <c r="K785">
        <f>SUMIFS($I$1:I784,$A$1:A784,A785)</f>
        <v/>
      </c>
      <c r="L785">
        <f>IFERROR(VLOOKUP(A785,Opening!$A:$C,3,0),0)</f>
        <v/>
      </c>
      <c r="M785">
        <f>IF(I785=0,0,MAX(0,MIN(INDEX(Month!H$2:H$13,MATCH($A785,Month!$A$2:$A$13,0))-K785,I785)))</f>
        <v/>
      </c>
      <c r="N785">
        <f>IF(I785=0,0,MAX(0,MIN(INDEX(Month!I$2:I$13,MATCH($A785,Month!$A$2:$A$13,0))-K785,I785)))</f>
        <v/>
      </c>
      <c r="O785">
        <f>IF(I785=0,0,MAX(0,MIN(INDEX(Month!J$2:J$13,MATCH($A785,Month!$A$2:$A$13,0))-K785,I785)))</f>
        <v/>
      </c>
      <c r="P785">
        <f>IF(I785=0,0,(MIN(MAX(K785,0),L785)*W785+SUMPRODUCT((Calc!$A$2:$A$1001=A785)*Calc!$G$2:$G$1001*(((K785-(L785+Calc!$J$2:$J$1001))&gt;0)*((K785-(L785+Calc!$J$2:$J$1001))&lt;Calc!$F$2:$F$1001)*(K785-(L785+Calc!$J$2:$J$1001))+((K785-(L785+Calc!$J$2:$J$1001))&gt;=Calc!$F$2:$F$1001)*Calc!$F$2:$F$1001))))</f>
        <v/>
      </c>
      <c r="Q785">
        <f>IF(I785=0,0,(MIN(MAX((K785+M785),0),L785)*W785+SUMPRODUCT((Calc!$A$2:$A$1001=A785)*Calc!$G$2:$G$1001*((((K785+M785)-(L785+Calc!$J$2:$J$1001))&gt;0)*(((K785+M785)-(L785+Calc!$J$2:$J$1001))&lt;Calc!$F$2:$F$1001)*((K785+M785)-(L785+Calc!$J$2:$J$1001))+(((K785+M785)-(L785+Calc!$J$2:$J$1001))&gt;=Calc!$F$2:$F$1001)*Calc!$F$2:$F$1001))))</f>
        <v/>
      </c>
      <c r="R785">
        <f>IF(I785=0,0,(MIN(MAX((K785+N785),0),L785)*W785+SUMPRODUCT((Calc!$A$2:$A$1001=A785)*Calc!$G$2:$G$1001*((((K785+N785)-(L785+Calc!$J$2:$J$1001))&gt;0)*(((K785+N785)-(L785+Calc!$J$2:$J$1001))&lt;Calc!$F$2:$F$1001)*((K785+N785)-(L785+Calc!$J$2:$J$1001))+(((K785+N785)-(L785+Calc!$J$2:$J$1001))&gt;=Calc!$F$2:$F$1001)*Calc!$F$2:$F$1001))))</f>
        <v/>
      </c>
      <c r="S785">
        <f>IF(I785=0,0,(MIN(MAX((K785+O785),0),L785)*W785+SUMPRODUCT((Calc!$A$2:$A$1001=A785)*Calc!$G$2:$G$1001*((((K785+O785)-(L785+Calc!$J$2:$J$1001))&gt;0)*(((K785+O785)-(L785+Calc!$J$2:$J$1001))&lt;Calc!$F$2:$F$1001)*((K785+O785)-(L785+Calc!$J$2:$J$1001))+(((K785+O785)-(L785+Calc!$J$2:$J$1001))&gt;=Calc!$F$2:$F$1001)*Calc!$F$2:$F$1001))))</f>
        <v/>
      </c>
      <c r="T785">
        <f>IF(AND(E785=1,B785="RETURN"),Transactions!E785*Transactions!G785,0)</f>
        <v/>
      </c>
      <c r="U785">
        <f>IF(AND(E785=1,B785="EXPENSE"),Transactions!J785,0)</f>
        <v/>
      </c>
      <c r="V785">
        <f>IF(AND(Transactions!A785&lt;&gt;"",E785=0),ROW(),"")</f>
        <v/>
      </c>
      <c r="W785">
        <f>IFERROR(VLOOKUP(A785,Opening!$A:$D,4,0),0)</f>
        <v/>
      </c>
    </row>
    <row r="786">
      <c r="A786">
        <f>IF(Transactions!D786="","",UPPER(TRIM(Transactions!D786)))</f>
        <v/>
      </c>
      <c r="B786">
        <f>IF(Transactions!C786="","",UPPER(TRIM(Transactions!C786)))</f>
        <v/>
      </c>
      <c r="C786">
        <f>IF(Transactions!B786="",0,YEAR(Transactions!B786)*100+MONTH(Transactions!B786))</f>
        <v/>
      </c>
      <c r="D786">
        <f>IF(Transactions!A786="",1,IF(COUNTIF(Transactions!$A$1:A785,Transactions!A786)&gt;0,1,0))</f>
        <v/>
      </c>
      <c r="E786">
        <f>IF(D786=1,0,IF(B786="RETURN",IF(COUNTIFS($A$1:A785,A786,$B$1:B785,"SALE",$E$1:E785,1)&gt;0,1,0),1))</f>
        <v/>
      </c>
      <c r="F786">
        <f>IF(E786=1,IF(B786="RECEIPT",Transactions!E786,IF(AND(B786="RETURN",LOWER(TRIM(Transactions!H786))="resellable"),Transactions!E786,0)),0)</f>
        <v/>
      </c>
      <c r="G786">
        <f>IF(F786&gt;0,IF(B786="RECEIPT",Transactions!F786,IF(_xlfn.MAXIFS($H$2:H786,$A$2:A786,A786)&gt;0,INDEX(Transactions!$F:$F,_xlfn.MAXIFS($H$2:H786,$A$2:A786,A786)),W786)),0)</f>
        <v/>
      </c>
      <c r="H786">
        <f>IF(AND(E786=1,B786="RECEIPT"),ROW(),0)</f>
        <v/>
      </c>
      <c r="I786">
        <f>IF(E786=1,IF(OR(B786="SALE",B786="WRITEOFF"),Transactions!E786,0),0)</f>
        <v/>
      </c>
      <c r="J786">
        <f>SUMIFS($F$1:F785,$A$1:A785,A786)</f>
        <v/>
      </c>
      <c r="K786">
        <f>SUMIFS($I$1:I785,$A$1:A785,A786)</f>
        <v/>
      </c>
      <c r="L786">
        <f>IFERROR(VLOOKUP(A786,Opening!$A:$C,3,0),0)</f>
        <v/>
      </c>
      <c r="M786">
        <f>IF(I786=0,0,MAX(0,MIN(INDEX(Month!H$2:H$13,MATCH($A786,Month!$A$2:$A$13,0))-K786,I786)))</f>
        <v/>
      </c>
      <c r="N786">
        <f>IF(I786=0,0,MAX(0,MIN(INDEX(Month!I$2:I$13,MATCH($A786,Month!$A$2:$A$13,0))-K786,I786)))</f>
        <v/>
      </c>
      <c r="O786">
        <f>IF(I786=0,0,MAX(0,MIN(INDEX(Month!J$2:J$13,MATCH($A786,Month!$A$2:$A$13,0))-K786,I786)))</f>
        <v/>
      </c>
      <c r="P786">
        <f>IF(I786=0,0,(MIN(MAX(K786,0),L786)*W786+SUMPRODUCT((Calc!$A$2:$A$1001=A786)*Calc!$G$2:$G$1001*(((K786-(L786+Calc!$J$2:$J$1001))&gt;0)*((K786-(L786+Calc!$J$2:$J$1001))&lt;Calc!$F$2:$F$1001)*(K786-(L786+Calc!$J$2:$J$1001))+((K786-(L786+Calc!$J$2:$J$1001))&gt;=Calc!$F$2:$F$1001)*Calc!$F$2:$F$1001))))</f>
        <v/>
      </c>
      <c r="Q786">
        <f>IF(I786=0,0,(MIN(MAX((K786+M786),0),L786)*W786+SUMPRODUCT((Calc!$A$2:$A$1001=A786)*Calc!$G$2:$G$1001*((((K786+M786)-(L786+Calc!$J$2:$J$1001))&gt;0)*(((K786+M786)-(L786+Calc!$J$2:$J$1001))&lt;Calc!$F$2:$F$1001)*((K786+M786)-(L786+Calc!$J$2:$J$1001))+(((K786+M786)-(L786+Calc!$J$2:$J$1001))&gt;=Calc!$F$2:$F$1001)*Calc!$F$2:$F$1001))))</f>
        <v/>
      </c>
      <c r="R786">
        <f>IF(I786=0,0,(MIN(MAX((K786+N786),0),L786)*W786+SUMPRODUCT((Calc!$A$2:$A$1001=A786)*Calc!$G$2:$G$1001*((((K786+N786)-(L786+Calc!$J$2:$J$1001))&gt;0)*(((K786+N786)-(L786+Calc!$J$2:$J$1001))&lt;Calc!$F$2:$F$1001)*((K786+N786)-(L786+Calc!$J$2:$J$1001))+(((K786+N786)-(L786+Calc!$J$2:$J$1001))&gt;=Calc!$F$2:$F$1001)*Calc!$F$2:$F$1001))))</f>
        <v/>
      </c>
      <c r="S786">
        <f>IF(I786=0,0,(MIN(MAX((K786+O786),0),L786)*W786+SUMPRODUCT((Calc!$A$2:$A$1001=A786)*Calc!$G$2:$G$1001*((((K786+O786)-(L786+Calc!$J$2:$J$1001))&gt;0)*(((K786+O786)-(L786+Calc!$J$2:$J$1001))&lt;Calc!$F$2:$F$1001)*((K786+O786)-(L786+Calc!$J$2:$J$1001))+(((K786+O786)-(L786+Calc!$J$2:$J$1001))&gt;=Calc!$F$2:$F$1001)*Calc!$F$2:$F$1001))))</f>
        <v/>
      </c>
      <c r="T786">
        <f>IF(AND(E786=1,B786="RETURN"),Transactions!E786*Transactions!G786,0)</f>
        <v/>
      </c>
      <c r="U786">
        <f>IF(AND(E786=1,B786="EXPENSE"),Transactions!J786,0)</f>
        <v/>
      </c>
      <c r="V786">
        <f>IF(AND(Transactions!A786&lt;&gt;"",E786=0),ROW(),"")</f>
        <v/>
      </c>
      <c r="W786">
        <f>IFERROR(VLOOKUP(A786,Opening!$A:$D,4,0),0)</f>
        <v/>
      </c>
    </row>
    <row r="787">
      <c r="A787">
        <f>IF(Transactions!D787="","",UPPER(TRIM(Transactions!D787)))</f>
        <v/>
      </c>
      <c r="B787">
        <f>IF(Transactions!C787="","",UPPER(TRIM(Transactions!C787)))</f>
        <v/>
      </c>
      <c r="C787">
        <f>IF(Transactions!B787="",0,YEAR(Transactions!B787)*100+MONTH(Transactions!B787))</f>
        <v/>
      </c>
      <c r="D787">
        <f>IF(Transactions!A787="",1,IF(COUNTIF(Transactions!$A$1:A786,Transactions!A787)&gt;0,1,0))</f>
        <v/>
      </c>
      <c r="E787">
        <f>IF(D787=1,0,IF(B787="RETURN",IF(COUNTIFS($A$1:A786,A787,$B$1:B786,"SALE",$E$1:E786,1)&gt;0,1,0),1))</f>
        <v/>
      </c>
      <c r="F787">
        <f>IF(E787=1,IF(B787="RECEIPT",Transactions!E787,IF(AND(B787="RETURN",LOWER(TRIM(Transactions!H787))="resellable"),Transactions!E787,0)),0)</f>
        <v/>
      </c>
      <c r="G787">
        <f>IF(F787&gt;0,IF(B787="RECEIPT",Transactions!F787,IF(_xlfn.MAXIFS($H$2:H787,$A$2:A787,A787)&gt;0,INDEX(Transactions!$F:$F,_xlfn.MAXIFS($H$2:H787,$A$2:A787,A787)),W787)),0)</f>
        <v/>
      </c>
      <c r="H787">
        <f>IF(AND(E787=1,B787="RECEIPT"),ROW(),0)</f>
        <v/>
      </c>
      <c r="I787">
        <f>IF(E787=1,IF(OR(B787="SALE",B787="WRITEOFF"),Transactions!E787,0),0)</f>
        <v/>
      </c>
      <c r="J787">
        <f>SUMIFS($F$1:F786,$A$1:A786,A787)</f>
        <v/>
      </c>
      <c r="K787">
        <f>SUMIFS($I$1:I786,$A$1:A786,A787)</f>
        <v/>
      </c>
      <c r="L787">
        <f>IFERROR(VLOOKUP(A787,Opening!$A:$C,3,0),0)</f>
        <v/>
      </c>
      <c r="M787">
        <f>IF(I787=0,0,MAX(0,MIN(INDEX(Month!H$2:H$13,MATCH($A787,Month!$A$2:$A$13,0))-K787,I787)))</f>
        <v/>
      </c>
      <c r="N787">
        <f>IF(I787=0,0,MAX(0,MIN(INDEX(Month!I$2:I$13,MATCH($A787,Month!$A$2:$A$13,0))-K787,I787)))</f>
        <v/>
      </c>
      <c r="O787">
        <f>IF(I787=0,0,MAX(0,MIN(INDEX(Month!J$2:J$13,MATCH($A787,Month!$A$2:$A$13,0))-K787,I787)))</f>
        <v/>
      </c>
      <c r="P787">
        <f>IF(I787=0,0,(MIN(MAX(K787,0),L787)*W787+SUMPRODUCT((Calc!$A$2:$A$1001=A787)*Calc!$G$2:$G$1001*(((K787-(L787+Calc!$J$2:$J$1001))&gt;0)*((K787-(L787+Calc!$J$2:$J$1001))&lt;Calc!$F$2:$F$1001)*(K787-(L787+Calc!$J$2:$J$1001))+((K787-(L787+Calc!$J$2:$J$1001))&gt;=Calc!$F$2:$F$1001)*Calc!$F$2:$F$1001))))</f>
        <v/>
      </c>
      <c r="Q787">
        <f>IF(I787=0,0,(MIN(MAX((K787+M787),0),L787)*W787+SUMPRODUCT((Calc!$A$2:$A$1001=A787)*Calc!$G$2:$G$1001*((((K787+M787)-(L787+Calc!$J$2:$J$1001))&gt;0)*(((K787+M787)-(L787+Calc!$J$2:$J$1001))&lt;Calc!$F$2:$F$1001)*((K787+M787)-(L787+Calc!$J$2:$J$1001))+(((K787+M787)-(L787+Calc!$J$2:$J$1001))&gt;=Calc!$F$2:$F$1001)*Calc!$F$2:$F$1001))))</f>
        <v/>
      </c>
      <c r="R787">
        <f>IF(I787=0,0,(MIN(MAX((K787+N787),0),L787)*W787+SUMPRODUCT((Calc!$A$2:$A$1001=A787)*Calc!$G$2:$G$1001*((((K787+N787)-(L787+Calc!$J$2:$J$1001))&gt;0)*(((K787+N787)-(L787+Calc!$J$2:$J$1001))&lt;Calc!$F$2:$F$1001)*((K787+N787)-(L787+Calc!$J$2:$J$1001))+(((K787+N787)-(L787+Calc!$J$2:$J$1001))&gt;=Calc!$F$2:$F$1001)*Calc!$F$2:$F$1001))))</f>
        <v/>
      </c>
      <c r="S787">
        <f>IF(I787=0,0,(MIN(MAX((K787+O787),0),L787)*W787+SUMPRODUCT((Calc!$A$2:$A$1001=A787)*Calc!$G$2:$G$1001*((((K787+O787)-(L787+Calc!$J$2:$J$1001))&gt;0)*(((K787+O787)-(L787+Calc!$J$2:$J$1001))&lt;Calc!$F$2:$F$1001)*((K787+O787)-(L787+Calc!$J$2:$J$1001))+(((K787+O787)-(L787+Calc!$J$2:$J$1001))&gt;=Calc!$F$2:$F$1001)*Calc!$F$2:$F$1001))))</f>
        <v/>
      </c>
      <c r="T787">
        <f>IF(AND(E787=1,B787="RETURN"),Transactions!E787*Transactions!G787,0)</f>
        <v/>
      </c>
      <c r="U787">
        <f>IF(AND(E787=1,B787="EXPENSE"),Transactions!J787,0)</f>
        <v/>
      </c>
      <c r="V787">
        <f>IF(AND(Transactions!A787&lt;&gt;"",E787=0),ROW(),"")</f>
        <v/>
      </c>
      <c r="W787">
        <f>IFERROR(VLOOKUP(A787,Opening!$A:$D,4,0),0)</f>
        <v/>
      </c>
    </row>
    <row r="788">
      <c r="A788">
        <f>IF(Transactions!D788="","",UPPER(TRIM(Transactions!D788)))</f>
        <v/>
      </c>
      <c r="B788">
        <f>IF(Transactions!C788="","",UPPER(TRIM(Transactions!C788)))</f>
        <v/>
      </c>
      <c r="C788">
        <f>IF(Transactions!B788="",0,YEAR(Transactions!B788)*100+MONTH(Transactions!B788))</f>
        <v/>
      </c>
      <c r="D788">
        <f>IF(Transactions!A788="",1,IF(COUNTIF(Transactions!$A$1:A787,Transactions!A788)&gt;0,1,0))</f>
        <v/>
      </c>
      <c r="E788">
        <f>IF(D788=1,0,IF(B788="RETURN",IF(COUNTIFS($A$1:A787,A788,$B$1:B787,"SALE",$E$1:E787,1)&gt;0,1,0),1))</f>
        <v/>
      </c>
      <c r="F788">
        <f>IF(E788=1,IF(B788="RECEIPT",Transactions!E788,IF(AND(B788="RETURN",LOWER(TRIM(Transactions!H788))="resellable"),Transactions!E788,0)),0)</f>
        <v/>
      </c>
      <c r="G788">
        <f>IF(F788&gt;0,IF(B788="RECEIPT",Transactions!F788,IF(_xlfn.MAXIFS($H$2:H788,$A$2:A788,A788)&gt;0,INDEX(Transactions!$F:$F,_xlfn.MAXIFS($H$2:H788,$A$2:A788,A788)),W788)),0)</f>
        <v/>
      </c>
      <c r="H788">
        <f>IF(AND(E788=1,B788="RECEIPT"),ROW(),0)</f>
        <v/>
      </c>
      <c r="I788">
        <f>IF(E788=1,IF(OR(B788="SALE",B788="WRITEOFF"),Transactions!E788,0),0)</f>
        <v/>
      </c>
      <c r="J788">
        <f>SUMIFS($F$1:F787,$A$1:A787,A788)</f>
        <v/>
      </c>
      <c r="K788">
        <f>SUMIFS($I$1:I787,$A$1:A787,A788)</f>
        <v/>
      </c>
      <c r="L788">
        <f>IFERROR(VLOOKUP(A788,Opening!$A:$C,3,0),0)</f>
        <v/>
      </c>
      <c r="M788">
        <f>IF(I788=0,0,MAX(0,MIN(INDEX(Month!H$2:H$13,MATCH($A788,Month!$A$2:$A$13,0))-K788,I788)))</f>
        <v/>
      </c>
      <c r="N788">
        <f>IF(I788=0,0,MAX(0,MIN(INDEX(Month!I$2:I$13,MATCH($A788,Month!$A$2:$A$13,0))-K788,I788)))</f>
        <v/>
      </c>
      <c r="O788">
        <f>IF(I788=0,0,MAX(0,MIN(INDEX(Month!J$2:J$13,MATCH($A788,Month!$A$2:$A$13,0))-K788,I788)))</f>
        <v/>
      </c>
      <c r="P788">
        <f>IF(I788=0,0,(MIN(MAX(K788,0),L788)*W788+SUMPRODUCT((Calc!$A$2:$A$1001=A788)*Calc!$G$2:$G$1001*(((K788-(L788+Calc!$J$2:$J$1001))&gt;0)*((K788-(L788+Calc!$J$2:$J$1001))&lt;Calc!$F$2:$F$1001)*(K788-(L788+Calc!$J$2:$J$1001))+((K788-(L788+Calc!$J$2:$J$1001))&gt;=Calc!$F$2:$F$1001)*Calc!$F$2:$F$1001))))</f>
        <v/>
      </c>
      <c r="Q788">
        <f>IF(I788=0,0,(MIN(MAX((K788+M788),0),L788)*W788+SUMPRODUCT((Calc!$A$2:$A$1001=A788)*Calc!$G$2:$G$1001*((((K788+M788)-(L788+Calc!$J$2:$J$1001))&gt;0)*(((K788+M788)-(L788+Calc!$J$2:$J$1001))&lt;Calc!$F$2:$F$1001)*((K788+M788)-(L788+Calc!$J$2:$J$1001))+(((K788+M788)-(L788+Calc!$J$2:$J$1001))&gt;=Calc!$F$2:$F$1001)*Calc!$F$2:$F$1001))))</f>
        <v/>
      </c>
      <c r="R788">
        <f>IF(I788=0,0,(MIN(MAX((K788+N788),0),L788)*W788+SUMPRODUCT((Calc!$A$2:$A$1001=A788)*Calc!$G$2:$G$1001*((((K788+N788)-(L788+Calc!$J$2:$J$1001))&gt;0)*(((K788+N788)-(L788+Calc!$J$2:$J$1001))&lt;Calc!$F$2:$F$1001)*((K788+N788)-(L788+Calc!$J$2:$J$1001))+(((K788+N788)-(L788+Calc!$J$2:$J$1001))&gt;=Calc!$F$2:$F$1001)*Calc!$F$2:$F$1001))))</f>
        <v/>
      </c>
      <c r="S788">
        <f>IF(I788=0,0,(MIN(MAX((K788+O788),0),L788)*W788+SUMPRODUCT((Calc!$A$2:$A$1001=A788)*Calc!$G$2:$G$1001*((((K788+O788)-(L788+Calc!$J$2:$J$1001))&gt;0)*(((K788+O788)-(L788+Calc!$J$2:$J$1001))&lt;Calc!$F$2:$F$1001)*((K788+O788)-(L788+Calc!$J$2:$J$1001))+(((K788+O788)-(L788+Calc!$J$2:$J$1001))&gt;=Calc!$F$2:$F$1001)*Calc!$F$2:$F$1001))))</f>
        <v/>
      </c>
      <c r="T788">
        <f>IF(AND(E788=1,B788="RETURN"),Transactions!E788*Transactions!G788,0)</f>
        <v/>
      </c>
      <c r="U788">
        <f>IF(AND(E788=1,B788="EXPENSE"),Transactions!J788,0)</f>
        <v/>
      </c>
      <c r="V788">
        <f>IF(AND(Transactions!A788&lt;&gt;"",E788=0),ROW(),"")</f>
        <v/>
      </c>
      <c r="W788">
        <f>IFERROR(VLOOKUP(A788,Opening!$A:$D,4,0),0)</f>
        <v/>
      </c>
    </row>
    <row r="789">
      <c r="A789">
        <f>IF(Transactions!D789="","",UPPER(TRIM(Transactions!D789)))</f>
        <v/>
      </c>
      <c r="B789">
        <f>IF(Transactions!C789="","",UPPER(TRIM(Transactions!C789)))</f>
        <v/>
      </c>
      <c r="C789">
        <f>IF(Transactions!B789="",0,YEAR(Transactions!B789)*100+MONTH(Transactions!B789))</f>
        <v/>
      </c>
      <c r="D789">
        <f>IF(Transactions!A789="",1,IF(COUNTIF(Transactions!$A$1:A788,Transactions!A789)&gt;0,1,0))</f>
        <v/>
      </c>
      <c r="E789">
        <f>IF(D789=1,0,IF(B789="RETURN",IF(COUNTIFS($A$1:A788,A789,$B$1:B788,"SALE",$E$1:E788,1)&gt;0,1,0),1))</f>
        <v/>
      </c>
      <c r="F789">
        <f>IF(E789=1,IF(B789="RECEIPT",Transactions!E789,IF(AND(B789="RETURN",LOWER(TRIM(Transactions!H789))="resellable"),Transactions!E789,0)),0)</f>
        <v/>
      </c>
      <c r="G789">
        <f>IF(F789&gt;0,IF(B789="RECEIPT",Transactions!F789,IF(_xlfn.MAXIFS($H$2:H789,$A$2:A789,A789)&gt;0,INDEX(Transactions!$F:$F,_xlfn.MAXIFS($H$2:H789,$A$2:A789,A789)),W789)),0)</f>
        <v/>
      </c>
      <c r="H789">
        <f>IF(AND(E789=1,B789="RECEIPT"),ROW(),0)</f>
        <v/>
      </c>
      <c r="I789">
        <f>IF(E789=1,IF(OR(B789="SALE",B789="WRITEOFF"),Transactions!E789,0),0)</f>
        <v/>
      </c>
      <c r="J789">
        <f>SUMIFS($F$1:F788,$A$1:A788,A789)</f>
        <v/>
      </c>
      <c r="K789">
        <f>SUMIFS($I$1:I788,$A$1:A788,A789)</f>
        <v/>
      </c>
      <c r="L789">
        <f>IFERROR(VLOOKUP(A789,Opening!$A:$C,3,0),0)</f>
        <v/>
      </c>
      <c r="M789">
        <f>IF(I789=0,0,MAX(0,MIN(INDEX(Month!H$2:H$13,MATCH($A789,Month!$A$2:$A$13,0))-K789,I789)))</f>
        <v/>
      </c>
      <c r="N789">
        <f>IF(I789=0,0,MAX(0,MIN(INDEX(Month!I$2:I$13,MATCH($A789,Month!$A$2:$A$13,0))-K789,I789)))</f>
        <v/>
      </c>
      <c r="O789">
        <f>IF(I789=0,0,MAX(0,MIN(INDEX(Month!J$2:J$13,MATCH($A789,Month!$A$2:$A$13,0))-K789,I789)))</f>
        <v/>
      </c>
      <c r="P789">
        <f>IF(I789=0,0,(MIN(MAX(K789,0),L789)*W789+SUMPRODUCT((Calc!$A$2:$A$1001=A789)*Calc!$G$2:$G$1001*(((K789-(L789+Calc!$J$2:$J$1001))&gt;0)*((K789-(L789+Calc!$J$2:$J$1001))&lt;Calc!$F$2:$F$1001)*(K789-(L789+Calc!$J$2:$J$1001))+((K789-(L789+Calc!$J$2:$J$1001))&gt;=Calc!$F$2:$F$1001)*Calc!$F$2:$F$1001))))</f>
        <v/>
      </c>
      <c r="Q789">
        <f>IF(I789=0,0,(MIN(MAX((K789+M789),0),L789)*W789+SUMPRODUCT((Calc!$A$2:$A$1001=A789)*Calc!$G$2:$G$1001*((((K789+M789)-(L789+Calc!$J$2:$J$1001))&gt;0)*(((K789+M789)-(L789+Calc!$J$2:$J$1001))&lt;Calc!$F$2:$F$1001)*((K789+M789)-(L789+Calc!$J$2:$J$1001))+(((K789+M789)-(L789+Calc!$J$2:$J$1001))&gt;=Calc!$F$2:$F$1001)*Calc!$F$2:$F$1001))))</f>
        <v/>
      </c>
      <c r="R789">
        <f>IF(I789=0,0,(MIN(MAX((K789+N789),0),L789)*W789+SUMPRODUCT((Calc!$A$2:$A$1001=A789)*Calc!$G$2:$G$1001*((((K789+N789)-(L789+Calc!$J$2:$J$1001))&gt;0)*(((K789+N789)-(L789+Calc!$J$2:$J$1001))&lt;Calc!$F$2:$F$1001)*((K789+N789)-(L789+Calc!$J$2:$J$1001))+(((K789+N789)-(L789+Calc!$J$2:$J$1001))&gt;=Calc!$F$2:$F$1001)*Calc!$F$2:$F$1001))))</f>
        <v/>
      </c>
      <c r="S789">
        <f>IF(I789=0,0,(MIN(MAX((K789+O789),0),L789)*W789+SUMPRODUCT((Calc!$A$2:$A$1001=A789)*Calc!$G$2:$G$1001*((((K789+O789)-(L789+Calc!$J$2:$J$1001))&gt;0)*(((K789+O789)-(L789+Calc!$J$2:$J$1001))&lt;Calc!$F$2:$F$1001)*((K789+O789)-(L789+Calc!$J$2:$J$1001))+(((K789+O789)-(L789+Calc!$J$2:$J$1001))&gt;=Calc!$F$2:$F$1001)*Calc!$F$2:$F$1001))))</f>
        <v/>
      </c>
      <c r="T789">
        <f>IF(AND(E789=1,B789="RETURN"),Transactions!E789*Transactions!G789,0)</f>
        <v/>
      </c>
      <c r="U789">
        <f>IF(AND(E789=1,B789="EXPENSE"),Transactions!J789,0)</f>
        <v/>
      </c>
      <c r="V789">
        <f>IF(AND(Transactions!A789&lt;&gt;"",E789=0),ROW(),"")</f>
        <v/>
      </c>
      <c r="W789">
        <f>IFERROR(VLOOKUP(A789,Opening!$A:$D,4,0),0)</f>
        <v/>
      </c>
    </row>
    <row r="790">
      <c r="A790">
        <f>IF(Transactions!D790="","",UPPER(TRIM(Transactions!D790)))</f>
        <v/>
      </c>
      <c r="B790">
        <f>IF(Transactions!C790="","",UPPER(TRIM(Transactions!C790)))</f>
        <v/>
      </c>
      <c r="C790">
        <f>IF(Transactions!B790="",0,YEAR(Transactions!B790)*100+MONTH(Transactions!B790))</f>
        <v/>
      </c>
      <c r="D790">
        <f>IF(Transactions!A790="",1,IF(COUNTIF(Transactions!$A$1:A789,Transactions!A790)&gt;0,1,0))</f>
        <v/>
      </c>
      <c r="E790">
        <f>IF(D790=1,0,IF(B790="RETURN",IF(COUNTIFS($A$1:A789,A790,$B$1:B789,"SALE",$E$1:E789,1)&gt;0,1,0),1))</f>
        <v/>
      </c>
      <c r="F790">
        <f>IF(E790=1,IF(B790="RECEIPT",Transactions!E790,IF(AND(B790="RETURN",LOWER(TRIM(Transactions!H790))="resellable"),Transactions!E790,0)),0)</f>
        <v/>
      </c>
      <c r="G790">
        <f>IF(F790&gt;0,IF(B790="RECEIPT",Transactions!F790,IF(_xlfn.MAXIFS($H$2:H790,$A$2:A790,A790)&gt;0,INDEX(Transactions!$F:$F,_xlfn.MAXIFS($H$2:H790,$A$2:A790,A790)),W790)),0)</f>
        <v/>
      </c>
      <c r="H790">
        <f>IF(AND(E790=1,B790="RECEIPT"),ROW(),0)</f>
        <v/>
      </c>
      <c r="I790">
        <f>IF(E790=1,IF(OR(B790="SALE",B790="WRITEOFF"),Transactions!E790,0),0)</f>
        <v/>
      </c>
      <c r="J790">
        <f>SUMIFS($F$1:F789,$A$1:A789,A790)</f>
        <v/>
      </c>
      <c r="K790">
        <f>SUMIFS($I$1:I789,$A$1:A789,A790)</f>
        <v/>
      </c>
      <c r="L790">
        <f>IFERROR(VLOOKUP(A790,Opening!$A:$C,3,0),0)</f>
        <v/>
      </c>
      <c r="M790">
        <f>IF(I790=0,0,MAX(0,MIN(INDEX(Month!H$2:H$13,MATCH($A790,Month!$A$2:$A$13,0))-K790,I790)))</f>
        <v/>
      </c>
      <c r="N790">
        <f>IF(I790=0,0,MAX(0,MIN(INDEX(Month!I$2:I$13,MATCH($A790,Month!$A$2:$A$13,0))-K790,I790)))</f>
        <v/>
      </c>
      <c r="O790">
        <f>IF(I790=0,0,MAX(0,MIN(INDEX(Month!J$2:J$13,MATCH($A790,Month!$A$2:$A$13,0))-K790,I790)))</f>
        <v/>
      </c>
      <c r="P790">
        <f>IF(I790=0,0,(MIN(MAX(K790,0),L790)*W790+SUMPRODUCT((Calc!$A$2:$A$1001=A790)*Calc!$G$2:$G$1001*(((K790-(L790+Calc!$J$2:$J$1001))&gt;0)*((K790-(L790+Calc!$J$2:$J$1001))&lt;Calc!$F$2:$F$1001)*(K790-(L790+Calc!$J$2:$J$1001))+((K790-(L790+Calc!$J$2:$J$1001))&gt;=Calc!$F$2:$F$1001)*Calc!$F$2:$F$1001))))</f>
        <v/>
      </c>
      <c r="Q790">
        <f>IF(I790=0,0,(MIN(MAX((K790+M790),0),L790)*W790+SUMPRODUCT((Calc!$A$2:$A$1001=A790)*Calc!$G$2:$G$1001*((((K790+M790)-(L790+Calc!$J$2:$J$1001))&gt;0)*(((K790+M790)-(L790+Calc!$J$2:$J$1001))&lt;Calc!$F$2:$F$1001)*((K790+M790)-(L790+Calc!$J$2:$J$1001))+(((K790+M790)-(L790+Calc!$J$2:$J$1001))&gt;=Calc!$F$2:$F$1001)*Calc!$F$2:$F$1001))))</f>
        <v/>
      </c>
      <c r="R790">
        <f>IF(I790=0,0,(MIN(MAX((K790+N790),0),L790)*W790+SUMPRODUCT((Calc!$A$2:$A$1001=A790)*Calc!$G$2:$G$1001*((((K790+N790)-(L790+Calc!$J$2:$J$1001))&gt;0)*(((K790+N790)-(L790+Calc!$J$2:$J$1001))&lt;Calc!$F$2:$F$1001)*((K790+N790)-(L790+Calc!$J$2:$J$1001))+(((K790+N790)-(L790+Calc!$J$2:$J$1001))&gt;=Calc!$F$2:$F$1001)*Calc!$F$2:$F$1001))))</f>
        <v/>
      </c>
      <c r="S790">
        <f>IF(I790=0,0,(MIN(MAX((K790+O790),0),L790)*W790+SUMPRODUCT((Calc!$A$2:$A$1001=A790)*Calc!$G$2:$G$1001*((((K790+O790)-(L790+Calc!$J$2:$J$1001))&gt;0)*(((K790+O790)-(L790+Calc!$J$2:$J$1001))&lt;Calc!$F$2:$F$1001)*((K790+O790)-(L790+Calc!$J$2:$J$1001))+(((K790+O790)-(L790+Calc!$J$2:$J$1001))&gt;=Calc!$F$2:$F$1001)*Calc!$F$2:$F$1001))))</f>
        <v/>
      </c>
      <c r="T790">
        <f>IF(AND(E790=1,B790="RETURN"),Transactions!E790*Transactions!G790,0)</f>
        <v/>
      </c>
      <c r="U790">
        <f>IF(AND(E790=1,B790="EXPENSE"),Transactions!J790,0)</f>
        <v/>
      </c>
      <c r="V790">
        <f>IF(AND(Transactions!A790&lt;&gt;"",E790=0),ROW(),"")</f>
        <v/>
      </c>
      <c r="W790">
        <f>IFERROR(VLOOKUP(A790,Opening!$A:$D,4,0),0)</f>
        <v/>
      </c>
    </row>
    <row r="791">
      <c r="A791">
        <f>IF(Transactions!D791="","",UPPER(TRIM(Transactions!D791)))</f>
        <v/>
      </c>
      <c r="B791">
        <f>IF(Transactions!C791="","",UPPER(TRIM(Transactions!C791)))</f>
        <v/>
      </c>
      <c r="C791">
        <f>IF(Transactions!B791="",0,YEAR(Transactions!B791)*100+MONTH(Transactions!B791))</f>
        <v/>
      </c>
      <c r="D791">
        <f>IF(Transactions!A791="",1,IF(COUNTIF(Transactions!$A$1:A790,Transactions!A791)&gt;0,1,0))</f>
        <v/>
      </c>
      <c r="E791">
        <f>IF(D791=1,0,IF(B791="RETURN",IF(COUNTIFS($A$1:A790,A791,$B$1:B790,"SALE",$E$1:E790,1)&gt;0,1,0),1))</f>
        <v/>
      </c>
      <c r="F791">
        <f>IF(E791=1,IF(B791="RECEIPT",Transactions!E791,IF(AND(B791="RETURN",LOWER(TRIM(Transactions!H791))="resellable"),Transactions!E791,0)),0)</f>
        <v/>
      </c>
      <c r="G791">
        <f>IF(F791&gt;0,IF(B791="RECEIPT",Transactions!F791,IF(_xlfn.MAXIFS($H$2:H791,$A$2:A791,A791)&gt;0,INDEX(Transactions!$F:$F,_xlfn.MAXIFS($H$2:H791,$A$2:A791,A791)),W791)),0)</f>
        <v/>
      </c>
      <c r="H791">
        <f>IF(AND(E791=1,B791="RECEIPT"),ROW(),0)</f>
        <v/>
      </c>
      <c r="I791">
        <f>IF(E791=1,IF(OR(B791="SALE",B791="WRITEOFF"),Transactions!E791,0),0)</f>
        <v/>
      </c>
      <c r="J791">
        <f>SUMIFS($F$1:F790,$A$1:A790,A791)</f>
        <v/>
      </c>
      <c r="K791">
        <f>SUMIFS($I$1:I790,$A$1:A790,A791)</f>
        <v/>
      </c>
      <c r="L791">
        <f>IFERROR(VLOOKUP(A791,Opening!$A:$C,3,0),0)</f>
        <v/>
      </c>
      <c r="M791">
        <f>IF(I791=0,0,MAX(0,MIN(INDEX(Month!H$2:H$13,MATCH($A791,Month!$A$2:$A$13,0))-K791,I791)))</f>
        <v/>
      </c>
      <c r="N791">
        <f>IF(I791=0,0,MAX(0,MIN(INDEX(Month!I$2:I$13,MATCH($A791,Month!$A$2:$A$13,0))-K791,I791)))</f>
        <v/>
      </c>
      <c r="O791">
        <f>IF(I791=0,0,MAX(0,MIN(INDEX(Month!J$2:J$13,MATCH($A791,Month!$A$2:$A$13,0))-K791,I791)))</f>
        <v/>
      </c>
      <c r="P791">
        <f>IF(I791=0,0,(MIN(MAX(K791,0),L791)*W791+SUMPRODUCT((Calc!$A$2:$A$1001=A791)*Calc!$G$2:$G$1001*(((K791-(L791+Calc!$J$2:$J$1001))&gt;0)*((K791-(L791+Calc!$J$2:$J$1001))&lt;Calc!$F$2:$F$1001)*(K791-(L791+Calc!$J$2:$J$1001))+((K791-(L791+Calc!$J$2:$J$1001))&gt;=Calc!$F$2:$F$1001)*Calc!$F$2:$F$1001))))</f>
        <v/>
      </c>
      <c r="Q791">
        <f>IF(I791=0,0,(MIN(MAX((K791+M791),0),L791)*W791+SUMPRODUCT((Calc!$A$2:$A$1001=A791)*Calc!$G$2:$G$1001*((((K791+M791)-(L791+Calc!$J$2:$J$1001))&gt;0)*(((K791+M791)-(L791+Calc!$J$2:$J$1001))&lt;Calc!$F$2:$F$1001)*((K791+M791)-(L791+Calc!$J$2:$J$1001))+(((K791+M791)-(L791+Calc!$J$2:$J$1001))&gt;=Calc!$F$2:$F$1001)*Calc!$F$2:$F$1001))))</f>
        <v/>
      </c>
      <c r="R791">
        <f>IF(I791=0,0,(MIN(MAX((K791+N791),0),L791)*W791+SUMPRODUCT((Calc!$A$2:$A$1001=A791)*Calc!$G$2:$G$1001*((((K791+N791)-(L791+Calc!$J$2:$J$1001))&gt;0)*(((K791+N791)-(L791+Calc!$J$2:$J$1001))&lt;Calc!$F$2:$F$1001)*((K791+N791)-(L791+Calc!$J$2:$J$1001))+(((K791+N791)-(L791+Calc!$J$2:$J$1001))&gt;=Calc!$F$2:$F$1001)*Calc!$F$2:$F$1001))))</f>
        <v/>
      </c>
      <c r="S791">
        <f>IF(I791=0,0,(MIN(MAX((K791+O791),0),L791)*W791+SUMPRODUCT((Calc!$A$2:$A$1001=A791)*Calc!$G$2:$G$1001*((((K791+O791)-(L791+Calc!$J$2:$J$1001))&gt;0)*(((K791+O791)-(L791+Calc!$J$2:$J$1001))&lt;Calc!$F$2:$F$1001)*((K791+O791)-(L791+Calc!$J$2:$J$1001))+(((K791+O791)-(L791+Calc!$J$2:$J$1001))&gt;=Calc!$F$2:$F$1001)*Calc!$F$2:$F$1001))))</f>
        <v/>
      </c>
      <c r="T791">
        <f>IF(AND(E791=1,B791="RETURN"),Transactions!E791*Transactions!G791,0)</f>
        <v/>
      </c>
      <c r="U791">
        <f>IF(AND(E791=1,B791="EXPENSE"),Transactions!J791,0)</f>
        <v/>
      </c>
      <c r="V791">
        <f>IF(AND(Transactions!A791&lt;&gt;"",E791=0),ROW(),"")</f>
        <v/>
      </c>
      <c r="W791">
        <f>IFERROR(VLOOKUP(A791,Opening!$A:$D,4,0),0)</f>
        <v/>
      </c>
    </row>
    <row r="792">
      <c r="A792">
        <f>IF(Transactions!D792="","",UPPER(TRIM(Transactions!D792)))</f>
        <v/>
      </c>
      <c r="B792">
        <f>IF(Transactions!C792="","",UPPER(TRIM(Transactions!C792)))</f>
        <v/>
      </c>
      <c r="C792">
        <f>IF(Transactions!B792="",0,YEAR(Transactions!B792)*100+MONTH(Transactions!B792))</f>
        <v/>
      </c>
      <c r="D792">
        <f>IF(Transactions!A792="",1,IF(COUNTIF(Transactions!$A$1:A791,Transactions!A792)&gt;0,1,0))</f>
        <v/>
      </c>
      <c r="E792">
        <f>IF(D792=1,0,IF(B792="RETURN",IF(COUNTIFS($A$1:A791,A792,$B$1:B791,"SALE",$E$1:E791,1)&gt;0,1,0),1))</f>
        <v/>
      </c>
      <c r="F792">
        <f>IF(E792=1,IF(B792="RECEIPT",Transactions!E792,IF(AND(B792="RETURN",LOWER(TRIM(Transactions!H792))="resellable"),Transactions!E792,0)),0)</f>
        <v/>
      </c>
      <c r="G792">
        <f>IF(F792&gt;0,IF(B792="RECEIPT",Transactions!F792,IF(_xlfn.MAXIFS($H$2:H792,$A$2:A792,A792)&gt;0,INDEX(Transactions!$F:$F,_xlfn.MAXIFS($H$2:H792,$A$2:A792,A792)),W792)),0)</f>
        <v/>
      </c>
      <c r="H792">
        <f>IF(AND(E792=1,B792="RECEIPT"),ROW(),0)</f>
        <v/>
      </c>
      <c r="I792">
        <f>IF(E792=1,IF(OR(B792="SALE",B792="WRITEOFF"),Transactions!E792,0),0)</f>
        <v/>
      </c>
      <c r="J792">
        <f>SUMIFS($F$1:F791,$A$1:A791,A792)</f>
        <v/>
      </c>
      <c r="K792">
        <f>SUMIFS($I$1:I791,$A$1:A791,A792)</f>
        <v/>
      </c>
      <c r="L792">
        <f>IFERROR(VLOOKUP(A792,Opening!$A:$C,3,0),0)</f>
        <v/>
      </c>
      <c r="M792">
        <f>IF(I792=0,0,MAX(0,MIN(INDEX(Month!H$2:H$13,MATCH($A792,Month!$A$2:$A$13,0))-K792,I792)))</f>
        <v/>
      </c>
      <c r="N792">
        <f>IF(I792=0,0,MAX(0,MIN(INDEX(Month!I$2:I$13,MATCH($A792,Month!$A$2:$A$13,0))-K792,I792)))</f>
        <v/>
      </c>
      <c r="O792">
        <f>IF(I792=0,0,MAX(0,MIN(INDEX(Month!J$2:J$13,MATCH($A792,Month!$A$2:$A$13,0))-K792,I792)))</f>
        <v/>
      </c>
      <c r="P792">
        <f>IF(I792=0,0,(MIN(MAX(K792,0),L792)*W792+SUMPRODUCT((Calc!$A$2:$A$1001=A792)*Calc!$G$2:$G$1001*(((K792-(L792+Calc!$J$2:$J$1001))&gt;0)*((K792-(L792+Calc!$J$2:$J$1001))&lt;Calc!$F$2:$F$1001)*(K792-(L792+Calc!$J$2:$J$1001))+((K792-(L792+Calc!$J$2:$J$1001))&gt;=Calc!$F$2:$F$1001)*Calc!$F$2:$F$1001))))</f>
        <v/>
      </c>
      <c r="Q792">
        <f>IF(I792=0,0,(MIN(MAX((K792+M792),0),L792)*W792+SUMPRODUCT((Calc!$A$2:$A$1001=A792)*Calc!$G$2:$G$1001*((((K792+M792)-(L792+Calc!$J$2:$J$1001))&gt;0)*(((K792+M792)-(L792+Calc!$J$2:$J$1001))&lt;Calc!$F$2:$F$1001)*((K792+M792)-(L792+Calc!$J$2:$J$1001))+(((K792+M792)-(L792+Calc!$J$2:$J$1001))&gt;=Calc!$F$2:$F$1001)*Calc!$F$2:$F$1001))))</f>
        <v/>
      </c>
      <c r="R792">
        <f>IF(I792=0,0,(MIN(MAX((K792+N792),0),L792)*W792+SUMPRODUCT((Calc!$A$2:$A$1001=A792)*Calc!$G$2:$G$1001*((((K792+N792)-(L792+Calc!$J$2:$J$1001))&gt;0)*(((K792+N792)-(L792+Calc!$J$2:$J$1001))&lt;Calc!$F$2:$F$1001)*((K792+N792)-(L792+Calc!$J$2:$J$1001))+(((K792+N792)-(L792+Calc!$J$2:$J$1001))&gt;=Calc!$F$2:$F$1001)*Calc!$F$2:$F$1001))))</f>
        <v/>
      </c>
      <c r="S792">
        <f>IF(I792=0,0,(MIN(MAX((K792+O792),0),L792)*W792+SUMPRODUCT((Calc!$A$2:$A$1001=A792)*Calc!$G$2:$G$1001*((((K792+O792)-(L792+Calc!$J$2:$J$1001))&gt;0)*(((K792+O792)-(L792+Calc!$J$2:$J$1001))&lt;Calc!$F$2:$F$1001)*((K792+O792)-(L792+Calc!$J$2:$J$1001))+(((K792+O792)-(L792+Calc!$J$2:$J$1001))&gt;=Calc!$F$2:$F$1001)*Calc!$F$2:$F$1001))))</f>
        <v/>
      </c>
      <c r="T792">
        <f>IF(AND(E792=1,B792="RETURN"),Transactions!E792*Transactions!G792,0)</f>
        <v/>
      </c>
      <c r="U792">
        <f>IF(AND(E792=1,B792="EXPENSE"),Transactions!J792,0)</f>
        <v/>
      </c>
      <c r="V792">
        <f>IF(AND(Transactions!A792&lt;&gt;"",E792=0),ROW(),"")</f>
        <v/>
      </c>
      <c r="W792">
        <f>IFERROR(VLOOKUP(A792,Opening!$A:$D,4,0),0)</f>
        <v/>
      </c>
    </row>
    <row r="793">
      <c r="A793">
        <f>IF(Transactions!D793="","",UPPER(TRIM(Transactions!D793)))</f>
        <v/>
      </c>
      <c r="B793">
        <f>IF(Transactions!C793="","",UPPER(TRIM(Transactions!C793)))</f>
        <v/>
      </c>
      <c r="C793">
        <f>IF(Transactions!B793="",0,YEAR(Transactions!B793)*100+MONTH(Transactions!B793))</f>
        <v/>
      </c>
      <c r="D793">
        <f>IF(Transactions!A793="",1,IF(COUNTIF(Transactions!$A$1:A792,Transactions!A793)&gt;0,1,0))</f>
        <v/>
      </c>
      <c r="E793">
        <f>IF(D793=1,0,IF(B793="RETURN",IF(COUNTIFS($A$1:A792,A793,$B$1:B792,"SALE",$E$1:E792,1)&gt;0,1,0),1))</f>
        <v/>
      </c>
      <c r="F793">
        <f>IF(E793=1,IF(B793="RECEIPT",Transactions!E793,IF(AND(B793="RETURN",LOWER(TRIM(Transactions!H793))="resellable"),Transactions!E793,0)),0)</f>
        <v/>
      </c>
      <c r="G793">
        <f>IF(F793&gt;0,IF(B793="RECEIPT",Transactions!F793,IF(_xlfn.MAXIFS($H$2:H793,$A$2:A793,A793)&gt;0,INDEX(Transactions!$F:$F,_xlfn.MAXIFS($H$2:H793,$A$2:A793,A793)),W793)),0)</f>
        <v/>
      </c>
      <c r="H793">
        <f>IF(AND(E793=1,B793="RECEIPT"),ROW(),0)</f>
        <v/>
      </c>
      <c r="I793">
        <f>IF(E793=1,IF(OR(B793="SALE",B793="WRITEOFF"),Transactions!E793,0),0)</f>
        <v/>
      </c>
      <c r="J793">
        <f>SUMIFS($F$1:F792,$A$1:A792,A793)</f>
        <v/>
      </c>
      <c r="K793">
        <f>SUMIFS($I$1:I792,$A$1:A792,A793)</f>
        <v/>
      </c>
      <c r="L793">
        <f>IFERROR(VLOOKUP(A793,Opening!$A:$C,3,0),0)</f>
        <v/>
      </c>
      <c r="M793">
        <f>IF(I793=0,0,MAX(0,MIN(INDEX(Month!H$2:H$13,MATCH($A793,Month!$A$2:$A$13,0))-K793,I793)))</f>
        <v/>
      </c>
      <c r="N793">
        <f>IF(I793=0,0,MAX(0,MIN(INDEX(Month!I$2:I$13,MATCH($A793,Month!$A$2:$A$13,0))-K793,I793)))</f>
        <v/>
      </c>
      <c r="O793">
        <f>IF(I793=0,0,MAX(0,MIN(INDEX(Month!J$2:J$13,MATCH($A793,Month!$A$2:$A$13,0))-K793,I793)))</f>
        <v/>
      </c>
      <c r="P793">
        <f>IF(I793=0,0,(MIN(MAX(K793,0),L793)*W793+SUMPRODUCT((Calc!$A$2:$A$1001=A793)*Calc!$G$2:$G$1001*(((K793-(L793+Calc!$J$2:$J$1001))&gt;0)*((K793-(L793+Calc!$J$2:$J$1001))&lt;Calc!$F$2:$F$1001)*(K793-(L793+Calc!$J$2:$J$1001))+((K793-(L793+Calc!$J$2:$J$1001))&gt;=Calc!$F$2:$F$1001)*Calc!$F$2:$F$1001))))</f>
        <v/>
      </c>
      <c r="Q793">
        <f>IF(I793=0,0,(MIN(MAX((K793+M793),0),L793)*W793+SUMPRODUCT((Calc!$A$2:$A$1001=A793)*Calc!$G$2:$G$1001*((((K793+M793)-(L793+Calc!$J$2:$J$1001))&gt;0)*(((K793+M793)-(L793+Calc!$J$2:$J$1001))&lt;Calc!$F$2:$F$1001)*((K793+M793)-(L793+Calc!$J$2:$J$1001))+(((K793+M793)-(L793+Calc!$J$2:$J$1001))&gt;=Calc!$F$2:$F$1001)*Calc!$F$2:$F$1001))))</f>
        <v/>
      </c>
      <c r="R793">
        <f>IF(I793=0,0,(MIN(MAX((K793+N793),0),L793)*W793+SUMPRODUCT((Calc!$A$2:$A$1001=A793)*Calc!$G$2:$G$1001*((((K793+N793)-(L793+Calc!$J$2:$J$1001))&gt;0)*(((K793+N793)-(L793+Calc!$J$2:$J$1001))&lt;Calc!$F$2:$F$1001)*((K793+N793)-(L793+Calc!$J$2:$J$1001))+(((K793+N793)-(L793+Calc!$J$2:$J$1001))&gt;=Calc!$F$2:$F$1001)*Calc!$F$2:$F$1001))))</f>
        <v/>
      </c>
      <c r="S793">
        <f>IF(I793=0,0,(MIN(MAX((K793+O793),0),L793)*W793+SUMPRODUCT((Calc!$A$2:$A$1001=A793)*Calc!$G$2:$G$1001*((((K793+O793)-(L793+Calc!$J$2:$J$1001))&gt;0)*(((K793+O793)-(L793+Calc!$J$2:$J$1001))&lt;Calc!$F$2:$F$1001)*((K793+O793)-(L793+Calc!$J$2:$J$1001))+(((K793+O793)-(L793+Calc!$J$2:$J$1001))&gt;=Calc!$F$2:$F$1001)*Calc!$F$2:$F$1001))))</f>
        <v/>
      </c>
      <c r="T793">
        <f>IF(AND(E793=1,B793="RETURN"),Transactions!E793*Transactions!G793,0)</f>
        <v/>
      </c>
      <c r="U793">
        <f>IF(AND(E793=1,B793="EXPENSE"),Transactions!J793,0)</f>
        <v/>
      </c>
      <c r="V793">
        <f>IF(AND(Transactions!A793&lt;&gt;"",E793=0),ROW(),"")</f>
        <v/>
      </c>
      <c r="W793">
        <f>IFERROR(VLOOKUP(A793,Opening!$A:$D,4,0),0)</f>
        <v/>
      </c>
    </row>
    <row r="794">
      <c r="A794">
        <f>IF(Transactions!D794="","",UPPER(TRIM(Transactions!D794)))</f>
        <v/>
      </c>
      <c r="B794">
        <f>IF(Transactions!C794="","",UPPER(TRIM(Transactions!C794)))</f>
        <v/>
      </c>
      <c r="C794">
        <f>IF(Transactions!B794="",0,YEAR(Transactions!B794)*100+MONTH(Transactions!B794))</f>
        <v/>
      </c>
      <c r="D794">
        <f>IF(Transactions!A794="",1,IF(COUNTIF(Transactions!$A$1:A793,Transactions!A794)&gt;0,1,0))</f>
        <v/>
      </c>
      <c r="E794">
        <f>IF(D794=1,0,IF(B794="RETURN",IF(COUNTIFS($A$1:A793,A794,$B$1:B793,"SALE",$E$1:E793,1)&gt;0,1,0),1))</f>
        <v/>
      </c>
      <c r="F794">
        <f>IF(E794=1,IF(B794="RECEIPT",Transactions!E794,IF(AND(B794="RETURN",LOWER(TRIM(Transactions!H794))="resellable"),Transactions!E794,0)),0)</f>
        <v/>
      </c>
      <c r="G794">
        <f>IF(F794&gt;0,IF(B794="RECEIPT",Transactions!F794,IF(_xlfn.MAXIFS($H$2:H794,$A$2:A794,A794)&gt;0,INDEX(Transactions!$F:$F,_xlfn.MAXIFS($H$2:H794,$A$2:A794,A794)),W794)),0)</f>
        <v/>
      </c>
      <c r="H794">
        <f>IF(AND(E794=1,B794="RECEIPT"),ROW(),0)</f>
        <v/>
      </c>
      <c r="I794">
        <f>IF(E794=1,IF(OR(B794="SALE",B794="WRITEOFF"),Transactions!E794,0),0)</f>
        <v/>
      </c>
      <c r="J794">
        <f>SUMIFS($F$1:F793,$A$1:A793,A794)</f>
        <v/>
      </c>
      <c r="K794">
        <f>SUMIFS($I$1:I793,$A$1:A793,A794)</f>
        <v/>
      </c>
      <c r="L794">
        <f>IFERROR(VLOOKUP(A794,Opening!$A:$C,3,0),0)</f>
        <v/>
      </c>
      <c r="M794">
        <f>IF(I794=0,0,MAX(0,MIN(INDEX(Month!H$2:H$13,MATCH($A794,Month!$A$2:$A$13,0))-K794,I794)))</f>
        <v/>
      </c>
      <c r="N794">
        <f>IF(I794=0,0,MAX(0,MIN(INDEX(Month!I$2:I$13,MATCH($A794,Month!$A$2:$A$13,0))-K794,I794)))</f>
        <v/>
      </c>
      <c r="O794">
        <f>IF(I794=0,0,MAX(0,MIN(INDEX(Month!J$2:J$13,MATCH($A794,Month!$A$2:$A$13,0))-K794,I794)))</f>
        <v/>
      </c>
      <c r="P794">
        <f>IF(I794=0,0,(MIN(MAX(K794,0),L794)*W794+SUMPRODUCT((Calc!$A$2:$A$1001=A794)*Calc!$G$2:$G$1001*(((K794-(L794+Calc!$J$2:$J$1001))&gt;0)*((K794-(L794+Calc!$J$2:$J$1001))&lt;Calc!$F$2:$F$1001)*(K794-(L794+Calc!$J$2:$J$1001))+((K794-(L794+Calc!$J$2:$J$1001))&gt;=Calc!$F$2:$F$1001)*Calc!$F$2:$F$1001))))</f>
        <v/>
      </c>
      <c r="Q794">
        <f>IF(I794=0,0,(MIN(MAX((K794+M794),0),L794)*W794+SUMPRODUCT((Calc!$A$2:$A$1001=A794)*Calc!$G$2:$G$1001*((((K794+M794)-(L794+Calc!$J$2:$J$1001))&gt;0)*(((K794+M794)-(L794+Calc!$J$2:$J$1001))&lt;Calc!$F$2:$F$1001)*((K794+M794)-(L794+Calc!$J$2:$J$1001))+(((K794+M794)-(L794+Calc!$J$2:$J$1001))&gt;=Calc!$F$2:$F$1001)*Calc!$F$2:$F$1001))))</f>
        <v/>
      </c>
      <c r="R794">
        <f>IF(I794=0,0,(MIN(MAX((K794+N794),0),L794)*W794+SUMPRODUCT((Calc!$A$2:$A$1001=A794)*Calc!$G$2:$G$1001*((((K794+N794)-(L794+Calc!$J$2:$J$1001))&gt;0)*(((K794+N794)-(L794+Calc!$J$2:$J$1001))&lt;Calc!$F$2:$F$1001)*((K794+N794)-(L794+Calc!$J$2:$J$1001))+(((K794+N794)-(L794+Calc!$J$2:$J$1001))&gt;=Calc!$F$2:$F$1001)*Calc!$F$2:$F$1001))))</f>
        <v/>
      </c>
      <c r="S794">
        <f>IF(I794=0,0,(MIN(MAX((K794+O794),0),L794)*W794+SUMPRODUCT((Calc!$A$2:$A$1001=A794)*Calc!$G$2:$G$1001*((((K794+O794)-(L794+Calc!$J$2:$J$1001))&gt;0)*(((K794+O794)-(L794+Calc!$J$2:$J$1001))&lt;Calc!$F$2:$F$1001)*((K794+O794)-(L794+Calc!$J$2:$J$1001))+(((K794+O794)-(L794+Calc!$J$2:$J$1001))&gt;=Calc!$F$2:$F$1001)*Calc!$F$2:$F$1001))))</f>
        <v/>
      </c>
      <c r="T794">
        <f>IF(AND(E794=1,B794="RETURN"),Transactions!E794*Transactions!G794,0)</f>
        <v/>
      </c>
      <c r="U794">
        <f>IF(AND(E794=1,B794="EXPENSE"),Transactions!J794,0)</f>
        <v/>
      </c>
      <c r="V794">
        <f>IF(AND(Transactions!A794&lt;&gt;"",E794=0),ROW(),"")</f>
        <v/>
      </c>
      <c r="W794">
        <f>IFERROR(VLOOKUP(A794,Opening!$A:$D,4,0),0)</f>
        <v/>
      </c>
    </row>
    <row r="795">
      <c r="A795">
        <f>IF(Transactions!D795="","",UPPER(TRIM(Transactions!D795)))</f>
        <v/>
      </c>
      <c r="B795">
        <f>IF(Transactions!C795="","",UPPER(TRIM(Transactions!C795)))</f>
        <v/>
      </c>
      <c r="C795">
        <f>IF(Transactions!B795="",0,YEAR(Transactions!B795)*100+MONTH(Transactions!B795))</f>
        <v/>
      </c>
      <c r="D795">
        <f>IF(Transactions!A795="",1,IF(COUNTIF(Transactions!$A$1:A794,Transactions!A795)&gt;0,1,0))</f>
        <v/>
      </c>
      <c r="E795">
        <f>IF(D795=1,0,IF(B795="RETURN",IF(COUNTIFS($A$1:A794,A795,$B$1:B794,"SALE",$E$1:E794,1)&gt;0,1,0),1))</f>
        <v/>
      </c>
      <c r="F795">
        <f>IF(E795=1,IF(B795="RECEIPT",Transactions!E795,IF(AND(B795="RETURN",LOWER(TRIM(Transactions!H795))="resellable"),Transactions!E795,0)),0)</f>
        <v/>
      </c>
      <c r="G795">
        <f>IF(F795&gt;0,IF(B795="RECEIPT",Transactions!F795,IF(_xlfn.MAXIFS($H$2:H795,$A$2:A795,A795)&gt;0,INDEX(Transactions!$F:$F,_xlfn.MAXIFS($H$2:H795,$A$2:A795,A795)),W795)),0)</f>
        <v/>
      </c>
      <c r="H795">
        <f>IF(AND(E795=1,B795="RECEIPT"),ROW(),0)</f>
        <v/>
      </c>
      <c r="I795">
        <f>IF(E795=1,IF(OR(B795="SALE",B795="WRITEOFF"),Transactions!E795,0),0)</f>
        <v/>
      </c>
      <c r="J795">
        <f>SUMIFS($F$1:F794,$A$1:A794,A795)</f>
        <v/>
      </c>
      <c r="K795">
        <f>SUMIFS($I$1:I794,$A$1:A794,A795)</f>
        <v/>
      </c>
      <c r="L795">
        <f>IFERROR(VLOOKUP(A795,Opening!$A:$C,3,0),0)</f>
        <v/>
      </c>
      <c r="M795">
        <f>IF(I795=0,0,MAX(0,MIN(INDEX(Month!H$2:H$13,MATCH($A795,Month!$A$2:$A$13,0))-K795,I795)))</f>
        <v/>
      </c>
      <c r="N795">
        <f>IF(I795=0,0,MAX(0,MIN(INDEX(Month!I$2:I$13,MATCH($A795,Month!$A$2:$A$13,0))-K795,I795)))</f>
        <v/>
      </c>
      <c r="O795">
        <f>IF(I795=0,0,MAX(0,MIN(INDEX(Month!J$2:J$13,MATCH($A795,Month!$A$2:$A$13,0))-K795,I795)))</f>
        <v/>
      </c>
      <c r="P795">
        <f>IF(I795=0,0,(MIN(MAX(K795,0),L795)*W795+SUMPRODUCT((Calc!$A$2:$A$1001=A795)*Calc!$G$2:$G$1001*(((K795-(L795+Calc!$J$2:$J$1001))&gt;0)*((K795-(L795+Calc!$J$2:$J$1001))&lt;Calc!$F$2:$F$1001)*(K795-(L795+Calc!$J$2:$J$1001))+((K795-(L795+Calc!$J$2:$J$1001))&gt;=Calc!$F$2:$F$1001)*Calc!$F$2:$F$1001))))</f>
        <v/>
      </c>
      <c r="Q795">
        <f>IF(I795=0,0,(MIN(MAX((K795+M795),0),L795)*W795+SUMPRODUCT((Calc!$A$2:$A$1001=A795)*Calc!$G$2:$G$1001*((((K795+M795)-(L795+Calc!$J$2:$J$1001))&gt;0)*(((K795+M795)-(L795+Calc!$J$2:$J$1001))&lt;Calc!$F$2:$F$1001)*((K795+M795)-(L795+Calc!$J$2:$J$1001))+(((K795+M795)-(L795+Calc!$J$2:$J$1001))&gt;=Calc!$F$2:$F$1001)*Calc!$F$2:$F$1001))))</f>
        <v/>
      </c>
      <c r="R795">
        <f>IF(I795=0,0,(MIN(MAX((K795+N795),0),L795)*W795+SUMPRODUCT((Calc!$A$2:$A$1001=A795)*Calc!$G$2:$G$1001*((((K795+N795)-(L795+Calc!$J$2:$J$1001))&gt;0)*(((K795+N795)-(L795+Calc!$J$2:$J$1001))&lt;Calc!$F$2:$F$1001)*((K795+N795)-(L795+Calc!$J$2:$J$1001))+(((K795+N795)-(L795+Calc!$J$2:$J$1001))&gt;=Calc!$F$2:$F$1001)*Calc!$F$2:$F$1001))))</f>
        <v/>
      </c>
      <c r="S795">
        <f>IF(I795=0,0,(MIN(MAX((K795+O795),0),L795)*W795+SUMPRODUCT((Calc!$A$2:$A$1001=A795)*Calc!$G$2:$G$1001*((((K795+O795)-(L795+Calc!$J$2:$J$1001))&gt;0)*(((K795+O795)-(L795+Calc!$J$2:$J$1001))&lt;Calc!$F$2:$F$1001)*((K795+O795)-(L795+Calc!$J$2:$J$1001))+(((K795+O795)-(L795+Calc!$J$2:$J$1001))&gt;=Calc!$F$2:$F$1001)*Calc!$F$2:$F$1001))))</f>
        <v/>
      </c>
      <c r="T795">
        <f>IF(AND(E795=1,B795="RETURN"),Transactions!E795*Transactions!G795,0)</f>
        <v/>
      </c>
      <c r="U795">
        <f>IF(AND(E795=1,B795="EXPENSE"),Transactions!J795,0)</f>
        <v/>
      </c>
      <c r="V795">
        <f>IF(AND(Transactions!A795&lt;&gt;"",E795=0),ROW(),"")</f>
        <v/>
      </c>
      <c r="W795">
        <f>IFERROR(VLOOKUP(A795,Opening!$A:$D,4,0),0)</f>
        <v/>
      </c>
    </row>
    <row r="796">
      <c r="A796">
        <f>IF(Transactions!D796="","",UPPER(TRIM(Transactions!D796)))</f>
        <v/>
      </c>
      <c r="B796">
        <f>IF(Transactions!C796="","",UPPER(TRIM(Transactions!C796)))</f>
        <v/>
      </c>
      <c r="C796">
        <f>IF(Transactions!B796="",0,YEAR(Transactions!B796)*100+MONTH(Transactions!B796))</f>
        <v/>
      </c>
      <c r="D796">
        <f>IF(Transactions!A796="",1,IF(COUNTIF(Transactions!$A$1:A795,Transactions!A796)&gt;0,1,0))</f>
        <v/>
      </c>
      <c r="E796">
        <f>IF(D796=1,0,IF(B796="RETURN",IF(COUNTIFS($A$1:A795,A796,$B$1:B795,"SALE",$E$1:E795,1)&gt;0,1,0),1))</f>
        <v/>
      </c>
      <c r="F796">
        <f>IF(E796=1,IF(B796="RECEIPT",Transactions!E796,IF(AND(B796="RETURN",LOWER(TRIM(Transactions!H796))="resellable"),Transactions!E796,0)),0)</f>
        <v/>
      </c>
      <c r="G796">
        <f>IF(F796&gt;0,IF(B796="RECEIPT",Transactions!F796,IF(_xlfn.MAXIFS($H$2:H796,$A$2:A796,A796)&gt;0,INDEX(Transactions!$F:$F,_xlfn.MAXIFS($H$2:H796,$A$2:A796,A796)),W796)),0)</f>
        <v/>
      </c>
      <c r="H796">
        <f>IF(AND(E796=1,B796="RECEIPT"),ROW(),0)</f>
        <v/>
      </c>
      <c r="I796">
        <f>IF(E796=1,IF(OR(B796="SALE",B796="WRITEOFF"),Transactions!E796,0),0)</f>
        <v/>
      </c>
      <c r="J796">
        <f>SUMIFS($F$1:F795,$A$1:A795,A796)</f>
        <v/>
      </c>
      <c r="K796">
        <f>SUMIFS($I$1:I795,$A$1:A795,A796)</f>
        <v/>
      </c>
      <c r="L796">
        <f>IFERROR(VLOOKUP(A796,Opening!$A:$C,3,0),0)</f>
        <v/>
      </c>
      <c r="M796">
        <f>IF(I796=0,0,MAX(0,MIN(INDEX(Month!H$2:H$13,MATCH($A796,Month!$A$2:$A$13,0))-K796,I796)))</f>
        <v/>
      </c>
      <c r="N796">
        <f>IF(I796=0,0,MAX(0,MIN(INDEX(Month!I$2:I$13,MATCH($A796,Month!$A$2:$A$13,0))-K796,I796)))</f>
        <v/>
      </c>
      <c r="O796">
        <f>IF(I796=0,0,MAX(0,MIN(INDEX(Month!J$2:J$13,MATCH($A796,Month!$A$2:$A$13,0))-K796,I796)))</f>
        <v/>
      </c>
      <c r="P796">
        <f>IF(I796=0,0,(MIN(MAX(K796,0),L796)*W796+SUMPRODUCT((Calc!$A$2:$A$1001=A796)*Calc!$G$2:$G$1001*(((K796-(L796+Calc!$J$2:$J$1001))&gt;0)*((K796-(L796+Calc!$J$2:$J$1001))&lt;Calc!$F$2:$F$1001)*(K796-(L796+Calc!$J$2:$J$1001))+((K796-(L796+Calc!$J$2:$J$1001))&gt;=Calc!$F$2:$F$1001)*Calc!$F$2:$F$1001))))</f>
        <v/>
      </c>
      <c r="Q796">
        <f>IF(I796=0,0,(MIN(MAX((K796+M796),0),L796)*W796+SUMPRODUCT((Calc!$A$2:$A$1001=A796)*Calc!$G$2:$G$1001*((((K796+M796)-(L796+Calc!$J$2:$J$1001))&gt;0)*(((K796+M796)-(L796+Calc!$J$2:$J$1001))&lt;Calc!$F$2:$F$1001)*((K796+M796)-(L796+Calc!$J$2:$J$1001))+(((K796+M796)-(L796+Calc!$J$2:$J$1001))&gt;=Calc!$F$2:$F$1001)*Calc!$F$2:$F$1001))))</f>
        <v/>
      </c>
      <c r="R796">
        <f>IF(I796=0,0,(MIN(MAX((K796+N796),0),L796)*W796+SUMPRODUCT((Calc!$A$2:$A$1001=A796)*Calc!$G$2:$G$1001*((((K796+N796)-(L796+Calc!$J$2:$J$1001))&gt;0)*(((K796+N796)-(L796+Calc!$J$2:$J$1001))&lt;Calc!$F$2:$F$1001)*((K796+N796)-(L796+Calc!$J$2:$J$1001))+(((K796+N796)-(L796+Calc!$J$2:$J$1001))&gt;=Calc!$F$2:$F$1001)*Calc!$F$2:$F$1001))))</f>
        <v/>
      </c>
      <c r="S796">
        <f>IF(I796=0,0,(MIN(MAX((K796+O796),0),L796)*W796+SUMPRODUCT((Calc!$A$2:$A$1001=A796)*Calc!$G$2:$G$1001*((((K796+O796)-(L796+Calc!$J$2:$J$1001))&gt;0)*(((K796+O796)-(L796+Calc!$J$2:$J$1001))&lt;Calc!$F$2:$F$1001)*((K796+O796)-(L796+Calc!$J$2:$J$1001))+(((K796+O796)-(L796+Calc!$J$2:$J$1001))&gt;=Calc!$F$2:$F$1001)*Calc!$F$2:$F$1001))))</f>
        <v/>
      </c>
      <c r="T796">
        <f>IF(AND(E796=1,B796="RETURN"),Transactions!E796*Transactions!G796,0)</f>
        <v/>
      </c>
      <c r="U796">
        <f>IF(AND(E796=1,B796="EXPENSE"),Transactions!J796,0)</f>
        <v/>
      </c>
      <c r="V796">
        <f>IF(AND(Transactions!A796&lt;&gt;"",E796=0),ROW(),"")</f>
        <v/>
      </c>
      <c r="W796">
        <f>IFERROR(VLOOKUP(A796,Opening!$A:$D,4,0),0)</f>
        <v/>
      </c>
    </row>
    <row r="797">
      <c r="A797">
        <f>IF(Transactions!D797="","",UPPER(TRIM(Transactions!D797)))</f>
        <v/>
      </c>
      <c r="B797">
        <f>IF(Transactions!C797="","",UPPER(TRIM(Transactions!C797)))</f>
        <v/>
      </c>
      <c r="C797">
        <f>IF(Transactions!B797="",0,YEAR(Transactions!B797)*100+MONTH(Transactions!B797))</f>
        <v/>
      </c>
      <c r="D797">
        <f>IF(Transactions!A797="",1,IF(COUNTIF(Transactions!$A$1:A796,Transactions!A797)&gt;0,1,0))</f>
        <v/>
      </c>
      <c r="E797">
        <f>IF(D797=1,0,IF(B797="RETURN",IF(COUNTIFS($A$1:A796,A797,$B$1:B796,"SALE",$E$1:E796,1)&gt;0,1,0),1))</f>
        <v/>
      </c>
      <c r="F797">
        <f>IF(E797=1,IF(B797="RECEIPT",Transactions!E797,IF(AND(B797="RETURN",LOWER(TRIM(Transactions!H797))="resellable"),Transactions!E797,0)),0)</f>
        <v/>
      </c>
      <c r="G797">
        <f>IF(F797&gt;0,IF(B797="RECEIPT",Transactions!F797,IF(_xlfn.MAXIFS($H$2:H797,$A$2:A797,A797)&gt;0,INDEX(Transactions!$F:$F,_xlfn.MAXIFS($H$2:H797,$A$2:A797,A797)),W797)),0)</f>
        <v/>
      </c>
      <c r="H797">
        <f>IF(AND(E797=1,B797="RECEIPT"),ROW(),0)</f>
        <v/>
      </c>
      <c r="I797">
        <f>IF(E797=1,IF(OR(B797="SALE",B797="WRITEOFF"),Transactions!E797,0),0)</f>
        <v/>
      </c>
      <c r="J797">
        <f>SUMIFS($F$1:F796,$A$1:A796,A797)</f>
        <v/>
      </c>
      <c r="K797">
        <f>SUMIFS($I$1:I796,$A$1:A796,A797)</f>
        <v/>
      </c>
      <c r="L797">
        <f>IFERROR(VLOOKUP(A797,Opening!$A:$C,3,0),0)</f>
        <v/>
      </c>
      <c r="M797">
        <f>IF(I797=0,0,MAX(0,MIN(INDEX(Month!H$2:H$13,MATCH($A797,Month!$A$2:$A$13,0))-K797,I797)))</f>
        <v/>
      </c>
      <c r="N797">
        <f>IF(I797=0,0,MAX(0,MIN(INDEX(Month!I$2:I$13,MATCH($A797,Month!$A$2:$A$13,0))-K797,I797)))</f>
        <v/>
      </c>
      <c r="O797">
        <f>IF(I797=0,0,MAX(0,MIN(INDEX(Month!J$2:J$13,MATCH($A797,Month!$A$2:$A$13,0))-K797,I797)))</f>
        <v/>
      </c>
      <c r="P797">
        <f>IF(I797=0,0,(MIN(MAX(K797,0),L797)*W797+SUMPRODUCT((Calc!$A$2:$A$1001=A797)*Calc!$G$2:$G$1001*(((K797-(L797+Calc!$J$2:$J$1001))&gt;0)*((K797-(L797+Calc!$J$2:$J$1001))&lt;Calc!$F$2:$F$1001)*(K797-(L797+Calc!$J$2:$J$1001))+((K797-(L797+Calc!$J$2:$J$1001))&gt;=Calc!$F$2:$F$1001)*Calc!$F$2:$F$1001))))</f>
        <v/>
      </c>
      <c r="Q797">
        <f>IF(I797=0,0,(MIN(MAX((K797+M797),0),L797)*W797+SUMPRODUCT((Calc!$A$2:$A$1001=A797)*Calc!$G$2:$G$1001*((((K797+M797)-(L797+Calc!$J$2:$J$1001))&gt;0)*(((K797+M797)-(L797+Calc!$J$2:$J$1001))&lt;Calc!$F$2:$F$1001)*((K797+M797)-(L797+Calc!$J$2:$J$1001))+(((K797+M797)-(L797+Calc!$J$2:$J$1001))&gt;=Calc!$F$2:$F$1001)*Calc!$F$2:$F$1001))))</f>
        <v/>
      </c>
      <c r="R797">
        <f>IF(I797=0,0,(MIN(MAX((K797+N797),0),L797)*W797+SUMPRODUCT((Calc!$A$2:$A$1001=A797)*Calc!$G$2:$G$1001*((((K797+N797)-(L797+Calc!$J$2:$J$1001))&gt;0)*(((K797+N797)-(L797+Calc!$J$2:$J$1001))&lt;Calc!$F$2:$F$1001)*((K797+N797)-(L797+Calc!$J$2:$J$1001))+(((K797+N797)-(L797+Calc!$J$2:$J$1001))&gt;=Calc!$F$2:$F$1001)*Calc!$F$2:$F$1001))))</f>
        <v/>
      </c>
      <c r="S797">
        <f>IF(I797=0,0,(MIN(MAX((K797+O797),0),L797)*W797+SUMPRODUCT((Calc!$A$2:$A$1001=A797)*Calc!$G$2:$G$1001*((((K797+O797)-(L797+Calc!$J$2:$J$1001))&gt;0)*(((K797+O797)-(L797+Calc!$J$2:$J$1001))&lt;Calc!$F$2:$F$1001)*((K797+O797)-(L797+Calc!$J$2:$J$1001))+(((K797+O797)-(L797+Calc!$J$2:$J$1001))&gt;=Calc!$F$2:$F$1001)*Calc!$F$2:$F$1001))))</f>
        <v/>
      </c>
      <c r="T797">
        <f>IF(AND(E797=1,B797="RETURN"),Transactions!E797*Transactions!G797,0)</f>
        <v/>
      </c>
      <c r="U797">
        <f>IF(AND(E797=1,B797="EXPENSE"),Transactions!J797,0)</f>
        <v/>
      </c>
      <c r="V797">
        <f>IF(AND(Transactions!A797&lt;&gt;"",E797=0),ROW(),"")</f>
        <v/>
      </c>
      <c r="W797">
        <f>IFERROR(VLOOKUP(A797,Opening!$A:$D,4,0),0)</f>
        <v/>
      </c>
    </row>
    <row r="798">
      <c r="A798">
        <f>IF(Transactions!D798="","",UPPER(TRIM(Transactions!D798)))</f>
        <v/>
      </c>
      <c r="B798">
        <f>IF(Transactions!C798="","",UPPER(TRIM(Transactions!C798)))</f>
        <v/>
      </c>
      <c r="C798">
        <f>IF(Transactions!B798="",0,YEAR(Transactions!B798)*100+MONTH(Transactions!B798))</f>
        <v/>
      </c>
      <c r="D798">
        <f>IF(Transactions!A798="",1,IF(COUNTIF(Transactions!$A$1:A797,Transactions!A798)&gt;0,1,0))</f>
        <v/>
      </c>
      <c r="E798">
        <f>IF(D798=1,0,IF(B798="RETURN",IF(COUNTIFS($A$1:A797,A798,$B$1:B797,"SALE",$E$1:E797,1)&gt;0,1,0),1))</f>
        <v/>
      </c>
      <c r="F798">
        <f>IF(E798=1,IF(B798="RECEIPT",Transactions!E798,IF(AND(B798="RETURN",LOWER(TRIM(Transactions!H798))="resellable"),Transactions!E798,0)),0)</f>
        <v/>
      </c>
      <c r="G798">
        <f>IF(F798&gt;0,IF(B798="RECEIPT",Transactions!F798,IF(_xlfn.MAXIFS($H$2:H798,$A$2:A798,A798)&gt;0,INDEX(Transactions!$F:$F,_xlfn.MAXIFS($H$2:H798,$A$2:A798,A798)),W798)),0)</f>
        <v/>
      </c>
      <c r="H798">
        <f>IF(AND(E798=1,B798="RECEIPT"),ROW(),0)</f>
        <v/>
      </c>
      <c r="I798">
        <f>IF(E798=1,IF(OR(B798="SALE",B798="WRITEOFF"),Transactions!E798,0),0)</f>
        <v/>
      </c>
      <c r="J798">
        <f>SUMIFS($F$1:F797,$A$1:A797,A798)</f>
        <v/>
      </c>
      <c r="K798">
        <f>SUMIFS($I$1:I797,$A$1:A797,A798)</f>
        <v/>
      </c>
      <c r="L798">
        <f>IFERROR(VLOOKUP(A798,Opening!$A:$C,3,0),0)</f>
        <v/>
      </c>
      <c r="M798">
        <f>IF(I798=0,0,MAX(0,MIN(INDEX(Month!H$2:H$13,MATCH($A798,Month!$A$2:$A$13,0))-K798,I798)))</f>
        <v/>
      </c>
      <c r="N798">
        <f>IF(I798=0,0,MAX(0,MIN(INDEX(Month!I$2:I$13,MATCH($A798,Month!$A$2:$A$13,0))-K798,I798)))</f>
        <v/>
      </c>
      <c r="O798">
        <f>IF(I798=0,0,MAX(0,MIN(INDEX(Month!J$2:J$13,MATCH($A798,Month!$A$2:$A$13,0))-K798,I798)))</f>
        <v/>
      </c>
      <c r="P798">
        <f>IF(I798=0,0,(MIN(MAX(K798,0),L798)*W798+SUMPRODUCT((Calc!$A$2:$A$1001=A798)*Calc!$G$2:$G$1001*(((K798-(L798+Calc!$J$2:$J$1001))&gt;0)*((K798-(L798+Calc!$J$2:$J$1001))&lt;Calc!$F$2:$F$1001)*(K798-(L798+Calc!$J$2:$J$1001))+((K798-(L798+Calc!$J$2:$J$1001))&gt;=Calc!$F$2:$F$1001)*Calc!$F$2:$F$1001))))</f>
        <v/>
      </c>
      <c r="Q798">
        <f>IF(I798=0,0,(MIN(MAX((K798+M798),0),L798)*W798+SUMPRODUCT((Calc!$A$2:$A$1001=A798)*Calc!$G$2:$G$1001*((((K798+M798)-(L798+Calc!$J$2:$J$1001))&gt;0)*(((K798+M798)-(L798+Calc!$J$2:$J$1001))&lt;Calc!$F$2:$F$1001)*((K798+M798)-(L798+Calc!$J$2:$J$1001))+(((K798+M798)-(L798+Calc!$J$2:$J$1001))&gt;=Calc!$F$2:$F$1001)*Calc!$F$2:$F$1001))))</f>
        <v/>
      </c>
      <c r="R798">
        <f>IF(I798=0,0,(MIN(MAX((K798+N798),0),L798)*W798+SUMPRODUCT((Calc!$A$2:$A$1001=A798)*Calc!$G$2:$G$1001*((((K798+N798)-(L798+Calc!$J$2:$J$1001))&gt;0)*(((K798+N798)-(L798+Calc!$J$2:$J$1001))&lt;Calc!$F$2:$F$1001)*((K798+N798)-(L798+Calc!$J$2:$J$1001))+(((K798+N798)-(L798+Calc!$J$2:$J$1001))&gt;=Calc!$F$2:$F$1001)*Calc!$F$2:$F$1001))))</f>
        <v/>
      </c>
      <c r="S798">
        <f>IF(I798=0,0,(MIN(MAX((K798+O798),0),L798)*W798+SUMPRODUCT((Calc!$A$2:$A$1001=A798)*Calc!$G$2:$G$1001*((((K798+O798)-(L798+Calc!$J$2:$J$1001))&gt;0)*(((K798+O798)-(L798+Calc!$J$2:$J$1001))&lt;Calc!$F$2:$F$1001)*((K798+O798)-(L798+Calc!$J$2:$J$1001))+(((K798+O798)-(L798+Calc!$J$2:$J$1001))&gt;=Calc!$F$2:$F$1001)*Calc!$F$2:$F$1001))))</f>
        <v/>
      </c>
      <c r="T798">
        <f>IF(AND(E798=1,B798="RETURN"),Transactions!E798*Transactions!G798,0)</f>
        <v/>
      </c>
      <c r="U798">
        <f>IF(AND(E798=1,B798="EXPENSE"),Transactions!J798,0)</f>
        <v/>
      </c>
      <c r="V798">
        <f>IF(AND(Transactions!A798&lt;&gt;"",E798=0),ROW(),"")</f>
        <v/>
      </c>
      <c r="W798">
        <f>IFERROR(VLOOKUP(A798,Opening!$A:$D,4,0),0)</f>
        <v/>
      </c>
    </row>
    <row r="799">
      <c r="A799">
        <f>IF(Transactions!D799="","",UPPER(TRIM(Transactions!D799)))</f>
        <v/>
      </c>
      <c r="B799">
        <f>IF(Transactions!C799="","",UPPER(TRIM(Transactions!C799)))</f>
        <v/>
      </c>
      <c r="C799">
        <f>IF(Transactions!B799="",0,YEAR(Transactions!B799)*100+MONTH(Transactions!B799))</f>
        <v/>
      </c>
      <c r="D799">
        <f>IF(Transactions!A799="",1,IF(COUNTIF(Transactions!$A$1:A798,Transactions!A799)&gt;0,1,0))</f>
        <v/>
      </c>
      <c r="E799">
        <f>IF(D799=1,0,IF(B799="RETURN",IF(COUNTIFS($A$1:A798,A799,$B$1:B798,"SALE",$E$1:E798,1)&gt;0,1,0),1))</f>
        <v/>
      </c>
      <c r="F799">
        <f>IF(E799=1,IF(B799="RECEIPT",Transactions!E799,IF(AND(B799="RETURN",LOWER(TRIM(Transactions!H799))="resellable"),Transactions!E799,0)),0)</f>
        <v/>
      </c>
      <c r="G799">
        <f>IF(F799&gt;0,IF(B799="RECEIPT",Transactions!F799,IF(_xlfn.MAXIFS($H$2:H799,$A$2:A799,A799)&gt;0,INDEX(Transactions!$F:$F,_xlfn.MAXIFS($H$2:H799,$A$2:A799,A799)),W799)),0)</f>
        <v/>
      </c>
      <c r="H799">
        <f>IF(AND(E799=1,B799="RECEIPT"),ROW(),0)</f>
        <v/>
      </c>
      <c r="I799">
        <f>IF(E799=1,IF(OR(B799="SALE",B799="WRITEOFF"),Transactions!E799,0),0)</f>
        <v/>
      </c>
      <c r="J799">
        <f>SUMIFS($F$1:F798,$A$1:A798,A799)</f>
        <v/>
      </c>
      <c r="K799">
        <f>SUMIFS($I$1:I798,$A$1:A798,A799)</f>
        <v/>
      </c>
      <c r="L799">
        <f>IFERROR(VLOOKUP(A799,Opening!$A:$C,3,0),0)</f>
        <v/>
      </c>
      <c r="M799">
        <f>IF(I799=0,0,MAX(0,MIN(INDEX(Month!H$2:H$13,MATCH($A799,Month!$A$2:$A$13,0))-K799,I799)))</f>
        <v/>
      </c>
      <c r="N799">
        <f>IF(I799=0,0,MAX(0,MIN(INDEX(Month!I$2:I$13,MATCH($A799,Month!$A$2:$A$13,0))-K799,I799)))</f>
        <v/>
      </c>
      <c r="O799">
        <f>IF(I799=0,0,MAX(0,MIN(INDEX(Month!J$2:J$13,MATCH($A799,Month!$A$2:$A$13,0))-K799,I799)))</f>
        <v/>
      </c>
      <c r="P799">
        <f>IF(I799=0,0,(MIN(MAX(K799,0),L799)*W799+SUMPRODUCT((Calc!$A$2:$A$1001=A799)*Calc!$G$2:$G$1001*(((K799-(L799+Calc!$J$2:$J$1001))&gt;0)*((K799-(L799+Calc!$J$2:$J$1001))&lt;Calc!$F$2:$F$1001)*(K799-(L799+Calc!$J$2:$J$1001))+((K799-(L799+Calc!$J$2:$J$1001))&gt;=Calc!$F$2:$F$1001)*Calc!$F$2:$F$1001))))</f>
        <v/>
      </c>
      <c r="Q799">
        <f>IF(I799=0,0,(MIN(MAX((K799+M799),0),L799)*W799+SUMPRODUCT((Calc!$A$2:$A$1001=A799)*Calc!$G$2:$G$1001*((((K799+M799)-(L799+Calc!$J$2:$J$1001))&gt;0)*(((K799+M799)-(L799+Calc!$J$2:$J$1001))&lt;Calc!$F$2:$F$1001)*((K799+M799)-(L799+Calc!$J$2:$J$1001))+(((K799+M799)-(L799+Calc!$J$2:$J$1001))&gt;=Calc!$F$2:$F$1001)*Calc!$F$2:$F$1001))))</f>
        <v/>
      </c>
      <c r="R799">
        <f>IF(I799=0,0,(MIN(MAX((K799+N799),0),L799)*W799+SUMPRODUCT((Calc!$A$2:$A$1001=A799)*Calc!$G$2:$G$1001*((((K799+N799)-(L799+Calc!$J$2:$J$1001))&gt;0)*(((K799+N799)-(L799+Calc!$J$2:$J$1001))&lt;Calc!$F$2:$F$1001)*((K799+N799)-(L799+Calc!$J$2:$J$1001))+(((K799+N799)-(L799+Calc!$J$2:$J$1001))&gt;=Calc!$F$2:$F$1001)*Calc!$F$2:$F$1001))))</f>
        <v/>
      </c>
      <c r="S799">
        <f>IF(I799=0,0,(MIN(MAX((K799+O799),0),L799)*W799+SUMPRODUCT((Calc!$A$2:$A$1001=A799)*Calc!$G$2:$G$1001*((((K799+O799)-(L799+Calc!$J$2:$J$1001))&gt;0)*(((K799+O799)-(L799+Calc!$J$2:$J$1001))&lt;Calc!$F$2:$F$1001)*((K799+O799)-(L799+Calc!$J$2:$J$1001))+(((K799+O799)-(L799+Calc!$J$2:$J$1001))&gt;=Calc!$F$2:$F$1001)*Calc!$F$2:$F$1001))))</f>
        <v/>
      </c>
      <c r="T799">
        <f>IF(AND(E799=1,B799="RETURN"),Transactions!E799*Transactions!G799,0)</f>
        <v/>
      </c>
      <c r="U799">
        <f>IF(AND(E799=1,B799="EXPENSE"),Transactions!J799,0)</f>
        <v/>
      </c>
      <c r="V799">
        <f>IF(AND(Transactions!A799&lt;&gt;"",E799=0),ROW(),"")</f>
        <v/>
      </c>
      <c r="W799">
        <f>IFERROR(VLOOKUP(A799,Opening!$A:$D,4,0),0)</f>
        <v/>
      </c>
    </row>
    <row r="800">
      <c r="A800">
        <f>IF(Transactions!D800="","",UPPER(TRIM(Transactions!D800)))</f>
        <v/>
      </c>
      <c r="B800">
        <f>IF(Transactions!C800="","",UPPER(TRIM(Transactions!C800)))</f>
        <v/>
      </c>
      <c r="C800">
        <f>IF(Transactions!B800="",0,YEAR(Transactions!B800)*100+MONTH(Transactions!B800))</f>
        <v/>
      </c>
      <c r="D800">
        <f>IF(Transactions!A800="",1,IF(COUNTIF(Transactions!$A$1:A799,Transactions!A800)&gt;0,1,0))</f>
        <v/>
      </c>
      <c r="E800">
        <f>IF(D800=1,0,IF(B800="RETURN",IF(COUNTIFS($A$1:A799,A800,$B$1:B799,"SALE",$E$1:E799,1)&gt;0,1,0),1))</f>
        <v/>
      </c>
      <c r="F800">
        <f>IF(E800=1,IF(B800="RECEIPT",Transactions!E800,IF(AND(B800="RETURN",LOWER(TRIM(Transactions!H800))="resellable"),Transactions!E800,0)),0)</f>
        <v/>
      </c>
      <c r="G800">
        <f>IF(F800&gt;0,IF(B800="RECEIPT",Transactions!F800,IF(_xlfn.MAXIFS($H$2:H800,$A$2:A800,A800)&gt;0,INDEX(Transactions!$F:$F,_xlfn.MAXIFS($H$2:H800,$A$2:A800,A800)),W800)),0)</f>
        <v/>
      </c>
      <c r="H800">
        <f>IF(AND(E800=1,B800="RECEIPT"),ROW(),0)</f>
        <v/>
      </c>
      <c r="I800">
        <f>IF(E800=1,IF(OR(B800="SALE",B800="WRITEOFF"),Transactions!E800,0),0)</f>
        <v/>
      </c>
      <c r="J800">
        <f>SUMIFS($F$1:F799,$A$1:A799,A800)</f>
        <v/>
      </c>
      <c r="K800">
        <f>SUMIFS($I$1:I799,$A$1:A799,A800)</f>
        <v/>
      </c>
      <c r="L800">
        <f>IFERROR(VLOOKUP(A800,Opening!$A:$C,3,0),0)</f>
        <v/>
      </c>
      <c r="M800">
        <f>IF(I800=0,0,MAX(0,MIN(INDEX(Month!H$2:H$13,MATCH($A800,Month!$A$2:$A$13,0))-K800,I800)))</f>
        <v/>
      </c>
      <c r="N800">
        <f>IF(I800=0,0,MAX(0,MIN(INDEX(Month!I$2:I$13,MATCH($A800,Month!$A$2:$A$13,0))-K800,I800)))</f>
        <v/>
      </c>
      <c r="O800">
        <f>IF(I800=0,0,MAX(0,MIN(INDEX(Month!J$2:J$13,MATCH($A800,Month!$A$2:$A$13,0))-K800,I800)))</f>
        <v/>
      </c>
      <c r="P800">
        <f>IF(I800=0,0,(MIN(MAX(K800,0),L800)*W800+SUMPRODUCT((Calc!$A$2:$A$1001=A800)*Calc!$G$2:$G$1001*(((K800-(L800+Calc!$J$2:$J$1001))&gt;0)*((K800-(L800+Calc!$J$2:$J$1001))&lt;Calc!$F$2:$F$1001)*(K800-(L800+Calc!$J$2:$J$1001))+((K800-(L800+Calc!$J$2:$J$1001))&gt;=Calc!$F$2:$F$1001)*Calc!$F$2:$F$1001))))</f>
        <v/>
      </c>
      <c r="Q800">
        <f>IF(I800=0,0,(MIN(MAX((K800+M800),0),L800)*W800+SUMPRODUCT((Calc!$A$2:$A$1001=A800)*Calc!$G$2:$G$1001*((((K800+M800)-(L800+Calc!$J$2:$J$1001))&gt;0)*(((K800+M800)-(L800+Calc!$J$2:$J$1001))&lt;Calc!$F$2:$F$1001)*((K800+M800)-(L800+Calc!$J$2:$J$1001))+(((K800+M800)-(L800+Calc!$J$2:$J$1001))&gt;=Calc!$F$2:$F$1001)*Calc!$F$2:$F$1001))))</f>
        <v/>
      </c>
      <c r="R800">
        <f>IF(I800=0,0,(MIN(MAX((K800+N800),0),L800)*W800+SUMPRODUCT((Calc!$A$2:$A$1001=A800)*Calc!$G$2:$G$1001*((((K800+N800)-(L800+Calc!$J$2:$J$1001))&gt;0)*(((K800+N800)-(L800+Calc!$J$2:$J$1001))&lt;Calc!$F$2:$F$1001)*((K800+N800)-(L800+Calc!$J$2:$J$1001))+(((K800+N800)-(L800+Calc!$J$2:$J$1001))&gt;=Calc!$F$2:$F$1001)*Calc!$F$2:$F$1001))))</f>
        <v/>
      </c>
      <c r="S800">
        <f>IF(I800=0,0,(MIN(MAX((K800+O800),0),L800)*W800+SUMPRODUCT((Calc!$A$2:$A$1001=A800)*Calc!$G$2:$G$1001*((((K800+O800)-(L800+Calc!$J$2:$J$1001))&gt;0)*(((K800+O800)-(L800+Calc!$J$2:$J$1001))&lt;Calc!$F$2:$F$1001)*((K800+O800)-(L800+Calc!$J$2:$J$1001))+(((K800+O800)-(L800+Calc!$J$2:$J$1001))&gt;=Calc!$F$2:$F$1001)*Calc!$F$2:$F$1001))))</f>
        <v/>
      </c>
      <c r="T800">
        <f>IF(AND(E800=1,B800="RETURN"),Transactions!E800*Transactions!G800,0)</f>
        <v/>
      </c>
      <c r="U800">
        <f>IF(AND(E800=1,B800="EXPENSE"),Transactions!J800,0)</f>
        <v/>
      </c>
      <c r="V800">
        <f>IF(AND(Transactions!A800&lt;&gt;"",E800=0),ROW(),"")</f>
        <v/>
      </c>
      <c r="W800">
        <f>IFERROR(VLOOKUP(A800,Opening!$A:$D,4,0),0)</f>
        <v/>
      </c>
    </row>
    <row r="801">
      <c r="A801">
        <f>IF(Transactions!D801="","",UPPER(TRIM(Transactions!D801)))</f>
        <v/>
      </c>
      <c r="B801">
        <f>IF(Transactions!C801="","",UPPER(TRIM(Transactions!C801)))</f>
        <v/>
      </c>
      <c r="C801">
        <f>IF(Transactions!B801="",0,YEAR(Transactions!B801)*100+MONTH(Transactions!B801))</f>
        <v/>
      </c>
      <c r="D801">
        <f>IF(Transactions!A801="",1,IF(COUNTIF(Transactions!$A$1:A800,Transactions!A801)&gt;0,1,0))</f>
        <v/>
      </c>
      <c r="E801">
        <f>IF(D801=1,0,IF(B801="RETURN",IF(COUNTIFS($A$1:A800,A801,$B$1:B800,"SALE",$E$1:E800,1)&gt;0,1,0),1))</f>
        <v/>
      </c>
      <c r="F801">
        <f>IF(E801=1,IF(B801="RECEIPT",Transactions!E801,IF(AND(B801="RETURN",LOWER(TRIM(Transactions!H801))="resellable"),Transactions!E801,0)),0)</f>
        <v/>
      </c>
      <c r="G801">
        <f>IF(F801&gt;0,IF(B801="RECEIPT",Transactions!F801,IF(_xlfn.MAXIFS($H$2:H801,$A$2:A801,A801)&gt;0,INDEX(Transactions!$F:$F,_xlfn.MAXIFS($H$2:H801,$A$2:A801,A801)),W801)),0)</f>
        <v/>
      </c>
      <c r="H801">
        <f>IF(AND(E801=1,B801="RECEIPT"),ROW(),0)</f>
        <v/>
      </c>
      <c r="I801">
        <f>IF(E801=1,IF(OR(B801="SALE",B801="WRITEOFF"),Transactions!E801,0),0)</f>
        <v/>
      </c>
      <c r="J801">
        <f>SUMIFS($F$1:F800,$A$1:A800,A801)</f>
        <v/>
      </c>
      <c r="K801">
        <f>SUMIFS($I$1:I800,$A$1:A800,A801)</f>
        <v/>
      </c>
      <c r="L801">
        <f>IFERROR(VLOOKUP(A801,Opening!$A:$C,3,0),0)</f>
        <v/>
      </c>
      <c r="M801">
        <f>IF(I801=0,0,MAX(0,MIN(INDEX(Month!H$2:H$13,MATCH($A801,Month!$A$2:$A$13,0))-K801,I801)))</f>
        <v/>
      </c>
      <c r="N801">
        <f>IF(I801=0,0,MAX(0,MIN(INDEX(Month!I$2:I$13,MATCH($A801,Month!$A$2:$A$13,0))-K801,I801)))</f>
        <v/>
      </c>
      <c r="O801">
        <f>IF(I801=0,0,MAX(0,MIN(INDEX(Month!J$2:J$13,MATCH($A801,Month!$A$2:$A$13,0))-K801,I801)))</f>
        <v/>
      </c>
      <c r="P801">
        <f>IF(I801=0,0,(MIN(MAX(K801,0),L801)*W801+SUMPRODUCT((Calc!$A$2:$A$1001=A801)*Calc!$G$2:$G$1001*(((K801-(L801+Calc!$J$2:$J$1001))&gt;0)*((K801-(L801+Calc!$J$2:$J$1001))&lt;Calc!$F$2:$F$1001)*(K801-(L801+Calc!$J$2:$J$1001))+((K801-(L801+Calc!$J$2:$J$1001))&gt;=Calc!$F$2:$F$1001)*Calc!$F$2:$F$1001))))</f>
        <v/>
      </c>
      <c r="Q801">
        <f>IF(I801=0,0,(MIN(MAX((K801+M801),0),L801)*W801+SUMPRODUCT((Calc!$A$2:$A$1001=A801)*Calc!$G$2:$G$1001*((((K801+M801)-(L801+Calc!$J$2:$J$1001))&gt;0)*(((K801+M801)-(L801+Calc!$J$2:$J$1001))&lt;Calc!$F$2:$F$1001)*((K801+M801)-(L801+Calc!$J$2:$J$1001))+(((K801+M801)-(L801+Calc!$J$2:$J$1001))&gt;=Calc!$F$2:$F$1001)*Calc!$F$2:$F$1001))))</f>
        <v/>
      </c>
      <c r="R801">
        <f>IF(I801=0,0,(MIN(MAX((K801+N801),0),L801)*W801+SUMPRODUCT((Calc!$A$2:$A$1001=A801)*Calc!$G$2:$G$1001*((((K801+N801)-(L801+Calc!$J$2:$J$1001))&gt;0)*(((K801+N801)-(L801+Calc!$J$2:$J$1001))&lt;Calc!$F$2:$F$1001)*((K801+N801)-(L801+Calc!$J$2:$J$1001))+(((K801+N801)-(L801+Calc!$J$2:$J$1001))&gt;=Calc!$F$2:$F$1001)*Calc!$F$2:$F$1001))))</f>
        <v/>
      </c>
      <c r="S801">
        <f>IF(I801=0,0,(MIN(MAX((K801+O801),0),L801)*W801+SUMPRODUCT((Calc!$A$2:$A$1001=A801)*Calc!$G$2:$G$1001*((((K801+O801)-(L801+Calc!$J$2:$J$1001))&gt;0)*(((K801+O801)-(L801+Calc!$J$2:$J$1001))&lt;Calc!$F$2:$F$1001)*((K801+O801)-(L801+Calc!$J$2:$J$1001))+(((K801+O801)-(L801+Calc!$J$2:$J$1001))&gt;=Calc!$F$2:$F$1001)*Calc!$F$2:$F$1001))))</f>
        <v/>
      </c>
      <c r="T801">
        <f>IF(AND(E801=1,B801="RETURN"),Transactions!E801*Transactions!G801,0)</f>
        <v/>
      </c>
      <c r="U801">
        <f>IF(AND(E801=1,B801="EXPENSE"),Transactions!J801,0)</f>
        <v/>
      </c>
      <c r="V801">
        <f>IF(AND(Transactions!A801&lt;&gt;"",E801=0),ROW(),"")</f>
        <v/>
      </c>
      <c r="W801">
        <f>IFERROR(VLOOKUP(A801,Opening!$A:$D,4,0),0)</f>
        <v/>
      </c>
    </row>
    <row r="802">
      <c r="A802">
        <f>IF(Transactions!D802="","",UPPER(TRIM(Transactions!D802)))</f>
        <v/>
      </c>
      <c r="B802">
        <f>IF(Transactions!C802="","",UPPER(TRIM(Transactions!C802)))</f>
        <v/>
      </c>
      <c r="C802">
        <f>IF(Transactions!B802="",0,YEAR(Transactions!B802)*100+MONTH(Transactions!B802))</f>
        <v/>
      </c>
      <c r="D802">
        <f>IF(Transactions!A802="",1,IF(COUNTIF(Transactions!$A$1:A801,Transactions!A802)&gt;0,1,0))</f>
        <v/>
      </c>
      <c r="E802">
        <f>IF(D802=1,0,IF(B802="RETURN",IF(COUNTIFS($A$1:A801,A802,$B$1:B801,"SALE",$E$1:E801,1)&gt;0,1,0),1))</f>
        <v/>
      </c>
      <c r="F802">
        <f>IF(E802=1,IF(B802="RECEIPT",Transactions!E802,IF(AND(B802="RETURN",LOWER(TRIM(Transactions!H802))="resellable"),Transactions!E802,0)),0)</f>
        <v/>
      </c>
      <c r="G802">
        <f>IF(F802&gt;0,IF(B802="RECEIPT",Transactions!F802,IF(_xlfn.MAXIFS($H$2:H802,$A$2:A802,A802)&gt;0,INDEX(Transactions!$F:$F,_xlfn.MAXIFS($H$2:H802,$A$2:A802,A802)),W802)),0)</f>
        <v/>
      </c>
      <c r="H802">
        <f>IF(AND(E802=1,B802="RECEIPT"),ROW(),0)</f>
        <v/>
      </c>
      <c r="I802">
        <f>IF(E802=1,IF(OR(B802="SALE",B802="WRITEOFF"),Transactions!E802,0),0)</f>
        <v/>
      </c>
      <c r="J802">
        <f>SUMIFS($F$1:F801,$A$1:A801,A802)</f>
        <v/>
      </c>
      <c r="K802">
        <f>SUMIFS($I$1:I801,$A$1:A801,A802)</f>
        <v/>
      </c>
      <c r="L802">
        <f>IFERROR(VLOOKUP(A802,Opening!$A:$C,3,0),0)</f>
        <v/>
      </c>
      <c r="M802">
        <f>IF(I802=0,0,MAX(0,MIN(INDEX(Month!H$2:H$13,MATCH($A802,Month!$A$2:$A$13,0))-K802,I802)))</f>
        <v/>
      </c>
      <c r="N802">
        <f>IF(I802=0,0,MAX(0,MIN(INDEX(Month!I$2:I$13,MATCH($A802,Month!$A$2:$A$13,0))-K802,I802)))</f>
        <v/>
      </c>
      <c r="O802">
        <f>IF(I802=0,0,MAX(0,MIN(INDEX(Month!J$2:J$13,MATCH($A802,Month!$A$2:$A$13,0))-K802,I802)))</f>
        <v/>
      </c>
      <c r="P802">
        <f>IF(I802=0,0,(MIN(MAX(K802,0),L802)*W802+SUMPRODUCT((Calc!$A$2:$A$1001=A802)*Calc!$G$2:$G$1001*(((K802-(L802+Calc!$J$2:$J$1001))&gt;0)*((K802-(L802+Calc!$J$2:$J$1001))&lt;Calc!$F$2:$F$1001)*(K802-(L802+Calc!$J$2:$J$1001))+((K802-(L802+Calc!$J$2:$J$1001))&gt;=Calc!$F$2:$F$1001)*Calc!$F$2:$F$1001))))</f>
        <v/>
      </c>
      <c r="Q802">
        <f>IF(I802=0,0,(MIN(MAX((K802+M802),0),L802)*W802+SUMPRODUCT((Calc!$A$2:$A$1001=A802)*Calc!$G$2:$G$1001*((((K802+M802)-(L802+Calc!$J$2:$J$1001))&gt;0)*(((K802+M802)-(L802+Calc!$J$2:$J$1001))&lt;Calc!$F$2:$F$1001)*((K802+M802)-(L802+Calc!$J$2:$J$1001))+(((K802+M802)-(L802+Calc!$J$2:$J$1001))&gt;=Calc!$F$2:$F$1001)*Calc!$F$2:$F$1001))))</f>
        <v/>
      </c>
      <c r="R802">
        <f>IF(I802=0,0,(MIN(MAX((K802+N802),0),L802)*W802+SUMPRODUCT((Calc!$A$2:$A$1001=A802)*Calc!$G$2:$G$1001*((((K802+N802)-(L802+Calc!$J$2:$J$1001))&gt;0)*(((K802+N802)-(L802+Calc!$J$2:$J$1001))&lt;Calc!$F$2:$F$1001)*((K802+N802)-(L802+Calc!$J$2:$J$1001))+(((K802+N802)-(L802+Calc!$J$2:$J$1001))&gt;=Calc!$F$2:$F$1001)*Calc!$F$2:$F$1001))))</f>
        <v/>
      </c>
      <c r="S802">
        <f>IF(I802=0,0,(MIN(MAX((K802+O802),0),L802)*W802+SUMPRODUCT((Calc!$A$2:$A$1001=A802)*Calc!$G$2:$G$1001*((((K802+O802)-(L802+Calc!$J$2:$J$1001))&gt;0)*(((K802+O802)-(L802+Calc!$J$2:$J$1001))&lt;Calc!$F$2:$F$1001)*((K802+O802)-(L802+Calc!$J$2:$J$1001))+(((K802+O802)-(L802+Calc!$J$2:$J$1001))&gt;=Calc!$F$2:$F$1001)*Calc!$F$2:$F$1001))))</f>
        <v/>
      </c>
      <c r="T802">
        <f>IF(AND(E802=1,B802="RETURN"),Transactions!E802*Transactions!G802,0)</f>
        <v/>
      </c>
      <c r="U802">
        <f>IF(AND(E802=1,B802="EXPENSE"),Transactions!J802,0)</f>
        <v/>
      </c>
      <c r="V802">
        <f>IF(AND(Transactions!A802&lt;&gt;"",E802=0),ROW(),"")</f>
        <v/>
      </c>
      <c r="W802">
        <f>IFERROR(VLOOKUP(A802,Opening!$A:$D,4,0),0)</f>
        <v/>
      </c>
    </row>
    <row r="803">
      <c r="A803">
        <f>IF(Transactions!D803="","",UPPER(TRIM(Transactions!D803)))</f>
        <v/>
      </c>
      <c r="B803">
        <f>IF(Transactions!C803="","",UPPER(TRIM(Transactions!C803)))</f>
        <v/>
      </c>
      <c r="C803">
        <f>IF(Transactions!B803="",0,YEAR(Transactions!B803)*100+MONTH(Transactions!B803))</f>
        <v/>
      </c>
      <c r="D803">
        <f>IF(Transactions!A803="",1,IF(COUNTIF(Transactions!$A$1:A802,Transactions!A803)&gt;0,1,0))</f>
        <v/>
      </c>
      <c r="E803">
        <f>IF(D803=1,0,IF(B803="RETURN",IF(COUNTIFS($A$1:A802,A803,$B$1:B802,"SALE",$E$1:E802,1)&gt;0,1,0),1))</f>
        <v/>
      </c>
      <c r="F803">
        <f>IF(E803=1,IF(B803="RECEIPT",Transactions!E803,IF(AND(B803="RETURN",LOWER(TRIM(Transactions!H803))="resellable"),Transactions!E803,0)),0)</f>
        <v/>
      </c>
      <c r="G803">
        <f>IF(F803&gt;0,IF(B803="RECEIPT",Transactions!F803,IF(_xlfn.MAXIFS($H$2:H803,$A$2:A803,A803)&gt;0,INDEX(Transactions!$F:$F,_xlfn.MAXIFS($H$2:H803,$A$2:A803,A803)),W803)),0)</f>
        <v/>
      </c>
      <c r="H803">
        <f>IF(AND(E803=1,B803="RECEIPT"),ROW(),0)</f>
        <v/>
      </c>
      <c r="I803">
        <f>IF(E803=1,IF(OR(B803="SALE",B803="WRITEOFF"),Transactions!E803,0),0)</f>
        <v/>
      </c>
      <c r="J803">
        <f>SUMIFS($F$1:F802,$A$1:A802,A803)</f>
        <v/>
      </c>
      <c r="K803">
        <f>SUMIFS($I$1:I802,$A$1:A802,A803)</f>
        <v/>
      </c>
      <c r="L803">
        <f>IFERROR(VLOOKUP(A803,Opening!$A:$C,3,0),0)</f>
        <v/>
      </c>
      <c r="M803">
        <f>IF(I803=0,0,MAX(0,MIN(INDEX(Month!H$2:H$13,MATCH($A803,Month!$A$2:$A$13,0))-K803,I803)))</f>
        <v/>
      </c>
      <c r="N803">
        <f>IF(I803=0,0,MAX(0,MIN(INDEX(Month!I$2:I$13,MATCH($A803,Month!$A$2:$A$13,0))-K803,I803)))</f>
        <v/>
      </c>
      <c r="O803">
        <f>IF(I803=0,0,MAX(0,MIN(INDEX(Month!J$2:J$13,MATCH($A803,Month!$A$2:$A$13,0))-K803,I803)))</f>
        <v/>
      </c>
      <c r="P803">
        <f>IF(I803=0,0,(MIN(MAX(K803,0),L803)*W803+SUMPRODUCT((Calc!$A$2:$A$1001=A803)*Calc!$G$2:$G$1001*(((K803-(L803+Calc!$J$2:$J$1001))&gt;0)*((K803-(L803+Calc!$J$2:$J$1001))&lt;Calc!$F$2:$F$1001)*(K803-(L803+Calc!$J$2:$J$1001))+((K803-(L803+Calc!$J$2:$J$1001))&gt;=Calc!$F$2:$F$1001)*Calc!$F$2:$F$1001))))</f>
        <v/>
      </c>
      <c r="Q803">
        <f>IF(I803=0,0,(MIN(MAX((K803+M803),0),L803)*W803+SUMPRODUCT((Calc!$A$2:$A$1001=A803)*Calc!$G$2:$G$1001*((((K803+M803)-(L803+Calc!$J$2:$J$1001))&gt;0)*(((K803+M803)-(L803+Calc!$J$2:$J$1001))&lt;Calc!$F$2:$F$1001)*((K803+M803)-(L803+Calc!$J$2:$J$1001))+(((K803+M803)-(L803+Calc!$J$2:$J$1001))&gt;=Calc!$F$2:$F$1001)*Calc!$F$2:$F$1001))))</f>
        <v/>
      </c>
      <c r="R803">
        <f>IF(I803=0,0,(MIN(MAX((K803+N803),0),L803)*W803+SUMPRODUCT((Calc!$A$2:$A$1001=A803)*Calc!$G$2:$G$1001*((((K803+N803)-(L803+Calc!$J$2:$J$1001))&gt;0)*(((K803+N803)-(L803+Calc!$J$2:$J$1001))&lt;Calc!$F$2:$F$1001)*((K803+N803)-(L803+Calc!$J$2:$J$1001))+(((K803+N803)-(L803+Calc!$J$2:$J$1001))&gt;=Calc!$F$2:$F$1001)*Calc!$F$2:$F$1001))))</f>
        <v/>
      </c>
      <c r="S803">
        <f>IF(I803=0,0,(MIN(MAX((K803+O803),0),L803)*W803+SUMPRODUCT((Calc!$A$2:$A$1001=A803)*Calc!$G$2:$G$1001*((((K803+O803)-(L803+Calc!$J$2:$J$1001))&gt;0)*(((K803+O803)-(L803+Calc!$J$2:$J$1001))&lt;Calc!$F$2:$F$1001)*((K803+O803)-(L803+Calc!$J$2:$J$1001))+(((K803+O803)-(L803+Calc!$J$2:$J$1001))&gt;=Calc!$F$2:$F$1001)*Calc!$F$2:$F$1001))))</f>
        <v/>
      </c>
      <c r="T803">
        <f>IF(AND(E803=1,B803="RETURN"),Transactions!E803*Transactions!G803,0)</f>
        <v/>
      </c>
      <c r="U803">
        <f>IF(AND(E803=1,B803="EXPENSE"),Transactions!J803,0)</f>
        <v/>
      </c>
      <c r="V803">
        <f>IF(AND(Transactions!A803&lt;&gt;"",E803=0),ROW(),"")</f>
        <v/>
      </c>
      <c r="W803">
        <f>IFERROR(VLOOKUP(A803,Opening!$A:$D,4,0),0)</f>
        <v/>
      </c>
    </row>
    <row r="804">
      <c r="A804">
        <f>IF(Transactions!D804="","",UPPER(TRIM(Transactions!D804)))</f>
        <v/>
      </c>
      <c r="B804">
        <f>IF(Transactions!C804="","",UPPER(TRIM(Transactions!C804)))</f>
        <v/>
      </c>
      <c r="C804">
        <f>IF(Transactions!B804="",0,YEAR(Transactions!B804)*100+MONTH(Transactions!B804))</f>
        <v/>
      </c>
      <c r="D804">
        <f>IF(Transactions!A804="",1,IF(COUNTIF(Transactions!$A$1:A803,Transactions!A804)&gt;0,1,0))</f>
        <v/>
      </c>
      <c r="E804">
        <f>IF(D804=1,0,IF(B804="RETURN",IF(COUNTIFS($A$1:A803,A804,$B$1:B803,"SALE",$E$1:E803,1)&gt;0,1,0),1))</f>
        <v/>
      </c>
      <c r="F804">
        <f>IF(E804=1,IF(B804="RECEIPT",Transactions!E804,IF(AND(B804="RETURN",LOWER(TRIM(Transactions!H804))="resellable"),Transactions!E804,0)),0)</f>
        <v/>
      </c>
      <c r="G804">
        <f>IF(F804&gt;0,IF(B804="RECEIPT",Transactions!F804,IF(_xlfn.MAXIFS($H$2:H804,$A$2:A804,A804)&gt;0,INDEX(Transactions!$F:$F,_xlfn.MAXIFS($H$2:H804,$A$2:A804,A804)),W804)),0)</f>
        <v/>
      </c>
      <c r="H804">
        <f>IF(AND(E804=1,B804="RECEIPT"),ROW(),0)</f>
        <v/>
      </c>
      <c r="I804">
        <f>IF(E804=1,IF(OR(B804="SALE",B804="WRITEOFF"),Transactions!E804,0),0)</f>
        <v/>
      </c>
      <c r="J804">
        <f>SUMIFS($F$1:F803,$A$1:A803,A804)</f>
        <v/>
      </c>
      <c r="K804">
        <f>SUMIFS($I$1:I803,$A$1:A803,A804)</f>
        <v/>
      </c>
      <c r="L804">
        <f>IFERROR(VLOOKUP(A804,Opening!$A:$C,3,0),0)</f>
        <v/>
      </c>
      <c r="M804">
        <f>IF(I804=0,0,MAX(0,MIN(INDEX(Month!H$2:H$13,MATCH($A804,Month!$A$2:$A$13,0))-K804,I804)))</f>
        <v/>
      </c>
      <c r="N804">
        <f>IF(I804=0,0,MAX(0,MIN(INDEX(Month!I$2:I$13,MATCH($A804,Month!$A$2:$A$13,0))-K804,I804)))</f>
        <v/>
      </c>
      <c r="O804">
        <f>IF(I804=0,0,MAX(0,MIN(INDEX(Month!J$2:J$13,MATCH($A804,Month!$A$2:$A$13,0))-K804,I804)))</f>
        <v/>
      </c>
      <c r="P804">
        <f>IF(I804=0,0,(MIN(MAX(K804,0),L804)*W804+SUMPRODUCT((Calc!$A$2:$A$1001=A804)*Calc!$G$2:$G$1001*(((K804-(L804+Calc!$J$2:$J$1001))&gt;0)*((K804-(L804+Calc!$J$2:$J$1001))&lt;Calc!$F$2:$F$1001)*(K804-(L804+Calc!$J$2:$J$1001))+((K804-(L804+Calc!$J$2:$J$1001))&gt;=Calc!$F$2:$F$1001)*Calc!$F$2:$F$1001))))</f>
        <v/>
      </c>
      <c r="Q804">
        <f>IF(I804=0,0,(MIN(MAX((K804+M804),0),L804)*W804+SUMPRODUCT((Calc!$A$2:$A$1001=A804)*Calc!$G$2:$G$1001*((((K804+M804)-(L804+Calc!$J$2:$J$1001))&gt;0)*(((K804+M804)-(L804+Calc!$J$2:$J$1001))&lt;Calc!$F$2:$F$1001)*((K804+M804)-(L804+Calc!$J$2:$J$1001))+(((K804+M804)-(L804+Calc!$J$2:$J$1001))&gt;=Calc!$F$2:$F$1001)*Calc!$F$2:$F$1001))))</f>
        <v/>
      </c>
      <c r="R804">
        <f>IF(I804=0,0,(MIN(MAX((K804+N804),0),L804)*W804+SUMPRODUCT((Calc!$A$2:$A$1001=A804)*Calc!$G$2:$G$1001*((((K804+N804)-(L804+Calc!$J$2:$J$1001))&gt;0)*(((K804+N804)-(L804+Calc!$J$2:$J$1001))&lt;Calc!$F$2:$F$1001)*((K804+N804)-(L804+Calc!$J$2:$J$1001))+(((K804+N804)-(L804+Calc!$J$2:$J$1001))&gt;=Calc!$F$2:$F$1001)*Calc!$F$2:$F$1001))))</f>
        <v/>
      </c>
      <c r="S804">
        <f>IF(I804=0,0,(MIN(MAX((K804+O804),0),L804)*W804+SUMPRODUCT((Calc!$A$2:$A$1001=A804)*Calc!$G$2:$G$1001*((((K804+O804)-(L804+Calc!$J$2:$J$1001))&gt;0)*(((K804+O804)-(L804+Calc!$J$2:$J$1001))&lt;Calc!$F$2:$F$1001)*((K804+O804)-(L804+Calc!$J$2:$J$1001))+(((K804+O804)-(L804+Calc!$J$2:$J$1001))&gt;=Calc!$F$2:$F$1001)*Calc!$F$2:$F$1001))))</f>
        <v/>
      </c>
      <c r="T804">
        <f>IF(AND(E804=1,B804="RETURN"),Transactions!E804*Transactions!G804,0)</f>
        <v/>
      </c>
      <c r="U804">
        <f>IF(AND(E804=1,B804="EXPENSE"),Transactions!J804,0)</f>
        <v/>
      </c>
      <c r="V804">
        <f>IF(AND(Transactions!A804&lt;&gt;"",E804=0),ROW(),"")</f>
        <v/>
      </c>
      <c r="W804">
        <f>IFERROR(VLOOKUP(A804,Opening!$A:$D,4,0),0)</f>
        <v/>
      </c>
    </row>
    <row r="805">
      <c r="A805">
        <f>IF(Transactions!D805="","",UPPER(TRIM(Transactions!D805)))</f>
        <v/>
      </c>
      <c r="B805">
        <f>IF(Transactions!C805="","",UPPER(TRIM(Transactions!C805)))</f>
        <v/>
      </c>
      <c r="C805">
        <f>IF(Transactions!B805="",0,YEAR(Transactions!B805)*100+MONTH(Transactions!B805))</f>
        <v/>
      </c>
      <c r="D805">
        <f>IF(Transactions!A805="",1,IF(COUNTIF(Transactions!$A$1:A804,Transactions!A805)&gt;0,1,0))</f>
        <v/>
      </c>
      <c r="E805">
        <f>IF(D805=1,0,IF(B805="RETURN",IF(COUNTIFS($A$1:A804,A805,$B$1:B804,"SALE",$E$1:E804,1)&gt;0,1,0),1))</f>
        <v/>
      </c>
      <c r="F805">
        <f>IF(E805=1,IF(B805="RECEIPT",Transactions!E805,IF(AND(B805="RETURN",LOWER(TRIM(Transactions!H805))="resellable"),Transactions!E805,0)),0)</f>
        <v/>
      </c>
      <c r="G805">
        <f>IF(F805&gt;0,IF(B805="RECEIPT",Transactions!F805,IF(_xlfn.MAXIFS($H$2:H805,$A$2:A805,A805)&gt;0,INDEX(Transactions!$F:$F,_xlfn.MAXIFS($H$2:H805,$A$2:A805,A805)),W805)),0)</f>
        <v/>
      </c>
      <c r="H805">
        <f>IF(AND(E805=1,B805="RECEIPT"),ROW(),0)</f>
        <v/>
      </c>
      <c r="I805">
        <f>IF(E805=1,IF(OR(B805="SALE",B805="WRITEOFF"),Transactions!E805,0),0)</f>
        <v/>
      </c>
      <c r="J805">
        <f>SUMIFS($F$1:F804,$A$1:A804,A805)</f>
        <v/>
      </c>
      <c r="K805">
        <f>SUMIFS($I$1:I804,$A$1:A804,A805)</f>
        <v/>
      </c>
      <c r="L805">
        <f>IFERROR(VLOOKUP(A805,Opening!$A:$C,3,0),0)</f>
        <v/>
      </c>
      <c r="M805">
        <f>IF(I805=0,0,MAX(0,MIN(INDEX(Month!H$2:H$13,MATCH($A805,Month!$A$2:$A$13,0))-K805,I805)))</f>
        <v/>
      </c>
      <c r="N805">
        <f>IF(I805=0,0,MAX(0,MIN(INDEX(Month!I$2:I$13,MATCH($A805,Month!$A$2:$A$13,0))-K805,I805)))</f>
        <v/>
      </c>
      <c r="O805">
        <f>IF(I805=0,0,MAX(0,MIN(INDEX(Month!J$2:J$13,MATCH($A805,Month!$A$2:$A$13,0))-K805,I805)))</f>
        <v/>
      </c>
      <c r="P805">
        <f>IF(I805=0,0,(MIN(MAX(K805,0),L805)*W805+SUMPRODUCT((Calc!$A$2:$A$1001=A805)*Calc!$G$2:$G$1001*(((K805-(L805+Calc!$J$2:$J$1001))&gt;0)*((K805-(L805+Calc!$J$2:$J$1001))&lt;Calc!$F$2:$F$1001)*(K805-(L805+Calc!$J$2:$J$1001))+((K805-(L805+Calc!$J$2:$J$1001))&gt;=Calc!$F$2:$F$1001)*Calc!$F$2:$F$1001))))</f>
        <v/>
      </c>
      <c r="Q805">
        <f>IF(I805=0,0,(MIN(MAX((K805+M805),0),L805)*W805+SUMPRODUCT((Calc!$A$2:$A$1001=A805)*Calc!$G$2:$G$1001*((((K805+M805)-(L805+Calc!$J$2:$J$1001))&gt;0)*(((K805+M805)-(L805+Calc!$J$2:$J$1001))&lt;Calc!$F$2:$F$1001)*((K805+M805)-(L805+Calc!$J$2:$J$1001))+(((K805+M805)-(L805+Calc!$J$2:$J$1001))&gt;=Calc!$F$2:$F$1001)*Calc!$F$2:$F$1001))))</f>
        <v/>
      </c>
      <c r="R805">
        <f>IF(I805=0,0,(MIN(MAX((K805+N805),0),L805)*W805+SUMPRODUCT((Calc!$A$2:$A$1001=A805)*Calc!$G$2:$G$1001*((((K805+N805)-(L805+Calc!$J$2:$J$1001))&gt;0)*(((K805+N805)-(L805+Calc!$J$2:$J$1001))&lt;Calc!$F$2:$F$1001)*((K805+N805)-(L805+Calc!$J$2:$J$1001))+(((K805+N805)-(L805+Calc!$J$2:$J$1001))&gt;=Calc!$F$2:$F$1001)*Calc!$F$2:$F$1001))))</f>
        <v/>
      </c>
      <c r="S805">
        <f>IF(I805=0,0,(MIN(MAX((K805+O805),0),L805)*W805+SUMPRODUCT((Calc!$A$2:$A$1001=A805)*Calc!$G$2:$G$1001*((((K805+O805)-(L805+Calc!$J$2:$J$1001))&gt;0)*(((K805+O805)-(L805+Calc!$J$2:$J$1001))&lt;Calc!$F$2:$F$1001)*((K805+O805)-(L805+Calc!$J$2:$J$1001))+(((K805+O805)-(L805+Calc!$J$2:$J$1001))&gt;=Calc!$F$2:$F$1001)*Calc!$F$2:$F$1001))))</f>
        <v/>
      </c>
      <c r="T805">
        <f>IF(AND(E805=1,B805="RETURN"),Transactions!E805*Transactions!G805,0)</f>
        <v/>
      </c>
      <c r="U805">
        <f>IF(AND(E805=1,B805="EXPENSE"),Transactions!J805,0)</f>
        <v/>
      </c>
      <c r="V805">
        <f>IF(AND(Transactions!A805&lt;&gt;"",E805=0),ROW(),"")</f>
        <v/>
      </c>
      <c r="W805">
        <f>IFERROR(VLOOKUP(A805,Opening!$A:$D,4,0),0)</f>
        <v/>
      </c>
    </row>
    <row r="806">
      <c r="A806">
        <f>IF(Transactions!D806="","",UPPER(TRIM(Transactions!D806)))</f>
        <v/>
      </c>
      <c r="B806">
        <f>IF(Transactions!C806="","",UPPER(TRIM(Transactions!C806)))</f>
        <v/>
      </c>
      <c r="C806">
        <f>IF(Transactions!B806="",0,YEAR(Transactions!B806)*100+MONTH(Transactions!B806))</f>
        <v/>
      </c>
      <c r="D806">
        <f>IF(Transactions!A806="",1,IF(COUNTIF(Transactions!$A$1:A805,Transactions!A806)&gt;0,1,0))</f>
        <v/>
      </c>
      <c r="E806">
        <f>IF(D806=1,0,IF(B806="RETURN",IF(COUNTIFS($A$1:A805,A806,$B$1:B805,"SALE",$E$1:E805,1)&gt;0,1,0),1))</f>
        <v/>
      </c>
      <c r="F806">
        <f>IF(E806=1,IF(B806="RECEIPT",Transactions!E806,IF(AND(B806="RETURN",LOWER(TRIM(Transactions!H806))="resellable"),Transactions!E806,0)),0)</f>
        <v/>
      </c>
      <c r="G806">
        <f>IF(F806&gt;0,IF(B806="RECEIPT",Transactions!F806,IF(_xlfn.MAXIFS($H$2:H806,$A$2:A806,A806)&gt;0,INDEX(Transactions!$F:$F,_xlfn.MAXIFS($H$2:H806,$A$2:A806,A806)),W806)),0)</f>
        <v/>
      </c>
      <c r="H806">
        <f>IF(AND(E806=1,B806="RECEIPT"),ROW(),0)</f>
        <v/>
      </c>
      <c r="I806">
        <f>IF(E806=1,IF(OR(B806="SALE",B806="WRITEOFF"),Transactions!E806,0),0)</f>
        <v/>
      </c>
      <c r="J806">
        <f>SUMIFS($F$1:F805,$A$1:A805,A806)</f>
        <v/>
      </c>
      <c r="K806">
        <f>SUMIFS($I$1:I805,$A$1:A805,A806)</f>
        <v/>
      </c>
      <c r="L806">
        <f>IFERROR(VLOOKUP(A806,Opening!$A:$C,3,0),0)</f>
        <v/>
      </c>
      <c r="M806">
        <f>IF(I806=0,0,MAX(0,MIN(INDEX(Month!H$2:H$13,MATCH($A806,Month!$A$2:$A$13,0))-K806,I806)))</f>
        <v/>
      </c>
      <c r="N806">
        <f>IF(I806=0,0,MAX(0,MIN(INDEX(Month!I$2:I$13,MATCH($A806,Month!$A$2:$A$13,0))-K806,I806)))</f>
        <v/>
      </c>
      <c r="O806">
        <f>IF(I806=0,0,MAX(0,MIN(INDEX(Month!J$2:J$13,MATCH($A806,Month!$A$2:$A$13,0))-K806,I806)))</f>
        <v/>
      </c>
      <c r="P806">
        <f>IF(I806=0,0,(MIN(MAX(K806,0),L806)*W806+SUMPRODUCT((Calc!$A$2:$A$1001=A806)*Calc!$G$2:$G$1001*(((K806-(L806+Calc!$J$2:$J$1001))&gt;0)*((K806-(L806+Calc!$J$2:$J$1001))&lt;Calc!$F$2:$F$1001)*(K806-(L806+Calc!$J$2:$J$1001))+((K806-(L806+Calc!$J$2:$J$1001))&gt;=Calc!$F$2:$F$1001)*Calc!$F$2:$F$1001))))</f>
        <v/>
      </c>
      <c r="Q806">
        <f>IF(I806=0,0,(MIN(MAX((K806+M806),0),L806)*W806+SUMPRODUCT((Calc!$A$2:$A$1001=A806)*Calc!$G$2:$G$1001*((((K806+M806)-(L806+Calc!$J$2:$J$1001))&gt;0)*(((K806+M806)-(L806+Calc!$J$2:$J$1001))&lt;Calc!$F$2:$F$1001)*((K806+M806)-(L806+Calc!$J$2:$J$1001))+(((K806+M806)-(L806+Calc!$J$2:$J$1001))&gt;=Calc!$F$2:$F$1001)*Calc!$F$2:$F$1001))))</f>
        <v/>
      </c>
      <c r="R806">
        <f>IF(I806=0,0,(MIN(MAX((K806+N806),0),L806)*W806+SUMPRODUCT((Calc!$A$2:$A$1001=A806)*Calc!$G$2:$G$1001*((((K806+N806)-(L806+Calc!$J$2:$J$1001))&gt;0)*(((K806+N806)-(L806+Calc!$J$2:$J$1001))&lt;Calc!$F$2:$F$1001)*((K806+N806)-(L806+Calc!$J$2:$J$1001))+(((K806+N806)-(L806+Calc!$J$2:$J$1001))&gt;=Calc!$F$2:$F$1001)*Calc!$F$2:$F$1001))))</f>
        <v/>
      </c>
      <c r="S806">
        <f>IF(I806=0,0,(MIN(MAX((K806+O806),0),L806)*W806+SUMPRODUCT((Calc!$A$2:$A$1001=A806)*Calc!$G$2:$G$1001*((((K806+O806)-(L806+Calc!$J$2:$J$1001))&gt;0)*(((K806+O806)-(L806+Calc!$J$2:$J$1001))&lt;Calc!$F$2:$F$1001)*((K806+O806)-(L806+Calc!$J$2:$J$1001))+(((K806+O806)-(L806+Calc!$J$2:$J$1001))&gt;=Calc!$F$2:$F$1001)*Calc!$F$2:$F$1001))))</f>
        <v/>
      </c>
      <c r="T806">
        <f>IF(AND(E806=1,B806="RETURN"),Transactions!E806*Transactions!G806,0)</f>
        <v/>
      </c>
      <c r="U806">
        <f>IF(AND(E806=1,B806="EXPENSE"),Transactions!J806,0)</f>
        <v/>
      </c>
      <c r="V806">
        <f>IF(AND(Transactions!A806&lt;&gt;"",E806=0),ROW(),"")</f>
        <v/>
      </c>
      <c r="W806">
        <f>IFERROR(VLOOKUP(A806,Opening!$A:$D,4,0),0)</f>
        <v/>
      </c>
    </row>
    <row r="807">
      <c r="A807">
        <f>IF(Transactions!D807="","",UPPER(TRIM(Transactions!D807)))</f>
        <v/>
      </c>
      <c r="B807">
        <f>IF(Transactions!C807="","",UPPER(TRIM(Transactions!C807)))</f>
        <v/>
      </c>
      <c r="C807">
        <f>IF(Transactions!B807="",0,YEAR(Transactions!B807)*100+MONTH(Transactions!B807))</f>
        <v/>
      </c>
      <c r="D807">
        <f>IF(Transactions!A807="",1,IF(COUNTIF(Transactions!$A$1:A806,Transactions!A807)&gt;0,1,0))</f>
        <v/>
      </c>
      <c r="E807">
        <f>IF(D807=1,0,IF(B807="RETURN",IF(COUNTIFS($A$1:A806,A807,$B$1:B806,"SALE",$E$1:E806,1)&gt;0,1,0),1))</f>
        <v/>
      </c>
      <c r="F807">
        <f>IF(E807=1,IF(B807="RECEIPT",Transactions!E807,IF(AND(B807="RETURN",LOWER(TRIM(Transactions!H807))="resellable"),Transactions!E807,0)),0)</f>
        <v/>
      </c>
      <c r="G807">
        <f>IF(F807&gt;0,IF(B807="RECEIPT",Transactions!F807,IF(_xlfn.MAXIFS($H$2:H807,$A$2:A807,A807)&gt;0,INDEX(Transactions!$F:$F,_xlfn.MAXIFS($H$2:H807,$A$2:A807,A807)),W807)),0)</f>
        <v/>
      </c>
      <c r="H807">
        <f>IF(AND(E807=1,B807="RECEIPT"),ROW(),0)</f>
        <v/>
      </c>
      <c r="I807">
        <f>IF(E807=1,IF(OR(B807="SALE",B807="WRITEOFF"),Transactions!E807,0),0)</f>
        <v/>
      </c>
      <c r="J807">
        <f>SUMIFS($F$1:F806,$A$1:A806,A807)</f>
        <v/>
      </c>
      <c r="K807">
        <f>SUMIFS($I$1:I806,$A$1:A806,A807)</f>
        <v/>
      </c>
      <c r="L807">
        <f>IFERROR(VLOOKUP(A807,Opening!$A:$C,3,0),0)</f>
        <v/>
      </c>
      <c r="M807">
        <f>IF(I807=0,0,MAX(0,MIN(INDEX(Month!H$2:H$13,MATCH($A807,Month!$A$2:$A$13,0))-K807,I807)))</f>
        <v/>
      </c>
      <c r="N807">
        <f>IF(I807=0,0,MAX(0,MIN(INDEX(Month!I$2:I$13,MATCH($A807,Month!$A$2:$A$13,0))-K807,I807)))</f>
        <v/>
      </c>
      <c r="O807">
        <f>IF(I807=0,0,MAX(0,MIN(INDEX(Month!J$2:J$13,MATCH($A807,Month!$A$2:$A$13,0))-K807,I807)))</f>
        <v/>
      </c>
      <c r="P807">
        <f>IF(I807=0,0,(MIN(MAX(K807,0),L807)*W807+SUMPRODUCT((Calc!$A$2:$A$1001=A807)*Calc!$G$2:$G$1001*(((K807-(L807+Calc!$J$2:$J$1001))&gt;0)*((K807-(L807+Calc!$J$2:$J$1001))&lt;Calc!$F$2:$F$1001)*(K807-(L807+Calc!$J$2:$J$1001))+((K807-(L807+Calc!$J$2:$J$1001))&gt;=Calc!$F$2:$F$1001)*Calc!$F$2:$F$1001))))</f>
        <v/>
      </c>
      <c r="Q807">
        <f>IF(I807=0,0,(MIN(MAX((K807+M807),0),L807)*W807+SUMPRODUCT((Calc!$A$2:$A$1001=A807)*Calc!$G$2:$G$1001*((((K807+M807)-(L807+Calc!$J$2:$J$1001))&gt;0)*(((K807+M807)-(L807+Calc!$J$2:$J$1001))&lt;Calc!$F$2:$F$1001)*((K807+M807)-(L807+Calc!$J$2:$J$1001))+(((K807+M807)-(L807+Calc!$J$2:$J$1001))&gt;=Calc!$F$2:$F$1001)*Calc!$F$2:$F$1001))))</f>
        <v/>
      </c>
      <c r="R807">
        <f>IF(I807=0,0,(MIN(MAX((K807+N807),0),L807)*W807+SUMPRODUCT((Calc!$A$2:$A$1001=A807)*Calc!$G$2:$G$1001*((((K807+N807)-(L807+Calc!$J$2:$J$1001))&gt;0)*(((K807+N807)-(L807+Calc!$J$2:$J$1001))&lt;Calc!$F$2:$F$1001)*((K807+N807)-(L807+Calc!$J$2:$J$1001))+(((K807+N807)-(L807+Calc!$J$2:$J$1001))&gt;=Calc!$F$2:$F$1001)*Calc!$F$2:$F$1001))))</f>
        <v/>
      </c>
      <c r="S807">
        <f>IF(I807=0,0,(MIN(MAX((K807+O807),0),L807)*W807+SUMPRODUCT((Calc!$A$2:$A$1001=A807)*Calc!$G$2:$G$1001*((((K807+O807)-(L807+Calc!$J$2:$J$1001))&gt;0)*(((K807+O807)-(L807+Calc!$J$2:$J$1001))&lt;Calc!$F$2:$F$1001)*((K807+O807)-(L807+Calc!$J$2:$J$1001))+(((K807+O807)-(L807+Calc!$J$2:$J$1001))&gt;=Calc!$F$2:$F$1001)*Calc!$F$2:$F$1001))))</f>
        <v/>
      </c>
      <c r="T807">
        <f>IF(AND(E807=1,B807="RETURN"),Transactions!E807*Transactions!G807,0)</f>
        <v/>
      </c>
      <c r="U807">
        <f>IF(AND(E807=1,B807="EXPENSE"),Transactions!J807,0)</f>
        <v/>
      </c>
      <c r="V807">
        <f>IF(AND(Transactions!A807&lt;&gt;"",E807=0),ROW(),"")</f>
        <v/>
      </c>
      <c r="W807">
        <f>IFERROR(VLOOKUP(A807,Opening!$A:$D,4,0),0)</f>
        <v/>
      </c>
    </row>
    <row r="808">
      <c r="A808">
        <f>IF(Transactions!D808="","",UPPER(TRIM(Transactions!D808)))</f>
        <v/>
      </c>
      <c r="B808">
        <f>IF(Transactions!C808="","",UPPER(TRIM(Transactions!C808)))</f>
        <v/>
      </c>
      <c r="C808">
        <f>IF(Transactions!B808="",0,YEAR(Transactions!B808)*100+MONTH(Transactions!B808))</f>
        <v/>
      </c>
      <c r="D808">
        <f>IF(Transactions!A808="",1,IF(COUNTIF(Transactions!$A$1:A807,Transactions!A808)&gt;0,1,0))</f>
        <v/>
      </c>
      <c r="E808">
        <f>IF(D808=1,0,IF(B808="RETURN",IF(COUNTIFS($A$1:A807,A808,$B$1:B807,"SALE",$E$1:E807,1)&gt;0,1,0),1))</f>
        <v/>
      </c>
      <c r="F808">
        <f>IF(E808=1,IF(B808="RECEIPT",Transactions!E808,IF(AND(B808="RETURN",LOWER(TRIM(Transactions!H808))="resellable"),Transactions!E808,0)),0)</f>
        <v/>
      </c>
      <c r="G808">
        <f>IF(F808&gt;0,IF(B808="RECEIPT",Transactions!F808,IF(_xlfn.MAXIFS($H$2:H808,$A$2:A808,A808)&gt;0,INDEX(Transactions!$F:$F,_xlfn.MAXIFS($H$2:H808,$A$2:A808,A808)),W808)),0)</f>
        <v/>
      </c>
      <c r="H808">
        <f>IF(AND(E808=1,B808="RECEIPT"),ROW(),0)</f>
        <v/>
      </c>
      <c r="I808">
        <f>IF(E808=1,IF(OR(B808="SALE",B808="WRITEOFF"),Transactions!E808,0),0)</f>
        <v/>
      </c>
      <c r="J808">
        <f>SUMIFS($F$1:F807,$A$1:A807,A808)</f>
        <v/>
      </c>
      <c r="K808">
        <f>SUMIFS($I$1:I807,$A$1:A807,A808)</f>
        <v/>
      </c>
      <c r="L808">
        <f>IFERROR(VLOOKUP(A808,Opening!$A:$C,3,0),0)</f>
        <v/>
      </c>
      <c r="M808">
        <f>IF(I808=0,0,MAX(0,MIN(INDEX(Month!H$2:H$13,MATCH($A808,Month!$A$2:$A$13,0))-K808,I808)))</f>
        <v/>
      </c>
      <c r="N808">
        <f>IF(I808=0,0,MAX(0,MIN(INDEX(Month!I$2:I$13,MATCH($A808,Month!$A$2:$A$13,0))-K808,I808)))</f>
        <v/>
      </c>
      <c r="O808">
        <f>IF(I808=0,0,MAX(0,MIN(INDEX(Month!J$2:J$13,MATCH($A808,Month!$A$2:$A$13,0))-K808,I808)))</f>
        <v/>
      </c>
      <c r="P808">
        <f>IF(I808=0,0,(MIN(MAX(K808,0),L808)*W808+SUMPRODUCT((Calc!$A$2:$A$1001=A808)*Calc!$G$2:$G$1001*(((K808-(L808+Calc!$J$2:$J$1001))&gt;0)*((K808-(L808+Calc!$J$2:$J$1001))&lt;Calc!$F$2:$F$1001)*(K808-(L808+Calc!$J$2:$J$1001))+((K808-(L808+Calc!$J$2:$J$1001))&gt;=Calc!$F$2:$F$1001)*Calc!$F$2:$F$1001))))</f>
        <v/>
      </c>
      <c r="Q808">
        <f>IF(I808=0,0,(MIN(MAX((K808+M808),0),L808)*W808+SUMPRODUCT((Calc!$A$2:$A$1001=A808)*Calc!$G$2:$G$1001*((((K808+M808)-(L808+Calc!$J$2:$J$1001))&gt;0)*(((K808+M808)-(L808+Calc!$J$2:$J$1001))&lt;Calc!$F$2:$F$1001)*((K808+M808)-(L808+Calc!$J$2:$J$1001))+(((K808+M808)-(L808+Calc!$J$2:$J$1001))&gt;=Calc!$F$2:$F$1001)*Calc!$F$2:$F$1001))))</f>
        <v/>
      </c>
      <c r="R808">
        <f>IF(I808=0,0,(MIN(MAX((K808+N808),0),L808)*W808+SUMPRODUCT((Calc!$A$2:$A$1001=A808)*Calc!$G$2:$G$1001*((((K808+N808)-(L808+Calc!$J$2:$J$1001))&gt;0)*(((K808+N808)-(L808+Calc!$J$2:$J$1001))&lt;Calc!$F$2:$F$1001)*((K808+N808)-(L808+Calc!$J$2:$J$1001))+(((K808+N808)-(L808+Calc!$J$2:$J$1001))&gt;=Calc!$F$2:$F$1001)*Calc!$F$2:$F$1001))))</f>
        <v/>
      </c>
      <c r="S808">
        <f>IF(I808=0,0,(MIN(MAX((K808+O808),0),L808)*W808+SUMPRODUCT((Calc!$A$2:$A$1001=A808)*Calc!$G$2:$G$1001*((((K808+O808)-(L808+Calc!$J$2:$J$1001))&gt;0)*(((K808+O808)-(L808+Calc!$J$2:$J$1001))&lt;Calc!$F$2:$F$1001)*((K808+O808)-(L808+Calc!$J$2:$J$1001))+(((K808+O808)-(L808+Calc!$J$2:$J$1001))&gt;=Calc!$F$2:$F$1001)*Calc!$F$2:$F$1001))))</f>
        <v/>
      </c>
      <c r="T808">
        <f>IF(AND(E808=1,B808="RETURN"),Transactions!E808*Transactions!G808,0)</f>
        <v/>
      </c>
      <c r="U808">
        <f>IF(AND(E808=1,B808="EXPENSE"),Transactions!J808,0)</f>
        <v/>
      </c>
      <c r="V808">
        <f>IF(AND(Transactions!A808&lt;&gt;"",E808=0),ROW(),"")</f>
        <v/>
      </c>
      <c r="W808">
        <f>IFERROR(VLOOKUP(A808,Opening!$A:$D,4,0),0)</f>
        <v/>
      </c>
    </row>
    <row r="809">
      <c r="A809">
        <f>IF(Transactions!D809="","",UPPER(TRIM(Transactions!D809)))</f>
        <v/>
      </c>
      <c r="B809">
        <f>IF(Transactions!C809="","",UPPER(TRIM(Transactions!C809)))</f>
        <v/>
      </c>
      <c r="C809">
        <f>IF(Transactions!B809="",0,YEAR(Transactions!B809)*100+MONTH(Transactions!B809))</f>
        <v/>
      </c>
      <c r="D809">
        <f>IF(Transactions!A809="",1,IF(COUNTIF(Transactions!$A$1:A808,Transactions!A809)&gt;0,1,0))</f>
        <v/>
      </c>
      <c r="E809">
        <f>IF(D809=1,0,IF(B809="RETURN",IF(COUNTIFS($A$1:A808,A809,$B$1:B808,"SALE",$E$1:E808,1)&gt;0,1,0),1))</f>
        <v/>
      </c>
      <c r="F809">
        <f>IF(E809=1,IF(B809="RECEIPT",Transactions!E809,IF(AND(B809="RETURN",LOWER(TRIM(Transactions!H809))="resellable"),Transactions!E809,0)),0)</f>
        <v/>
      </c>
      <c r="G809">
        <f>IF(F809&gt;0,IF(B809="RECEIPT",Transactions!F809,IF(_xlfn.MAXIFS($H$2:H809,$A$2:A809,A809)&gt;0,INDEX(Transactions!$F:$F,_xlfn.MAXIFS($H$2:H809,$A$2:A809,A809)),W809)),0)</f>
        <v/>
      </c>
      <c r="H809">
        <f>IF(AND(E809=1,B809="RECEIPT"),ROW(),0)</f>
        <v/>
      </c>
      <c r="I809">
        <f>IF(E809=1,IF(OR(B809="SALE",B809="WRITEOFF"),Transactions!E809,0),0)</f>
        <v/>
      </c>
      <c r="J809">
        <f>SUMIFS($F$1:F808,$A$1:A808,A809)</f>
        <v/>
      </c>
      <c r="K809">
        <f>SUMIFS($I$1:I808,$A$1:A808,A809)</f>
        <v/>
      </c>
      <c r="L809">
        <f>IFERROR(VLOOKUP(A809,Opening!$A:$C,3,0),0)</f>
        <v/>
      </c>
      <c r="M809">
        <f>IF(I809=0,0,MAX(0,MIN(INDEX(Month!H$2:H$13,MATCH($A809,Month!$A$2:$A$13,0))-K809,I809)))</f>
        <v/>
      </c>
      <c r="N809">
        <f>IF(I809=0,0,MAX(0,MIN(INDEX(Month!I$2:I$13,MATCH($A809,Month!$A$2:$A$13,0))-K809,I809)))</f>
        <v/>
      </c>
      <c r="O809">
        <f>IF(I809=0,0,MAX(0,MIN(INDEX(Month!J$2:J$13,MATCH($A809,Month!$A$2:$A$13,0))-K809,I809)))</f>
        <v/>
      </c>
      <c r="P809">
        <f>IF(I809=0,0,(MIN(MAX(K809,0),L809)*W809+SUMPRODUCT((Calc!$A$2:$A$1001=A809)*Calc!$G$2:$G$1001*(((K809-(L809+Calc!$J$2:$J$1001))&gt;0)*((K809-(L809+Calc!$J$2:$J$1001))&lt;Calc!$F$2:$F$1001)*(K809-(L809+Calc!$J$2:$J$1001))+((K809-(L809+Calc!$J$2:$J$1001))&gt;=Calc!$F$2:$F$1001)*Calc!$F$2:$F$1001))))</f>
        <v/>
      </c>
      <c r="Q809">
        <f>IF(I809=0,0,(MIN(MAX((K809+M809),0),L809)*W809+SUMPRODUCT((Calc!$A$2:$A$1001=A809)*Calc!$G$2:$G$1001*((((K809+M809)-(L809+Calc!$J$2:$J$1001))&gt;0)*(((K809+M809)-(L809+Calc!$J$2:$J$1001))&lt;Calc!$F$2:$F$1001)*((K809+M809)-(L809+Calc!$J$2:$J$1001))+(((K809+M809)-(L809+Calc!$J$2:$J$1001))&gt;=Calc!$F$2:$F$1001)*Calc!$F$2:$F$1001))))</f>
        <v/>
      </c>
      <c r="R809">
        <f>IF(I809=0,0,(MIN(MAX((K809+N809),0),L809)*W809+SUMPRODUCT((Calc!$A$2:$A$1001=A809)*Calc!$G$2:$G$1001*((((K809+N809)-(L809+Calc!$J$2:$J$1001))&gt;0)*(((K809+N809)-(L809+Calc!$J$2:$J$1001))&lt;Calc!$F$2:$F$1001)*((K809+N809)-(L809+Calc!$J$2:$J$1001))+(((K809+N809)-(L809+Calc!$J$2:$J$1001))&gt;=Calc!$F$2:$F$1001)*Calc!$F$2:$F$1001))))</f>
        <v/>
      </c>
      <c r="S809">
        <f>IF(I809=0,0,(MIN(MAX((K809+O809),0),L809)*W809+SUMPRODUCT((Calc!$A$2:$A$1001=A809)*Calc!$G$2:$G$1001*((((K809+O809)-(L809+Calc!$J$2:$J$1001))&gt;0)*(((K809+O809)-(L809+Calc!$J$2:$J$1001))&lt;Calc!$F$2:$F$1001)*((K809+O809)-(L809+Calc!$J$2:$J$1001))+(((K809+O809)-(L809+Calc!$J$2:$J$1001))&gt;=Calc!$F$2:$F$1001)*Calc!$F$2:$F$1001))))</f>
        <v/>
      </c>
      <c r="T809">
        <f>IF(AND(E809=1,B809="RETURN"),Transactions!E809*Transactions!G809,0)</f>
        <v/>
      </c>
      <c r="U809">
        <f>IF(AND(E809=1,B809="EXPENSE"),Transactions!J809,0)</f>
        <v/>
      </c>
      <c r="V809">
        <f>IF(AND(Transactions!A809&lt;&gt;"",E809=0),ROW(),"")</f>
        <v/>
      </c>
      <c r="W809">
        <f>IFERROR(VLOOKUP(A809,Opening!$A:$D,4,0),0)</f>
        <v/>
      </c>
    </row>
    <row r="810">
      <c r="A810">
        <f>IF(Transactions!D810="","",UPPER(TRIM(Transactions!D810)))</f>
        <v/>
      </c>
      <c r="B810">
        <f>IF(Transactions!C810="","",UPPER(TRIM(Transactions!C810)))</f>
        <v/>
      </c>
      <c r="C810">
        <f>IF(Transactions!B810="",0,YEAR(Transactions!B810)*100+MONTH(Transactions!B810))</f>
        <v/>
      </c>
      <c r="D810">
        <f>IF(Transactions!A810="",1,IF(COUNTIF(Transactions!$A$1:A809,Transactions!A810)&gt;0,1,0))</f>
        <v/>
      </c>
      <c r="E810">
        <f>IF(D810=1,0,IF(B810="RETURN",IF(COUNTIFS($A$1:A809,A810,$B$1:B809,"SALE",$E$1:E809,1)&gt;0,1,0),1))</f>
        <v/>
      </c>
      <c r="F810">
        <f>IF(E810=1,IF(B810="RECEIPT",Transactions!E810,IF(AND(B810="RETURN",LOWER(TRIM(Transactions!H810))="resellable"),Transactions!E810,0)),0)</f>
        <v/>
      </c>
      <c r="G810">
        <f>IF(F810&gt;0,IF(B810="RECEIPT",Transactions!F810,IF(_xlfn.MAXIFS($H$2:H810,$A$2:A810,A810)&gt;0,INDEX(Transactions!$F:$F,_xlfn.MAXIFS($H$2:H810,$A$2:A810,A810)),W810)),0)</f>
        <v/>
      </c>
      <c r="H810">
        <f>IF(AND(E810=1,B810="RECEIPT"),ROW(),0)</f>
        <v/>
      </c>
      <c r="I810">
        <f>IF(E810=1,IF(OR(B810="SALE",B810="WRITEOFF"),Transactions!E810,0),0)</f>
        <v/>
      </c>
      <c r="J810">
        <f>SUMIFS($F$1:F809,$A$1:A809,A810)</f>
        <v/>
      </c>
      <c r="K810">
        <f>SUMIFS($I$1:I809,$A$1:A809,A810)</f>
        <v/>
      </c>
      <c r="L810">
        <f>IFERROR(VLOOKUP(A810,Opening!$A:$C,3,0),0)</f>
        <v/>
      </c>
      <c r="M810">
        <f>IF(I810=0,0,MAX(0,MIN(INDEX(Month!H$2:H$13,MATCH($A810,Month!$A$2:$A$13,0))-K810,I810)))</f>
        <v/>
      </c>
      <c r="N810">
        <f>IF(I810=0,0,MAX(0,MIN(INDEX(Month!I$2:I$13,MATCH($A810,Month!$A$2:$A$13,0))-K810,I810)))</f>
        <v/>
      </c>
      <c r="O810">
        <f>IF(I810=0,0,MAX(0,MIN(INDEX(Month!J$2:J$13,MATCH($A810,Month!$A$2:$A$13,0))-K810,I810)))</f>
        <v/>
      </c>
      <c r="P810">
        <f>IF(I810=0,0,(MIN(MAX(K810,0),L810)*W810+SUMPRODUCT((Calc!$A$2:$A$1001=A810)*Calc!$G$2:$G$1001*(((K810-(L810+Calc!$J$2:$J$1001))&gt;0)*((K810-(L810+Calc!$J$2:$J$1001))&lt;Calc!$F$2:$F$1001)*(K810-(L810+Calc!$J$2:$J$1001))+((K810-(L810+Calc!$J$2:$J$1001))&gt;=Calc!$F$2:$F$1001)*Calc!$F$2:$F$1001))))</f>
        <v/>
      </c>
      <c r="Q810">
        <f>IF(I810=0,0,(MIN(MAX((K810+M810),0),L810)*W810+SUMPRODUCT((Calc!$A$2:$A$1001=A810)*Calc!$G$2:$G$1001*((((K810+M810)-(L810+Calc!$J$2:$J$1001))&gt;0)*(((K810+M810)-(L810+Calc!$J$2:$J$1001))&lt;Calc!$F$2:$F$1001)*((K810+M810)-(L810+Calc!$J$2:$J$1001))+(((K810+M810)-(L810+Calc!$J$2:$J$1001))&gt;=Calc!$F$2:$F$1001)*Calc!$F$2:$F$1001))))</f>
        <v/>
      </c>
      <c r="R810">
        <f>IF(I810=0,0,(MIN(MAX((K810+N810),0),L810)*W810+SUMPRODUCT((Calc!$A$2:$A$1001=A810)*Calc!$G$2:$G$1001*((((K810+N810)-(L810+Calc!$J$2:$J$1001))&gt;0)*(((K810+N810)-(L810+Calc!$J$2:$J$1001))&lt;Calc!$F$2:$F$1001)*((K810+N810)-(L810+Calc!$J$2:$J$1001))+(((K810+N810)-(L810+Calc!$J$2:$J$1001))&gt;=Calc!$F$2:$F$1001)*Calc!$F$2:$F$1001))))</f>
        <v/>
      </c>
      <c r="S810">
        <f>IF(I810=0,0,(MIN(MAX((K810+O810),0),L810)*W810+SUMPRODUCT((Calc!$A$2:$A$1001=A810)*Calc!$G$2:$G$1001*((((K810+O810)-(L810+Calc!$J$2:$J$1001))&gt;0)*(((K810+O810)-(L810+Calc!$J$2:$J$1001))&lt;Calc!$F$2:$F$1001)*((K810+O810)-(L810+Calc!$J$2:$J$1001))+(((K810+O810)-(L810+Calc!$J$2:$J$1001))&gt;=Calc!$F$2:$F$1001)*Calc!$F$2:$F$1001))))</f>
        <v/>
      </c>
      <c r="T810">
        <f>IF(AND(E810=1,B810="RETURN"),Transactions!E810*Transactions!G810,0)</f>
        <v/>
      </c>
      <c r="U810">
        <f>IF(AND(E810=1,B810="EXPENSE"),Transactions!J810,0)</f>
        <v/>
      </c>
      <c r="V810">
        <f>IF(AND(Transactions!A810&lt;&gt;"",E810=0),ROW(),"")</f>
        <v/>
      </c>
      <c r="W810">
        <f>IFERROR(VLOOKUP(A810,Opening!$A:$D,4,0),0)</f>
        <v/>
      </c>
    </row>
    <row r="811">
      <c r="A811">
        <f>IF(Transactions!D811="","",UPPER(TRIM(Transactions!D811)))</f>
        <v/>
      </c>
      <c r="B811">
        <f>IF(Transactions!C811="","",UPPER(TRIM(Transactions!C811)))</f>
        <v/>
      </c>
      <c r="C811">
        <f>IF(Transactions!B811="",0,YEAR(Transactions!B811)*100+MONTH(Transactions!B811))</f>
        <v/>
      </c>
      <c r="D811">
        <f>IF(Transactions!A811="",1,IF(COUNTIF(Transactions!$A$1:A810,Transactions!A811)&gt;0,1,0))</f>
        <v/>
      </c>
      <c r="E811">
        <f>IF(D811=1,0,IF(B811="RETURN",IF(COUNTIFS($A$1:A810,A811,$B$1:B810,"SALE",$E$1:E810,1)&gt;0,1,0),1))</f>
        <v/>
      </c>
      <c r="F811">
        <f>IF(E811=1,IF(B811="RECEIPT",Transactions!E811,IF(AND(B811="RETURN",LOWER(TRIM(Transactions!H811))="resellable"),Transactions!E811,0)),0)</f>
        <v/>
      </c>
      <c r="G811">
        <f>IF(F811&gt;0,IF(B811="RECEIPT",Transactions!F811,IF(_xlfn.MAXIFS($H$2:H811,$A$2:A811,A811)&gt;0,INDEX(Transactions!$F:$F,_xlfn.MAXIFS($H$2:H811,$A$2:A811,A811)),W811)),0)</f>
        <v/>
      </c>
      <c r="H811">
        <f>IF(AND(E811=1,B811="RECEIPT"),ROW(),0)</f>
        <v/>
      </c>
      <c r="I811">
        <f>IF(E811=1,IF(OR(B811="SALE",B811="WRITEOFF"),Transactions!E811,0),0)</f>
        <v/>
      </c>
      <c r="J811">
        <f>SUMIFS($F$1:F810,$A$1:A810,A811)</f>
        <v/>
      </c>
      <c r="K811">
        <f>SUMIFS($I$1:I810,$A$1:A810,A811)</f>
        <v/>
      </c>
      <c r="L811">
        <f>IFERROR(VLOOKUP(A811,Opening!$A:$C,3,0),0)</f>
        <v/>
      </c>
      <c r="M811">
        <f>IF(I811=0,0,MAX(0,MIN(INDEX(Month!H$2:H$13,MATCH($A811,Month!$A$2:$A$13,0))-K811,I811)))</f>
        <v/>
      </c>
      <c r="N811">
        <f>IF(I811=0,0,MAX(0,MIN(INDEX(Month!I$2:I$13,MATCH($A811,Month!$A$2:$A$13,0))-K811,I811)))</f>
        <v/>
      </c>
      <c r="O811">
        <f>IF(I811=0,0,MAX(0,MIN(INDEX(Month!J$2:J$13,MATCH($A811,Month!$A$2:$A$13,0))-K811,I811)))</f>
        <v/>
      </c>
      <c r="P811">
        <f>IF(I811=0,0,(MIN(MAX(K811,0),L811)*W811+SUMPRODUCT((Calc!$A$2:$A$1001=A811)*Calc!$G$2:$G$1001*(((K811-(L811+Calc!$J$2:$J$1001))&gt;0)*((K811-(L811+Calc!$J$2:$J$1001))&lt;Calc!$F$2:$F$1001)*(K811-(L811+Calc!$J$2:$J$1001))+((K811-(L811+Calc!$J$2:$J$1001))&gt;=Calc!$F$2:$F$1001)*Calc!$F$2:$F$1001))))</f>
        <v/>
      </c>
      <c r="Q811">
        <f>IF(I811=0,0,(MIN(MAX((K811+M811),0),L811)*W811+SUMPRODUCT((Calc!$A$2:$A$1001=A811)*Calc!$G$2:$G$1001*((((K811+M811)-(L811+Calc!$J$2:$J$1001))&gt;0)*(((K811+M811)-(L811+Calc!$J$2:$J$1001))&lt;Calc!$F$2:$F$1001)*((K811+M811)-(L811+Calc!$J$2:$J$1001))+(((K811+M811)-(L811+Calc!$J$2:$J$1001))&gt;=Calc!$F$2:$F$1001)*Calc!$F$2:$F$1001))))</f>
        <v/>
      </c>
      <c r="R811">
        <f>IF(I811=0,0,(MIN(MAX((K811+N811),0),L811)*W811+SUMPRODUCT((Calc!$A$2:$A$1001=A811)*Calc!$G$2:$G$1001*((((K811+N811)-(L811+Calc!$J$2:$J$1001))&gt;0)*(((K811+N811)-(L811+Calc!$J$2:$J$1001))&lt;Calc!$F$2:$F$1001)*((K811+N811)-(L811+Calc!$J$2:$J$1001))+(((K811+N811)-(L811+Calc!$J$2:$J$1001))&gt;=Calc!$F$2:$F$1001)*Calc!$F$2:$F$1001))))</f>
        <v/>
      </c>
      <c r="S811">
        <f>IF(I811=0,0,(MIN(MAX((K811+O811),0),L811)*W811+SUMPRODUCT((Calc!$A$2:$A$1001=A811)*Calc!$G$2:$G$1001*((((K811+O811)-(L811+Calc!$J$2:$J$1001))&gt;0)*(((K811+O811)-(L811+Calc!$J$2:$J$1001))&lt;Calc!$F$2:$F$1001)*((K811+O811)-(L811+Calc!$J$2:$J$1001))+(((K811+O811)-(L811+Calc!$J$2:$J$1001))&gt;=Calc!$F$2:$F$1001)*Calc!$F$2:$F$1001))))</f>
        <v/>
      </c>
      <c r="T811">
        <f>IF(AND(E811=1,B811="RETURN"),Transactions!E811*Transactions!G811,0)</f>
        <v/>
      </c>
      <c r="U811">
        <f>IF(AND(E811=1,B811="EXPENSE"),Transactions!J811,0)</f>
        <v/>
      </c>
      <c r="V811">
        <f>IF(AND(Transactions!A811&lt;&gt;"",E811=0),ROW(),"")</f>
        <v/>
      </c>
      <c r="W811">
        <f>IFERROR(VLOOKUP(A811,Opening!$A:$D,4,0),0)</f>
        <v/>
      </c>
    </row>
    <row r="812">
      <c r="A812">
        <f>IF(Transactions!D812="","",UPPER(TRIM(Transactions!D812)))</f>
        <v/>
      </c>
      <c r="B812">
        <f>IF(Transactions!C812="","",UPPER(TRIM(Transactions!C812)))</f>
        <v/>
      </c>
      <c r="C812">
        <f>IF(Transactions!B812="",0,YEAR(Transactions!B812)*100+MONTH(Transactions!B812))</f>
        <v/>
      </c>
      <c r="D812">
        <f>IF(Transactions!A812="",1,IF(COUNTIF(Transactions!$A$1:A811,Transactions!A812)&gt;0,1,0))</f>
        <v/>
      </c>
      <c r="E812">
        <f>IF(D812=1,0,IF(B812="RETURN",IF(COUNTIFS($A$1:A811,A812,$B$1:B811,"SALE",$E$1:E811,1)&gt;0,1,0),1))</f>
        <v/>
      </c>
      <c r="F812">
        <f>IF(E812=1,IF(B812="RECEIPT",Transactions!E812,IF(AND(B812="RETURN",LOWER(TRIM(Transactions!H812))="resellable"),Transactions!E812,0)),0)</f>
        <v/>
      </c>
      <c r="G812">
        <f>IF(F812&gt;0,IF(B812="RECEIPT",Transactions!F812,IF(_xlfn.MAXIFS($H$2:H812,$A$2:A812,A812)&gt;0,INDEX(Transactions!$F:$F,_xlfn.MAXIFS($H$2:H812,$A$2:A812,A812)),W812)),0)</f>
        <v/>
      </c>
      <c r="H812">
        <f>IF(AND(E812=1,B812="RECEIPT"),ROW(),0)</f>
        <v/>
      </c>
      <c r="I812">
        <f>IF(E812=1,IF(OR(B812="SALE",B812="WRITEOFF"),Transactions!E812,0),0)</f>
        <v/>
      </c>
      <c r="J812">
        <f>SUMIFS($F$1:F811,$A$1:A811,A812)</f>
        <v/>
      </c>
      <c r="K812">
        <f>SUMIFS($I$1:I811,$A$1:A811,A812)</f>
        <v/>
      </c>
      <c r="L812">
        <f>IFERROR(VLOOKUP(A812,Opening!$A:$C,3,0),0)</f>
        <v/>
      </c>
      <c r="M812">
        <f>IF(I812=0,0,MAX(0,MIN(INDEX(Month!H$2:H$13,MATCH($A812,Month!$A$2:$A$13,0))-K812,I812)))</f>
        <v/>
      </c>
      <c r="N812">
        <f>IF(I812=0,0,MAX(0,MIN(INDEX(Month!I$2:I$13,MATCH($A812,Month!$A$2:$A$13,0))-K812,I812)))</f>
        <v/>
      </c>
      <c r="O812">
        <f>IF(I812=0,0,MAX(0,MIN(INDEX(Month!J$2:J$13,MATCH($A812,Month!$A$2:$A$13,0))-K812,I812)))</f>
        <v/>
      </c>
      <c r="P812">
        <f>IF(I812=0,0,(MIN(MAX(K812,0),L812)*W812+SUMPRODUCT((Calc!$A$2:$A$1001=A812)*Calc!$G$2:$G$1001*(((K812-(L812+Calc!$J$2:$J$1001))&gt;0)*((K812-(L812+Calc!$J$2:$J$1001))&lt;Calc!$F$2:$F$1001)*(K812-(L812+Calc!$J$2:$J$1001))+((K812-(L812+Calc!$J$2:$J$1001))&gt;=Calc!$F$2:$F$1001)*Calc!$F$2:$F$1001))))</f>
        <v/>
      </c>
      <c r="Q812">
        <f>IF(I812=0,0,(MIN(MAX((K812+M812),0),L812)*W812+SUMPRODUCT((Calc!$A$2:$A$1001=A812)*Calc!$G$2:$G$1001*((((K812+M812)-(L812+Calc!$J$2:$J$1001))&gt;0)*(((K812+M812)-(L812+Calc!$J$2:$J$1001))&lt;Calc!$F$2:$F$1001)*((K812+M812)-(L812+Calc!$J$2:$J$1001))+(((K812+M812)-(L812+Calc!$J$2:$J$1001))&gt;=Calc!$F$2:$F$1001)*Calc!$F$2:$F$1001))))</f>
        <v/>
      </c>
      <c r="R812">
        <f>IF(I812=0,0,(MIN(MAX((K812+N812),0),L812)*W812+SUMPRODUCT((Calc!$A$2:$A$1001=A812)*Calc!$G$2:$G$1001*((((K812+N812)-(L812+Calc!$J$2:$J$1001))&gt;0)*(((K812+N812)-(L812+Calc!$J$2:$J$1001))&lt;Calc!$F$2:$F$1001)*((K812+N812)-(L812+Calc!$J$2:$J$1001))+(((K812+N812)-(L812+Calc!$J$2:$J$1001))&gt;=Calc!$F$2:$F$1001)*Calc!$F$2:$F$1001))))</f>
        <v/>
      </c>
      <c r="S812">
        <f>IF(I812=0,0,(MIN(MAX((K812+O812),0),L812)*W812+SUMPRODUCT((Calc!$A$2:$A$1001=A812)*Calc!$G$2:$G$1001*((((K812+O812)-(L812+Calc!$J$2:$J$1001))&gt;0)*(((K812+O812)-(L812+Calc!$J$2:$J$1001))&lt;Calc!$F$2:$F$1001)*((K812+O812)-(L812+Calc!$J$2:$J$1001))+(((K812+O812)-(L812+Calc!$J$2:$J$1001))&gt;=Calc!$F$2:$F$1001)*Calc!$F$2:$F$1001))))</f>
        <v/>
      </c>
      <c r="T812">
        <f>IF(AND(E812=1,B812="RETURN"),Transactions!E812*Transactions!G812,0)</f>
        <v/>
      </c>
      <c r="U812">
        <f>IF(AND(E812=1,B812="EXPENSE"),Transactions!J812,0)</f>
        <v/>
      </c>
      <c r="V812">
        <f>IF(AND(Transactions!A812&lt;&gt;"",E812=0),ROW(),"")</f>
        <v/>
      </c>
      <c r="W812">
        <f>IFERROR(VLOOKUP(A812,Opening!$A:$D,4,0),0)</f>
        <v/>
      </c>
    </row>
    <row r="813">
      <c r="A813">
        <f>IF(Transactions!D813="","",UPPER(TRIM(Transactions!D813)))</f>
        <v/>
      </c>
      <c r="B813">
        <f>IF(Transactions!C813="","",UPPER(TRIM(Transactions!C813)))</f>
        <v/>
      </c>
      <c r="C813">
        <f>IF(Transactions!B813="",0,YEAR(Transactions!B813)*100+MONTH(Transactions!B813))</f>
        <v/>
      </c>
      <c r="D813">
        <f>IF(Transactions!A813="",1,IF(COUNTIF(Transactions!$A$1:A812,Transactions!A813)&gt;0,1,0))</f>
        <v/>
      </c>
      <c r="E813">
        <f>IF(D813=1,0,IF(B813="RETURN",IF(COUNTIFS($A$1:A812,A813,$B$1:B812,"SALE",$E$1:E812,1)&gt;0,1,0),1))</f>
        <v/>
      </c>
      <c r="F813">
        <f>IF(E813=1,IF(B813="RECEIPT",Transactions!E813,IF(AND(B813="RETURN",LOWER(TRIM(Transactions!H813))="resellable"),Transactions!E813,0)),0)</f>
        <v/>
      </c>
      <c r="G813">
        <f>IF(F813&gt;0,IF(B813="RECEIPT",Transactions!F813,IF(_xlfn.MAXIFS($H$2:H813,$A$2:A813,A813)&gt;0,INDEX(Transactions!$F:$F,_xlfn.MAXIFS($H$2:H813,$A$2:A813,A813)),W813)),0)</f>
        <v/>
      </c>
      <c r="H813">
        <f>IF(AND(E813=1,B813="RECEIPT"),ROW(),0)</f>
        <v/>
      </c>
      <c r="I813">
        <f>IF(E813=1,IF(OR(B813="SALE",B813="WRITEOFF"),Transactions!E813,0),0)</f>
        <v/>
      </c>
      <c r="J813">
        <f>SUMIFS($F$1:F812,$A$1:A812,A813)</f>
        <v/>
      </c>
      <c r="K813">
        <f>SUMIFS($I$1:I812,$A$1:A812,A813)</f>
        <v/>
      </c>
      <c r="L813">
        <f>IFERROR(VLOOKUP(A813,Opening!$A:$C,3,0),0)</f>
        <v/>
      </c>
      <c r="M813">
        <f>IF(I813=0,0,MAX(0,MIN(INDEX(Month!H$2:H$13,MATCH($A813,Month!$A$2:$A$13,0))-K813,I813)))</f>
        <v/>
      </c>
      <c r="N813">
        <f>IF(I813=0,0,MAX(0,MIN(INDEX(Month!I$2:I$13,MATCH($A813,Month!$A$2:$A$13,0))-K813,I813)))</f>
        <v/>
      </c>
      <c r="O813">
        <f>IF(I813=0,0,MAX(0,MIN(INDEX(Month!J$2:J$13,MATCH($A813,Month!$A$2:$A$13,0))-K813,I813)))</f>
        <v/>
      </c>
      <c r="P813">
        <f>IF(I813=0,0,(MIN(MAX(K813,0),L813)*W813+SUMPRODUCT((Calc!$A$2:$A$1001=A813)*Calc!$G$2:$G$1001*(((K813-(L813+Calc!$J$2:$J$1001))&gt;0)*((K813-(L813+Calc!$J$2:$J$1001))&lt;Calc!$F$2:$F$1001)*(K813-(L813+Calc!$J$2:$J$1001))+((K813-(L813+Calc!$J$2:$J$1001))&gt;=Calc!$F$2:$F$1001)*Calc!$F$2:$F$1001))))</f>
        <v/>
      </c>
      <c r="Q813">
        <f>IF(I813=0,0,(MIN(MAX((K813+M813),0),L813)*W813+SUMPRODUCT((Calc!$A$2:$A$1001=A813)*Calc!$G$2:$G$1001*((((K813+M813)-(L813+Calc!$J$2:$J$1001))&gt;0)*(((K813+M813)-(L813+Calc!$J$2:$J$1001))&lt;Calc!$F$2:$F$1001)*((K813+M813)-(L813+Calc!$J$2:$J$1001))+(((K813+M813)-(L813+Calc!$J$2:$J$1001))&gt;=Calc!$F$2:$F$1001)*Calc!$F$2:$F$1001))))</f>
        <v/>
      </c>
      <c r="R813">
        <f>IF(I813=0,0,(MIN(MAX((K813+N813),0),L813)*W813+SUMPRODUCT((Calc!$A$2:$A$1001=A813)*Calc!$G$2:$G$1001*((((K813+N813)-(L813+Calc!$J$2:$J$1001))&gt;0)*(((K813+N813)-(L813+Calc!$J$2:$J$1001))&lt;Calc!$F$2:$F$1001)*((K813+N813)-(L813+Calc!$J$2:$J$1001))+(((K813+N813)-(L813+Calc!$J$2:$J$1001))&gt;=Calc!$F$2:$F$1001)*Calc!$F$2:$F$1001))))</f>
        <v/>
      </c>
      <c r="S813">
        <f>IF(I813=0,0,(MIN(MAX((K813+O813),0),L813)*W813+SUMPRODUCT((Calc!$A$2:$A$1001=A813)*Calc!$G$2:$G$1001*((((K813+O813)-(L813+Calc!$J$2:$J$1001))&gt;0)*(((K813+O813)-(L813+Calc!$J$2:$J$1001))&lt;Calc!$F$2:$F$1001)*((K813+O813)-(L813+Calc!$J$2:$J$1001))+(((K813+O813)-(L813+Calc!$J$2:$J$1001))&gt;=Calc!$F$2:$F$1001)*Calc!$F$2:$F$1001))))</f>
        <v/>
      </c>
      <c r="T813">
        <f>IF(AND(E813=1,B813="RETURN"),Transactions!E813*Transactions!G813,0)</f>
        <v/>
      </c>
      <c r="U813">
        <f>IF(AND(E813=1,B813="EXPENSE"),Transactions!J813,0)</f>
        <v/>
      </c>
      <c r="V813">
        <f>IF(AND(Transactions!A813&lt;&gt;"",E813=0),ROW(),"")</f>
        <v/>
      </c>
      <c r="W813">
        <f>IFERROR(VLOOKUP(A813,Opening!$A:$D,4,0),0)</f>
        <v/>
      </c>
    </row>
    <row r="814">
      <c r="A814">
        <f>IF(Transactions!D814="","",UPPER(TRIM(Transactions!D814)))</f>
        <v/>
      </c>
      <c r="B814">
        <f>IF(Transactions!C814="","",UPPER(TRIM(Transactions!C814)))</f>
        <v/>
      </c>
      <c r="C814">
        <f>IF(Transactions!B814="",0,YEAR(Transactions!B814)*100+MONTH(Transactions!B814))</f>
        <v/>
      </c>
      <c r="D814">
        <f>IF(Transactions!A814="",1,IF(COUNTIF(Transactions!$A$1:A813,Transactions!A814)&gt;0,1,0))</f>
        <v/>
      </c>
      <c r="E814">
        <f>IF(D814=1,0,IF(B814="RETURN",IF(COUNTIFS($A$1:A813,A814,$B$1:B813,"SALE",$E$1:E813,1)&gt;0,1,0),1))</f>
        <v/>
      </c>
      <c r="F814">
        <f>IF(E814=1,IF(B814="RECEIPT",Transactions!E814,IF(AND(B814="RETURN",LOWER(TRIM(Transactions!H814))="resellable"),Transactions!E814,0)),0)</f>
        <v/>
      </c>
      <c r="G814">
        <f>IF(F814&gt;0,IF(B814="RECEIPT",Transactions!F814,IF(_xlfn.MAXIFS($H$2:H814,$A$2:A814,A814)&gt;0,INDEX(Transactions!$F:$F,_xlfn.MAXIFS($H$2:H814,$A$2:A814,A814)),W814)),0)</f>
        <v/>
      </c>
      <c r="H814">
        <f>IF(AND(E814=1,B814="RECEIPT"),ROW(),0)</f>
        <v/>
      </c>
      <c r="I814">
        <f>IF(E814=1,IF(OR(B814="SALE",B814="WRITEOFF"),Transactions!E814,0),0)</f>
        <v/>
      </c>
      <c r="J814">
        <f>SUMIFS($F$1:F813,$A$1:A813,A814)</f>
        <v/>
      </c>
      <c r="K814">
        <f>SUMIFS($I$1:I813,$A$1:A813,A814)</f>
        <v/>
      </c>
      <c r="L814">
        <f>IFERROR(VLOOKUP(A814,Opening!$A:$C,3,0),0)</f>
        <v/>
      </c>
      <c r="M814">
        <f>IF(I814=0,0,MAX(0,MIN(INDEX(Month!H$2:H$13,MATCH($A814,Month!$A$2:$A$13,0))-K814,I814)))</f>
        <v/>
      </c>
      <c r="N814">
        <f>IF(I814=0,0,MAX(0,MIN(INDEX(Month!I$2:I$13,MATCH($A814,Month!$A$2:$A$13,0))-K814,I814)))</f>
        <v/>
      </c>
      <c r="O814">
        <f>IF(I814=0,0,MAX(0,MIN(INDEX(Month!J$2:J$13,MATCH($A814,Month!$A$2:$A$13,0))-K814,I814)))</f>
        <v/>
      </c>
      <c r="P814">
        <f>IF(I814=0,0,(MIN(MAX(K814,0),L814)*W814+SUMPRODUCT((Calc!$A$2:$A$1001=A814)*Calc!$G$2:$G$1001*(((K814-(L814+Calc!$J$2:$J$1001))&gt;0)*((K814-(L814+Calc!$J$2:$J$1001))&lt;Calc!$F$2:$F$1001)*(K814-(L814+Calc!$J$2:$J$1001))+((K814-(L814+Calc!$J$2:$J$1001))&gt;=Calc!$F$2:$F$1001)*Calc!$F$2:$F$1001))))</f>
        <v/>
      </c>
      <c r="Q814">
        <f>IF(I814=0,0,(MIN(MAX((K814+M814),0),L814)*W814+SUMPRODUCT((Calc!$A$2:$A$1001=A814)*Calc!$G$2:$G$1001*((((K814+M814)-(L814+Calc!$J$2:$J$1001))&gt;0)*(((K814+M814)-(L814+Calc!$J$2:$J$1001))&lt;Calc!$F$2:$F$1001)*((K814+M814)-(L814+Calc!$J$2:$J$1001))+(((K814+M814)-(L814+Calc!$J$2:$J$1001))&gt;=Calc!$F$2:$F$1001)*Calc!$F$2:$F$1001))))</f>
        <v/>
      </c>
      <c r="R814">
        <f>IF(I814=0,0,(MIN(MAX((K814+N814),0),L814)*W814+SUMPRODUCT((Calc!$A$2:$A$1001=A814)*Calc!$G$2:$G$1001*((((K814+N814)-(L814+Calc!$J$2:$J$1001))&gt;0)*(((K814+N814)-(L814+Calc!$J$2:$J$1001))&lt;Calc!$F$2:$F$1001)*((K814+N814)-(L814+Calc!$J$2:$J$1001))+(((K814+N814)-(L814+Calc!$J$2:$J$1001))&gt;=Calc!$F$2:$F$1001)*Calc!$F$2:$F$1001))))</f>
        <v/>
      </c>
      <c r="S814">
        <f>IF(I814=0,0,(MIN(MAX((K814+O814),0),L814)*W814+SUMPRODUCT((Calc!$A$2:$A$1001=A814)*Calc!$G$2:$G$1001*((((K814+O814)-(L814+Calc!$J$2:$J$1001))&gt;0)*(((K814+O814)-(L814+Calc!$J$2:$J$1001))&lt;Calc!$F$2:$F$1001)*((K814+O814)-(L814+Calc!$J$2:$J$1001))+(((K814+O814)-(L814+Calc!$J$2:$J$1001))&gt;=Calc!$F$2:$F$1001)*Calc!$F$2:$F$1001))))</f>
        <v/>
      </c>
      <c r="T814">
        <f>IF(AND(E814=1,B814="RETURN"),Transactions!E814*Transactions!G814,0)</f>
        <v/>
      </c>
      <c r="U814">
        <f>IF(AND(E814=1,B814="EXPENSE"),Transactions!J814,0)</f>
        <v/>
      </c>
      <c r="V814">
        <f>IF(AND(Transactions!A814&lt;&gt;"",E814=0),ROW(),"")</f>
        <v/>
      </c>
      <c r="W814">
        <f>IFERROR(VLOOKUP(A814,Opening!$A:$D,4,0),0)</f>
        <v/>
      </c>
    </row>
    <row r="815">
      <c r="A815">
        <f>IF(Transactions!D815="","",UPPER(TRIM(Transactions!D815)))</f>
        <v/>
      </c>
      <c r="B815">
        <f>IF(Transactions!C815="","",UPPER(TRIM(Transactions!C815)))</f>
        <v/>
      </c>
      <c r="C815">
        <f>IF(Transactions!B815="",0,YEAR(Transactions!B815)*100+MONTH(Transactions!B815))</f>
        <v/>
      </c>
      <c r="D815">
        <f>IF(Transactions!A815="",1,IF(COUNTIF(Transactions!$A$1:A814,Transactions!A815)&gt;0,1,0))</f>
        <v/>
      </c>
      <c r="E815">
        <f>IF(D815=1,0,IF(B815="RETURN",IF(COUNTIFS($A$1:A814,A815,$B$1:B814,"SALE",$E$1:E814,1)&gt;0,1,0),1))</f>
        <v/>
      </c>
      <c r="F815">
        <f>IF(E815=1,IF(B815="RECEIPT",Transactions!E815,IF(AND(B815="RETURN",LOWER(TRIM(Transactions!H815))="resellable"),Transactions!E815,0)),0)</f>
        <v/>
      </c>
      <c r="G815">
        <f>IF(F815&gt;0,IF(B815="RECEIPT",Transactions!F815,IF(_xlfn.MAXIFS($H$2:H815,$A$2:A815,A815)&gt;0,INDEX(Transactions!$F:$F,_xlfn.MAXIFS($H$2:H815,$A$2:A815,A815)),W815)),0)</f>
        <v/>
      </c>
      <c r="H815">
        <f>IF(AND(E815=1,B815="RECEIPT"),ROW(),0)</f>
        <v/>
      </c>
      <c r="I815">
        <f>IF(E815=1,IF(OR(B815="SALE",B815="WRITEOFF"),Transactions!E815,0),0)</f>
        <v/>
      </c>
      <c r="J815">
        <f>SUMIFS($F$1:F814,$A$1:A814,A815)</f>
        <v/>
      </c>
      <c r="K815">
        <f>SUMIFS($I$1:I814,$A$1:A814,A815)</f>
        <v/>
      </c>
      <c r="L815">
        <f>IFERROR(VLOOKUP(A815,Opening!$A:$C,3,0),0)</f>
        <v/>
      </c>
      <c r="M815">
        <f>IF(I815=0,0,MAX(0,MIN(INDEX(Month!H$2:H$13,MATCH($A815,Month!$A$2:$A$13,0))-K815,I815)))</f>
        <v/>
      </c>
      <c r="N815">
        <f>IF(I815=0,0,MAX(0,MIN(INDEX(Month!I$2:I$13,MATCH($A815,Month!$A$2:$A$13,0))-K815,I815)))</f>
        <v/>
      </c>
      <c r="O815">
        <f>IF(I815=0,0,MAX(0,MIN(INDEX(Month!J$2:J$13,MATCH($A815,Month!$A$2:$A$13,0))-K815,I815)))</f>
        <v/>
      </c>
      <c r="P815">
        <f>IF(I815=0,0,(MIN(MAX(K815,0),L815)*W815+SUMPRODUCT((Calc!$A$2:$A$1001=A815)*Calc!$G$2:$G$1001*(((K815-(L815+Calc!$J$2:$J$1001))&gt;0)*((K815-(L815+Calc!$J$2:$J$1001))&lt;Calc!$F$2:$F$1001)*(K815-(L815+Calc!$J$2:$J$1001))+((K815-(L815+Calc!$J$2:$J$1001))&gt;=Calc!$F$2:$F$1001)*Calc!$F$2:$F$1001))))</f>
        <v/>
      </c>
      <c r="Q815">
        <f>IF(I815=0,0,(MIN(MAX((K815+M815),0),L815)*W815+SUMPRODUCT((Calc!$A$2:$A$1001=A815)*Calc!$G$2:$G$1001*((((K815+M815)-(L815+Calc!$J$2:$J$1001))&gt;0)*(((K815+M815)-(L815+Calc!$J$2:$J$1001))&lt;Calc!$F$2:$F$1001)*((K815+M815)-(L815+Calc!$J$2:$J$1001))+(((K815+M815)-(L815+Calc!$J$2:$J$1001))&gt;=Calc!$F$2:$F$1001)*Calc!$F$2:$F$1001))))</f>
        <v/>
      </c>
      <c r="R815">
        <f>IF(I815=0,0,(MIN(MAX((K815+N815),0),L815)*W815+SUMPRODUCT((Calc!$A$2:$A$1001=A815)*Calc!$G$2:$G$1001*((((K815+N815)-(L815+Calc!$J$2:$J$1001))&gt;0)*(((K815+N815)-(L815+Calc!$J$2:$J$1001))&lt;Calc!$F$2:$F$1001)*((K815+N815)-(L815+Calc!$J$2:$J$1001))+(((K815+N815)-(L815+Calc!$J$2:$J$1001))&gt;=Calc!$F$2:$F$1001)*Calc!$F$2:$F$1001))))</f>
        <v/>
      </c>
      <c r="S815">
        <f>IF(I815=0,0,(MIN(MAX((K815+O815),0),L815)*W815+SUMPRODUCT((Calc!$A$2:$A$1001=A815)*Calc!$G$2:$G$1001*((((K815+O815)-(L815+Calc!$J$2:$J$1001))&gt;0)*(((K815+O815)-(L815+Calc!$J$2:$J$1001))&lt;Calc!$F$2:$F$1001)*((K815+O815)-(L815+Calc!$J$2:$J$1001))+(((K815+O815)-(L815+Calc!$J$2:$J$1001))&gt;=Calc!$F$2:$F$1001)*Calc!$F$2:$F$1001))))</f>
        <v/>
      </c>
      <c r="T815">
        <f>IF(AND(E815=1,B815="RETURN"),Transactions!E815*Transactions!G815,0)</f>
        <v/>
      </c>
      <c r="U815">
        <f>IF(AND(E815=1,B815="EXPENSE"),Transactions!J815,0)</f>
        <v/>
      </c>
      <c r="V815">
        <f>IF(AND(Transactions!A815&lt;&gt;"",E815=0),ROW(),"")</f>
        <v/>
      </c>
      <c r="W815">
        <f>IFERROR(VLOOKUP(A815,Opening!$A:$D,4,0),0)</f>
        <v/>
      </c>
    </row>
    <row r="816">
      <c r="A816">
        <f>IF(Transactions!D816="","",UPPER(TRIM(Transactions!D816)))</f>
        <v/>
      </c>
      <c r="B816">
        <f>IF(Transactions!C816="","",UPPER(TRIM(Transactions!C816)))</f>
        <v/>
      </c>
      <c r="C816">
        <f>IF(Transactions!B816="",0,YEAR(Transactions!B816)*100+MONTH(Transactions!B816))</f>
        <v/>
      </c>
      <c r="D816">
        <f>IF(Transactions!A816="",1,IF(COUNTIF(Transactions!$A$1:A815,Transactions!A816)&gt;0,1,0))</f>
        <v/>
      </c>
      <c r="E816">
        <f>IF(D816=1,0,IF(B816="RETURN",IF(COUNTIFS($A$1:A815,A816,$B$1:B815,"SALE",$E$1:E815,1)&gt;0,1,0),1))</f>
        <v/>
      </c>
      <c r="F816">
        <f>IF(E816=1,IF(B816="RECEIPT",Transactions!E816,IF(AND(B816="RETURN",LOWER(TRIM(Transactions!H816))="resellable"),Transactions!E816,0)),0)</f>
        <v/>
      </c>
      <c r="G816">
        <f>IF(F816&gt;0,IF(B816="RECEIPT",Transactions!F816,IF(_xlfn.MAXIFS($H$2:H816,$A$2:A816,A816)&gt;0,INDEX(Transactions!$F:$F,_xlfn.MAXIFS($H$2:H816,$A$2:A816,A816)),W816)),0)</f>
        <v/>
      </c>
      <c r="H816">
        <f>IF(AND(E816=1,B816="RECEIPT"),ROW(),0)</f>
        <v/>
      </c>
      <c r="I816">
        <f>IF(E816=1,IF(OR(B816="SALE",B816="WRITEOFF"),Transactions!E816,0),0)</f>
        <v/>
      </c>
      <c r="J816">
        <f>SUMIFS($F$1:F815,$A$1:A815,A816)</f>
        <v/>
      </c>
      <c r="K816">
        <f>SUMIFS($I$1:I815,$A$1:A815,A816)</f>
        <v/>
      </c>
      <c r="L816">
        <f>IFERROR(VLOOKUP(A816,Opening!$A:$C,3,0),0)</f>
        <v/>
      </c>
      <c r="M816">
        <f>IF(I816=0,0,MAX(0,MIN(INDEX(Month!H$2:H$13,MATCH($A816,Month!$A$2:$A$13,0))-K816,I816)))</f>
        <v/>
      </c>
      <c r="N816">
        <f>IF(I816=0,0,MAX(0,MIN(INDEX(Month!I$2:I$13,MATCH($A816,Month!$A$2:$A$13,0))-K816,I816)))</f>
        <v/>
      </c>
      <c r="O816">
        <f>IF(I816=0,0,MAX(0,MIN(INDEX(Month!J$2:J$13,MATCH($A816,Month!$A$2:$A$13,0))-K816,I816)))</f>
        <v/>
      </c>
      <c r="P816">
        <f>IF(I816=0,0,(MIN(MAX(K816,0),L816)*W816+SUMPRODUCT((Calc!$A$2:$A$1001=A816)*Calc!$G$2:$G$1001*(((K816-(L816+Calc!$J$2:$J$1001))&gt;0)*((K816-(L816+Calc!$J$2:$J$1001))&lt;Calc!$F$2:$F$1001)*(K816-(L816+Calc!$J$2:$J$1001))+((K816-(L816+Calc!$J$2:$J$1001))&gt;=Calc!$F$2:$F$1001)*Calc!$F$2:$F$1001))))</f>
        <v/>
      </c>
      <c r="Q816">
        <f>IF(I816=0,0,(MIN(MAX((K816+M816),0),L816)*W816+SUMPRODUCT((Calc!$A$2:$A$1001=A816)*Calc!$G$2:$G$1001*((((K816+M816)-(L816+Calc!$J$2:$J$1001))&gt;0)*(((K816+M816)-(L816+Calc!$J$2:$J$1001))&lt;Calc!$F$2:$F$1001)*((K816+M816)-(L816+Calc!$J$2:$J$1001))+(((K816+M816)-(L816+Calc!$J$2:$J$1001))&gt;=Calc!$F$2:$F$1001)*Calc!$F$2:$F$1001))))</f>
        <v/>
      </c>
      <c r="R816">
        <f>IF(I816=0,0,(MIN(MAX((K816+N816),0),L816)*W816+SUMPRODUCT((Calc!$A$2:$A$1001=A816)*Calc!$G$2:$G$1001*((((K816+N816)-(L816+Calc!$J$2:$J$1001))&gt;0)*(((K816+N816)-(L816+Calc!$J$2:$J$1001))&lt;Calc!$F$2:$F$1001)*((K816+N816)-(L816+Calc!$J$2:$J$1001))+(((K816+N816)-(L816+Calc!$J$2:$J$1001))&gt;=Calc!$F$2:$F$1001)*Calc!$F$2:$F$1001))))</f>
        <v/>
      </c>
      <c r="S816">
        <f>IF(I816=0,0,(MIN(MAX((K816+O816),0),L816)*W816+SUMPRODUCT((Calc!$A$2:$A$1001=A816)*Calc!$G$2:$G$1001*((((K816+O816)-(L816+Calc!$J$2:$J$1001))&gt;0)*(((K816+O816)-(L816+Calc!$J$2:$J$1001))&lt;Calc!$F$2:$F$1001)*((K816+O816)-(L816+Calc!$J$2:$J$1001))+(((K816+O816)-(L816+Calc!$J$2:$J$1001))&gt;=Calc!$F$2:$F$1001)*Calc!$F$2:$F$1001))))</f>
        <v/>
      </c>
      <c r="T816">
        <f>IF(AND(E816=1,B816="RETURN"),Transactions!E816*Transactions!G816,0)</f>
        <v/>
      </c>
      <c r="U816">
        <f>IF(AND(E816=1,B816="EXPENSE"),Transactions!J816,0)</f>
        <v/>
      </c>
      <c r="V816">
        <f>IF(AND(Transactions!A816&lt;&gt;"",E816=0),ROW(),"")</f>
        <v/>
      </c>
      <c r="W816">
        <f>IFERROR(VLOOKUP(A816,Opening!$A:$D,4,0),0)</f>
        <v/>
      </c>
    </row>
    <row r="817">
      <c r="A817">
        <f>IF(Transactions!D817="","",UPPER(TRIM(Transactions!D817)))</f>
        <v/>
      </c>
      <c r="B817">
        <f>IF(Transactions!C817="","",UPPER(TRIM(Transactions!C817)))</f>
        <v/>
      </c>
      <c r="C817">
        <f>IF(Transactions!B817="",0,YEAR(Transactions!B817)*100+MONTH(Transactions!B817))</f>
        <v/>
      </c>
      <c r="D817">
        <f>IF(Transactions!A817="",1,IF(COUNTIF(Transactions!$A$1:A816,Transactions!A817)&gt;0,1,0))</f>
        <v/>
      </c>
      <c r="E817">
        <f>IF(D817=1,0,IF(B817="RETURN",IF(COUNTIFS($A$1:A816,A817,$B$1:B816,"SALE",$E$1:E816,1)&gt;0,1,0),1))</f>
        <v/>
      </c>
      <c r="F817">
        <f>IF(E817=1,IF(B817="RECEIPT",Transactions!E817,IF(AND(B817="RETURN",LOWER(TRIM(Transactions!H817))="resellable"),Transactions!E817,0)),0)</f>
        <v/>
      </c>
      <c r="G817">
        <f>IF(F817&gt;0,IF(B817="RECEIPT",Transactions!F817,IF(_xlfn.MAXIFS($H$2:H817,$A$2:A817,A817)&gt;0,INDEX(Transactions!$F:$F,_xlfn.MAXIFS($H$2:H817,$A$2:A817,A817)),W817)),0)</f>
        <v/>
      </c>
      <c r="H817">
        <f>IF(AND(E817=1,B817="RECEIPT"),ROW(),0)</f>
        <v/>
      </c>
      <c r="I817">
        <f>IF(E817=1,IF(OR(B817="SALE",B817="WRITEOFF"),Transactions!E817,0),0)</f>
        <v/>
      </c>
      <c r="J817">
        <f>SUMIFS($F$1:F816,$A$1:A816,A817)</f>
        <v/>
      </c>
      <c r="K817">
        <f>SUMIFS($I$1:I816,$A$1:A816,A817)</f>
        <v/>
      </c>
      <c r="L817">
        <f>IFERROR(VLOOKUP(A817,Opening!$A:$C,3,0),0)</f>
        <v/>
      </c>
      <c r="M817">
        <f>IF(I817=0,0,MAX(0,MIN(INDEX(Month!H$2:H$13,MATCH($A817,Month!$A$2:$A$13,0))-K817,I817)))</f>
        <v/>
      </c>
      <c r="N817">
        <f>IF(I817=0,0,MAX(0,MIN(INDEX(Month!I$2:I$13,MATCH($A817,Month!$A$2:$A$13,0))-K817,I817)))</f>
        <v/>
      </c>
      <c r="O817">
        <f>IF(I817=0,0,MAX(0,MIN(INDEX(Month!J$2:J$13,MATCH($A817,Month!$A$2:$A$13,0))-K817,I817)))</f>
        <v/>
      </c>
      <c r="P817">
        <f>IF(I817=0,0,(MIN(MAX(K817,0),L817)*W817+SUMPRODUCT((Calc!$A$2:$A$1001=A817)*Calc!$G$2:$G$1001*(((K817-(L817+Calc!$J$2:$J$1001))&gt;0)*((K817-(L817+Calc!$J$2:$J$1001))&lt;Calc!$F$2:$F$1001)*(K817-(L817+Calc!$J$2:$J$1001))+((K817-(L817+Calc!$J$2:$J$1001))&gt;=Calc!$F$2:$F$1001)*Calc!$F$2:$F$1001))))</f>
        <v/>
      </c>
      <c r="Q817">
        <f>IF(I817=0,0,(MIN(MAX((K817+M817),0),L817)*W817+SUMPRODUCT((Calc!$A$2:$A$1001=A817)*Calc!$G$2:$G$1001*((((K817+M817)-(L817+Calc!$J$2:$J$1001))&gt;0)*(((K817+M817)-(L817+Calc!$J$2:$J$1001))&lt;Calc!$F$2:$F$1001)*((K817+M817)-(L817+Calc!$J$2:$J$1001))+(((K817+M817)-(L817+Calc!$J$2:$J$1001))&gt;=Calc!$F$2:$F$1001)*Calc!$F$2:$F$1001))))</f>
        <v/>
      </c>
      <c r="R817">
        <f>IF(I817=0,0,(MIN(MAX((K817+N817),0),L817)*W817+SUMPRODUCT((Calc!$A$2:$A$1001=A817)*Calc!$G$2:$G$1001*((((K817+N817)-(L817+Calc!$J$2:$J$1001))&gt;0)*(((K817+N817)-(L817+Calc!$J$2:$J$1001))&lt;Calc!$F$2:$F$1001)*((K817+N817)-(L817+Calc!$J$2:$J$1001))+(((K817+N817)-(L817+Calc!$J$2:$J$1001))&gt;=Calc!$F$2:$F$1001)*Calc!$F$2:$F$1001))))</f>
        <v/>
      </c>
      <c r="S817">
        <f>IF(I817=0,0,(MIN(MAX((K817+O817),0),L817)*W817+SUMPRODUCT((Calc!$A$2:$A$1001=A817)*Calc!$G$2:$G$1001*((((K817+O817)-(L817+Calc!$J$2:$J$1001))&gt;0)*(((K817+O817)-(L817+Calc!$J$2:$J$1001))&lt;Calc!$F$2:$F$1001)*((K817+O817)-(L817+Calc!$J$2:$J$1001))+(((K817+O817)-(L817+Calc!$J$2:$J$1001))&gt;=Calc!$F$2:$F$1001)*Calc!$F$2:$F$1001))))</f>
        <v/>
      </c>
      <c r="T817">
        <f>IF(AND(E817=1,B817="RETURN"),Transactions!E817*Transactions!G817,0)</f>
        <v/>
      </c>
      <c r="U817">
        <f>IF(AND(E817=1,B817="EXPENSE"),Transactions!J817,0)</f>
        <v/>
      </c>
      <c r="V817">
        <f>IF(AND(Transactions!A817&lt;&gt;"",E817=0),ROW(),"")</f>
        <v/>
      </c>
      <c r="W817">
        <f>IFERROR(VLOOKUP(A817,Opening!$A:$D,4,0),0)</f>
        <v/>
      </c>
    </row>
    <row r="818">
      <c r="A818">
        <f>IF(Transactions!D818="","",UPPER(TRIM(Transactions!D818)))</f>
        <v/>
      </c>
      <c r="B818">
        <f>IF(Transactions!C818="","",UPPER(TRIM(Transactions!C818)))</f>
        <v/>
      </c>
      <c r="C818">
        <f>IF(Transactions!B818="",0,YEAR(Transactions!B818)*100+MONTH(Transactions!B818))</f>
        <v/>
      </c>
      <c r="D818">
        <f>IF(Transactions!A818="",1,IF(COUNTIF(Transactions!$A$1:A817,Transactions!A818)&gt;0,1,0))</f>
        <v/>
      </c>
      <c r="E818">
        <f>IF(D818=1,0,IF(B818="RETURN",IF(COUNTIFS($A$1:A817,A818,$B$1:B817,"SALE",$E$1:E817,1)&gt;0,1,0),1))</f>
        <v/>
      </c>
      <c r="F818">
        <f>IF(E818=1,IF(B818="RECEIPT",Transactions!E818,IF(AND(B818="RETURN",LOWER(TRIM(Transactions!H818))="resellable"),Transactions!E818,0)),0)</f>
        <v/>
      </c>
      <c r="G818">
        <f>IF(F818&gt;0,IF(B818="RECEIPT",Transactions!F818,IF(_xlfn.MAXIFS($H$2:H818,$A$2:A818,A818)&gt;0,INDEX(Transactions!$F:$F,_xlfn.MAXIFS($H$2:H818,$A$2:A818,A818)),W818)),0)</f>
        <v/>
      </c>
      <c r="H818">
        <f>IF(AND(E818=1,B818="RECEIPT"),ROW(),0)</f>
        <v/>
      </c>
      <c r="I818">
        <f>IF(E818=1,IF(OR(B818="SALE",B818="WRITEOFF"),Transactions!E818,0),0)</f>
        <v/>
      </c>
      <c r="J818">
        <f>SUMIFS($F$1:F817,$A$1:A817,A818)</f>
        <v/>
      </c>
      <c r="K818">
        <f>SUMIFS($I$1:I817,$A$1:A817,A818)</f>
        <v/>
      </c>
      <c r="L818">
        <f>IFERROR(VLOOKUP(A818,Opening!$A:$C,3,0),0)</f>
        <v/>
      </c>
      <c r="M818">
        <f>IF(I818=0,0,MAX(0,MIN(INDEX(Month!H$2:H$13,MATCH($A818,Month!$A$2:$A$13,0))-K818,I818)))</f>
        <v/>
      </c>
      <c r="N818">
        <f>IF(I818=0,0,MAX(0,MIN(INDEX(Month!I$2:I$13,MATCH($A818,Month!$A$2:$A$13,0))-K818,I818)))</f>
        <v/>
      </c>
      <c r="O818">
        <f>IF(I818=0,0,MAX(0,MIN(INDEX(Month!J$2:J$13,MATCH($A818,Month!$A$2:$A$13,0))-K818,I818)))</f>
        <v/>
      </c>
      <c r="P818">
        <f>IF(I818=0,0,(MIN(MAX(K818,0),L818)*W818+SUMPRODUCT((Calc!$A$2:$A$1001=A818)*Calc!$G$2:$G$1001*(((K818-(L818+Calc!$J$2:$J$1001))&gt;0)*((K818-(L818+Calc!$J$2:$J$1001))&lt;Calc!$F$2:$F$1001)*(K818-(L818+Calc!$J$2:$J$1001))+((K818-(L818+Calc!$J$2:$J$1001))&gt;=Calc!$F$2:$F$1001)*Calc!$F$2:$F$1001))))</f>
        <v/>
      </c>
      <c r="Q818">
        <f>IF(I818=0,0,(MIN(MAX((K818+M818),0),L818)*W818+SUMPRODUCT((Calc!$A$2:$A$1001=A818)*Calc!$G$2:$G$1001*((((K818+M818)-(L818+Calc!$J$2:$J$1001))&gt;0)*(((K818+M818)-(L818+Calc!$J$2:$J$1001))&lt;Calc!$F$2:$F$1001)*((K818+M818)-(L818+Calc!$J$2:$J$1001))+(((K818+M818)-(L818+Calc!$J$2:$J$1001))&gt;=Calc!$F$2:$F$1001)*Calc!$F$2:$F$1001))))</f>
        <v/>
      </c>
      <c r="R818">
        <f>IF(I818=0,0,(MIN(MAX((K818+N818),0),L818)*W818+SUMPRODUCT((Calc!$A$2:$A$1001=A818)*Calc!$G$2:$G$1001*((((K818+N818)-(L818+Calc!$J$2:$J$1001))&gt;0)*(((K818+N818)-(L818+Calc!$J$2:$J$1001))&lt;Calc!$F$2:$F$1001)*((K818+N818)-(L818+Calc!$J$2:$J$1001))+(((K818+N818)-(L818+Calc!$J$2:$J$1001))&gt;=Calc!$F$2:$F$1001)*Calc!$F$2:$F$1001))))</f>
        <v/>
      </c>
      <c r="S818">
        <f>IF(I818=0,0,(MIN(MAX((K818+O818),0),L818)*W818+SUMPRODUCT((Calc!$A$2:$A$1001=A818)*Calc!$G$2:$G$1001*((((K818+O818)-(L818+Calc!$J$2:$J$1001))&gt;0)*(((K818+O818)-(L818+Calc!$J$2:$J$1001))&lt;Calc!$F$2:$F$1001)*((K818+O818)-(L818+Calc!$J$2:$J$1001))+(((K818+O818)-(L818+Calc!$J$2:$J$1001))&gt;=Calc!$F$2:$F$1001)*Calc!$F$2:$F$1001))))</f>
        <v/>
      </c>
      <c r="T818">
        <f>IF(AND(E818=1,B818="RETURN"),Transactions!E818*Transactions!G818,0)</f>
        <v/>
      </c>
      <c r="U818">
        <f>IF(AND(E818=1,B818="EXPENSE"),Transactions!J818,0)</f>
        <v/>
      </c>
      <c r="V818">
        <f>IF(AND(Transactions!A818&lt;&gt;"",E818=0),ROW(),"")</f>
        <v/>
      </c>
      <c r="W818">
        <f>IFERROR(VLOOKUP(A818,Opening!$A:$D,4,0),0)</f>
        <v/>
      </c>
    </row>
    <row r="819">
      <c r="A819">
        <f>IF(Transactions!D819="","",UPPER(TRIM(Transactions!D819)))</f>
        <v/>
      </c>
      <c r="B819">
        <f>IF(Transactions!C819="","",UPPER(TRIM(Transactions!C819)))</f>
        <v/>
      </c>
      <c r="C819">
        <f>IF(Transactions!B819="",0,YEAR(Transactions!B819)*100+MONTH(Transactions!B819))</f>
        <v/>
      </c>
      <c r="D819">
        <f>IF(Transactions!A819="",1,IF(COUNTIF(Transactions!$A$1:A818,Transactions!A819)&gt;0,1,0))</f>
        <v/>
      </c>
      <c r="E819">
        <f>IF(D819=1,0,IF(B819="RETURN",IF(COUNTIFS($A$1:A818,A819,$B$1:B818,"SALE",$E$1:E818,1)&gt;0,1,0),1))</f>
        <v/>
      </c>
      <c r="F819">
        <f>IF(E819=1,IF(B819="RECEIPT",Transactions!E819,IF(AND(B819="RETURN",LOWER(TRIM(Transactions!H819))="resellable"),Transactions!E819,0)),0)</f>
        <v/>
      </c>
      <c r="G819">
        <f>IF(F819&gt;0,IF(B819="RECEIPT",Transactions!F819,IF(_xlfn.MAXIFS($H$2:H819,$A$2:A819,A819)&gt;0,INDEX(Transactions!$F:$F,_xlfn.MAXIFS($H$2:H819,$A$2:A819,A819)),W819)),0)</f>
        <v/>
      </c>
      <c r="H819">
        <f>IF(AND(E819=1,B819="RECEIPT"),ROW(),0)</f>
        <v/>
      </c>
      <c r="I819">
        <f>IF(E819=1,IF(OR(B819="SALE",B819="WRITEOFF"),Transactions!E819,0),0)</f>
        <v/>
      </c>
      <c r="J819">
        <f>SUMIFS($F$1:F818,$A$1:A818,A819)</f>
        <v/>
      </c>
      <c r="K819">
        <f>SUMIFS($I$1:I818,$A$1:A818,A819)</f>
        <v/>
      </c>
      <c r="L819">
        <f>IFERROR(VLOOKUP(A819,Opening!$A:$C,3,0),0)</f>
        <v/>
      </c>
      <c r="M819">
        <f>IF(I819=0,0,MAX(0,MIN(INDEX(Month!H$2:H$13,MATCH($A819,Month!$A$2:$A$13,0))-K819,I819)))</f>
        <v/>
      </c>
      <c r="N819">
        <f>IF(I819=0,0,MAX(0,MIN(INDEX(Month!I$2:I$13,MATCH($A819,Month!$A$2:$A$13,0))-K819,I819)))</f>
        <v/>
      </c>
      <c r="O819">
        <f>IF(I819=0,0,MAX(0,MIN(INDEX(Month!J$2:J$13,MATCH($A819,Month!$A$2:$A$13,0))-K819,I819)))</f>
        <v/>
      </c>
      <c r="P819">
        <f>IF(I819=0,0,(MIN(MAX(K819,0),L819)*W819+SUMPRODUCT((Calc!$A$2:$A$1001=A819)*Calc!$G$2:$G$1001*(((K819-(L819+Calc!$J$2:$J$1001))&gt;0)*((K819-(L819+Calc!$J$2:$J$1001))&lt;Calc!$F$2:$F$1001)*(K819-(L819+Calc!$J$2:$J$1001))+((K819-(L819+Calc!$J$2:$J$1001))&gt;=Calc!$F$2:$F$1001)*Calc!$F$2:$F$1001))))</f>
        <v/>
      </c>
      <c r="Q819">
        <f>IF(I819=0,0,(MIN(MAX((K819+M819),0),L819)*W819+SUMPRODUCT((Calc!$A$2:$A$1001=A819)*Calc!$G$2:$G$1001*((((K819+M819)-(L819+Calc!$J$2:$J$1001))&gt;0)*(((K819+M819)-(L819+Calc!$J$2:$J$1001))&lt;Calc!$F$2:$F$1001)*((K819+M819)-(L819+Calc!$J$2:$J$1001))+(((K819+M819)-(L819+Calc!$J$2:$J$1001))&gt;=Calc!$F$2:$F$1001)*Calc!$F$2:$F$1001))))</f>
        <v/>
      </c>
      <c r="R819">
        <f>IF(I819=0,0,(MIN(MAX((K819+N819),0),L819)*W819+SUMPRODUCT((Calc!$A$2:$A$1001=A819)*Calc!$G$2:$G$1001*((((K819+N819)-(L819+Calc!$J$2:$J$1001))&gt;0)*(((K819+N819)-(L819+Calc!$J$2:$J$1001))&lt;Calc!$F$2:$F$1001)*((K819+N819)-(L819+Calc!$J$2:$J$1001))+(((K819+N819)-(L819+Calc!$J$2:$J$1001))&gt;=Calc!$F$2:$F$1001)*Calc!$F$2:$F$1001))))</f>
        <v/>
      </c>
      <c r="S819">
        <f>IF(I819=0,0,(MIN(MAX((K819+O819),0),L819)*W819+SUMPRODUCT((Calc!$A$2:$A$1001=A819)*Calc!$G$2:$G$1001*((((K819+O819)-(L819+Calc!$J$2:$J$1001))&gt;0)*(((K819+O819)-(L819+Calc!$J$2:$J$1001))&lt;Calc!$F$2:$F$1001)*((K819+O819)-(L819+Calc!$J$2:$J$1001))+(((K819+O819)-(L819+Calc!$J$2:$J$1001))&gt;=Calc!$F$2:$F$1001)*Calc!$F$2:$F$1001))))</f>
        <v/>
      </c>
      <c r="T819">
        <f>IF(AND(E819=1,B819="RETURN"),Transactions!E819*Transactions!G819,0)</f>
        <v/>
      </c>
      <c r="U819">
        <f>IF(AND(E819=1,B819="EXPENSE"),Transactions!J819,0)</f>
        <v/>
      </c>
      <c r="V819">
        <f>IF(AND(Transactions!A819&lt;&gt;"",E819=0),ROW(),"")</f>
        <v/>
      </c>
      <c r="W819">
        <f>IFERROR(VLOOKUP(A819,Opening!$A:$D,4,0),0)</f>
        <v/>
      </c>
    </row>
    <row r="820">
      <c r="A820">
        <f>IF(Transactions!D820="","",UPPER(TRIM(Transactions!D820)))</f>
        <v/>
      </c>
      <c r="B820">
        <f>IF(Transactions!C820="","",UPPER(TRIM(Transactions!C820)))</f>
        <v/>
      </c>
      <c r="C820">
        <f>IF(Transactions!B820="",0,YEAR(Transactions!B820)*100+MONTH(Transactions!B820))</f>
        <v/>
      </c>
      <c r="D820">
        <f>IF(Transactions!A820="",1,IF(COUNTIF(Transactions!$A$1:A819,Transactions!A820)&gt;0,1,0))</f>
        <v/>
      </c>
      <c r="E820">
        <f>IF(D820=1,0,IF(B820="RETURN",IF(COUNTIFS($A$1:A819,A820,$B$1:B819,"SALE",$E$1:E819,1)&gt;0,1,0),1))</f>
        <v/>
      </c>
      <c r="F820">
        <f>IF(E820=1,IF(B820="RECEIPT",Transactions!E820,IF(AND(B820="RETURN",LOWER(TRIM(Transactions!H820))="resellable"),Transactions!E820,0)),0)</f>
        <v/>
      </c>
      <c r="G820">
        <f>IF(F820&gt;0,IF(B820="RECEIPT",Transactions!F820,IF(_xlfn.MAXIFS($H$2:H820,$A$2:A820,A820)&gt;0,INDEX(Transactions!$F:$F,_xlfn.MAXIFS($H$2:H820,$A$2:A820,A820)),W820)),0)</f>
        <v/>
      </c>
      <c r="H820">
        <f>IF(AND(E820=1,B820="RECEIPT"),ROW(),0)</f>
        <v/>
      </c>
      <c r="I820">
        <f>IF(E820=1,IF(OR(B820="SALE",B820="WRITEOFF"),Transactions!E820,0),0)</f>
        <v/>
      </c>
      <c r="J820">
        <f>SUMIFS($F$1:F819,$A$1:A819,A820)</f>
        <v/>
      </c>
      <c r="K820">
        <f>SUMIFS($I$1:I819,$A$1:A819,A820)</f>
        <v/>
      </c>
      <c r="L820">
        <f>IFERROR(VLOOKUP(A820,Opening!$A:$C,3,0),0)</f>
        <v/>
      </c>
      <c r="M820">
        <f>IF(I820=0,0,MAX(0,MIN(INDEX(Month!H$2:H$13,MATCH($A820,Month!$A$2:$A$13,0))-K820,I820)))</f>
        <v/>
      </c>
      <c r="N820">
        <f>IF(I820=0,0,MAX(0,MIN(INDEX(Month!I$2:I$13,MATCH($A820,Month!$A$2:$A$13,0))-K820,I820)))</f>
        <v/>
      </c>
      <c r="O820">
        <f>IF(I820=0,0,MAX(0,MIN(INDEX(Month!J$2:J$13,MATCH($A820,Month!$A$2:$A$13,0))-K820,I820)))</f>
        <v/>
      </c>
      <c r="P820">
        <f>IF(I820=0,0,(MIN(MAX(K820,0),L820)*W820+SUMPRODUCT((Calc!$A$2:$A$1001=A820)*Calc!$G$2:$G$1001*(((K820-(L820+Calc!$J$2:$J$1001))&gt;0)*((K820-(L820+Calc!$J$2:$J$1001))&lt;Calc!$F$2:$F$1001)*(K820-(L820+Calc!$J$2:$J$1001))+((K820-(L820+Calc!$J$2:$J$1001))&gt;=Calc!$F$2:$F$1001)*Calc!$F$2:$F$1001))))</f>
        <v/>
      </c>
      <c r="Q820">
        <f>IF(I820=0,0,(MIN(MAX((K820+M820),0),L820)*W820+SUMPRODUCT((Calc!$A$2:$A$1001=A820)*Calc!$G$2:$G$1001*((((K820+M820)-(L820+Calc!$J$2:$J$1001))&gt;0)*(((K820+M820)-(L820+Calc!$J$2:$J$1001))&lt;Calc!$F$2:$F$1001)*((K820+M820)-(L820+Calc!$J$2:$J$1001))+(((K820+M820)-(L820+Calc!$J$2:$J$1001))&gt;=Calc!$F$2:$F$1001)*Calc!$F$2:$F$1001))))</f>
        <v/>
      </c>
      <c r="R820">
        <f>IF(I820=0,0,(MIN(MAX((K820+N820),0),L820)*W820+SUMPRODUCT((Calc!$A$2:$A$1001=A820)*Calc!$G$2:$G$1001*((((K820+N820)-(L820+Calc!$J$2:$J$1001))&gt;0)*(((K820+N820)-(L820+Calc!$J$2:$J$1001))&lt;Calc!$F$2:$F$1001)*((K820+N820)-(L820+Calc!$J$2:$J$1001))+(((K820+N820)-(L820+Calc!$J$2:$J$1001))&gt;=Calc!$F$2:$F$1001)*Calc!$F$2:$F$1001))))</f>
        <v/>
      </c>
      <c r="S820">
        <f>IF(I820=0,0,(MIN(MAX((K820+O820),0),L820)*W820+SUMPRODUCT((Calc!$A$2:$A$1001=A820)*Calc!$G$2:$G$1001*((((K820+O820)-(L820+Calc!$J$2:$J$1001))&gt;0)*(((K820+O820)-(L820+Calc!$J$2:$J$1001))&lt;Calc!$F$2:$F$1001)*((K820+O820)-(L820+Calc!$J$2:$J$1001))+(((K820+O820)-(L820+Calc!$J$2:$J$1001))&gt;=Calc!$F$2:$F$1001)*Calc!$F$2:$F$1001))))</f>
        <v/>
      </c>
      <c r="T820">
        <f>IF(AND(E820=1,B820="RETURN"),Transactions!E820*Transactions!G820,0)</f>
        <v/>
      </c>
      <c r="U820">
        <f>IF(AND(E820=1,B820="EXPENSE"),Transactions!J820,0)</f>
        <v/>
      </c>
      <c r="V820">
        <f>IF(AND(Transactions!A820&lt;&gt;"",E820=0),ROW(),"")</f>
        <v/>
      </c>
      <c r="W820">
        <f>IFERROR(VLOOKUP(A820,Opening!$A:$D,4,0),0)</f>
        <v/>
      </c>
    </row>
    <row r="821">
      <c r="A821">
        <f>IF(Transactions!D821="","",UPPER(TRIM(Transactions!D821)))</f>
        <v/>
      </c>
      <c r="B821">
        <f>IF(Transactions!C821="","",UPPER(TRIM(Transactions!C821)))</f>
        <v/>
      </c>
      <c r="C821">
        <f>IF(Transactions!B821="",0,YEAR(Transactions!B821)*100+MONTH(Transactions!B821))</f>
        <v/>
      </c>
      <c r="D821">
        <f>IF(Transactions!A821="",1,IF(COUNTIF(Transactions!$A$1:A820,Transactions!A821)&gt;0,1,0))</f>
        <v/>
      </c>
      <c r="E821">
        <f>IF(D821=1,0,IF(B821="RETURN",IF(COUNTIFS($A$1:A820,A821,$B$1:B820,"SALE",$E$1:E820,1)&gt;0,1,0),1))</f>
        <v/>
      </c>
      <c r="F821">
        <f>IF(E821=1,IF(B821="RECEIPT",Transactions!E821,IF(AND(B821="RETURN",LOWER(TRIM(Transactions!H821))="resellable"),Transactions!E821,0)),0)</f>
        <v/>
      </c>
      <c r="G821">
        <f>IF(F821&gt;0,IF(B821="RECEIPT",Transactions!F821,IF(_xlfn.MAXIFS($H$2:H821,$A$2:A821,A821)&gt;0,INDEX(Transactions!$F:$F,_xlfn.MAXIFS($H$2:H821,$A$2:A821,A821)),W821)),0)</f>
        <v/>
      </c>
      <c r="H821">
        <f>IF(AND(E821=1,B821="RECEIPT"),ROW(),0)</f>
        <v/>
      </c>
      <c r="I821">
        <f>IF(E821=1,IF(OR(B821="SALE",B821="WRITEOFF"),Transactions!E821,0),0)</f>
        <v/>
      </c>
      <c r="J821">
        <f>SUMIFS($F$1:F820,$A$1:A820,A821)</f>
        <v/>
      </c>
      <c r="K821">
        <f>SUMIFS($I$1:I820,$A$1:A820,A821)</f>
        <v/>
      </c>
      <c r="L821">
        <f>IFERROR(VLOOKUP(A821,Opening!$A:$C,3,0),0)</f>
        <v/>
      </c>
      <c r="M821">
        <f>IF(I821=0,0,MAX(0,MIN(INDEX(Month!H$2:H$13,MATCH($A821,Month!$A$2:$A$13,0))-K821,I821)))</f>
        <v/>
      </c>
      <c r="N821">
        <f>IF(I821=0,0,MAX(0,MIN(INDEX(Month!I$2:I$13,MATCH($A821,Month!$A$2:$A$13,0))-K821,I821)))</f>
        <v/>
      </c>
      <c r="O821">
        <f>IF(I821=0,0,MAX(0,MIN(INDEX(Month!J$2:J$13,MATCH($A821,Month!$A$2:$A$13,0))-K821,I821)))</f>
        <v/>
      </c>
      <c r="P821">
        <f>IF(I821=0,0,(MIN(MAX(K821,0),L821)*W821+SUMPRODUCT((Calc!$A$2:$A$1001=A821)*Calc!$G$2:$G$1001*(((K821-(L821+Calc!$J$2:$J$1001))&gt;0)*((K821-(L821+Calc!$J$2:$J$1001))&lt;Calc!$F$2:$F$1001)*(K821-(L821+Calc!$J$2:$J$1001))+((K821-(L821+Calc!$J$2:$J$1001))&gt;=Calc!$F$2:$F$1001)*Calc!$F$2:$F$1001))))</f>
        <v/>
      </c>
      <c r="Q821">
        <f>IF(I821=0,0,(MIN(MAX((K821+M821),0),L821)*W821+SUMPRODUCT((Calc!$A$2:$A$1001=A821)*Calc!$G$2:$G$1001*((((K821+M821)-(L821+Calc!$J$2:$J$1001))&gt;0)*(((K821+M821)-(L821+Calc!$J$2:$J$1001))&lt;Calc!$F$2:$F$1001)*((K821+M821)-(L821+Calc!$J$2:$J$1001))+(((K821+M821)-(L821+Calc!$J$2:$J$1001))&gt;=Calc!$F$2:$F$1001)*Calc!$F$2:$F$1001))))</f>
        <v/>
      </c>
      <c r="R821">
        <f>IF(I821=0,0,(MIN(MAX((K821+N821),0),L821)*W821+SUMPRODUCT((Calc!$A$2:$A$1001=A821)*Calc!$G$2:$G$1001*((((K821+N821)-(L821+Calc!$J$2:$J$1001))&gt;0)*(((K821+N821)-(L821+Calc!$J$2:$J$1001))&lt;Calc!$F$2:$F$1001)*((K821+N821)-(L821+Calc!$J$2:$J$1001))+(((K821+N821)-(L821+Calc!$J$2:$J$1001))&gt;=Calc!$F$2:$F$1001)*Calc!$F$2:$F$1001))))</f>
        <v/>
      </c>
      <c r="S821">
        <f>IF(I821=0,0,(MIN(MAX((K821+O821),0),L821)*W821+SUMPRODUCT((Calc!$A$2:$A$1001=A821)*Calc!$G$2:$G$1001*((((K821+O821)-(L821+Calc!$J$2:$J$1001))&gt;0)*(((K821+O821)-(L821+Calc!$J$2:$J$1001))&lt;Calc!$F$2:$F$1001)*((K821+O821)-(L821+Calc!$J$2:$J$1001))+(((K821+O821)-(L821+Calc!$J$2:$J$1001))&gt;=Calc!$F$2:$F$1001)*Calc!$F$2:$F$1001))))</f>
        <v/>
      </c>
      <c r="T821">
        <f>IF(AND(E821=1,B821="RETURN"),Transactions!E821*Transactions!G821,0)</f>
        <v/>
      </c>
      <c r="U821">
        <f>IF(AND(E821=1,B821="EXPENSE"),Transactions!J821,0)</f>
        <v/>
      </c>
      <c r="V821">
        <f>IF(AND(Transactions!A821&lt;&gt;"",E821=0),ROW(),"")</f>
        <v/>
      </c>
      <c r="W821">
        <f>IFERROR(VLOOKUP(A821,Opening!$A:$D,4,0),0)</f>
        <v/>
      </c>
    </row>
    <row r="822">
      <c r="A822">
        <f>IF(Transactions!D822="","",UPPER(TRIM(Transactions!D822)))</f>
        <v/>
      </c>
      <c r="B822">
        <f>IF(Transactions!C822="","",UPPER(TRIM(Transactions!C822)))</f>
        <v/>
      </c>
      <c r="C822">
        <f>IF(Transactions!B822="",0,YEAR(Transactions!B822)*100+MONTH(Transactions!B822))</f>
        <v/>
      </c>
      <c r="D822">
        <f>IF(Transactions!A822="",1,IF(COUNTIF(Transactions!$A$1:A821,Transactions!A822)&gt;0,1,0))</f>
        <v/>
      </c>
      <c r="E822">
        <f>IF(D822=1,0,IF(B822="RETURN",IF(COUNTIFS($A$1:A821,A822,$B$1:B821,"SALE",$E$1:E821,1)&gt;0,1,0),1))</f>
        <v/>
      </c>
      <c r="F822">
        <f>IF(E822=1,IF(B822="RECEIPT",Transactions!E822,IF(AND(B822="RETURN",LOWER(TRIM(Transactions!H822))="resellable"),Transactions!E822,0)),0)</f>
        <v/>
      </c>
      <c r="G822">
        <f>IF(F822&gt;0,IF(B822="RECEIPT",Transactions!F822,IF(_xlfn.MAXIFS($H$2:H822,$A$2:A822,A822)&gt;0,INDEX(Transactions!$F:$F,_xlfn.MAXIFS($H$2:H822,$A$2:A822,A822)),W822)),0)</f>
        <v/>
      </c>
      <c r="H822">
        <f>IF(AND(E822=1,B822="RECEIPT"),ROW(),0)</f>
        <v/>
      </c>
      <c r="I822">
        <f>IF(E822=1,IF(OR(B822="SALE",B822="WRITEOFF"),Transactions!E822,0),0)</f>
        <v/>
      </c>
      <c r="J822">
        <f>SUMIFS($F$1:F821,$A$1:A821,A822)</f>
        <v/>
      </c>
      <c r="K822">
        <f>SUMIFS($I$1:I821,$A$1:A821,A822)</f>
        <v/>
      </c>
      <c r="L822">
        <f>IFERROR(VLOOKUP(A822,Opening!$A:$C,3,0),0)</f>
        <v/>
      </c>
      <c r="M822">
        <f>IF(I822=0,0,MAX(0,MIN(INDEX(Month!H$2:H$13,MATCH($A822,Month!$A$2:$A$13,0))-K822,I822)))</f>
        <v/>
      </c>
      <c r="N822">
        <f>IF(I822=0,0,MAX(0,MIN(INDEX(Month!I$2:I$13,MATCH($A822,Month!$A$2:$A$13,0))-K822,I822)))</f>
        <v/>
      </c>
      <c r="O822">
        <f>IF(I822=0,0,MAX(0,MIN(INDEX(Month!J$2:J$13,MATCH($A822,Month!$A$2:$A$13,0))-K822,I822)))</f>
        <v/>
      </c>
      <c r="P822">
        <f>IF(I822=0,0,(MIN(MAX(K822,0),L822)*W822+SUMPRODUCT((Calc!$A$2:$A$1001=A822)*Calc!$G$2:$G$1001*(((K822-(L822+Calc!$J$2:$J$1001))&gt;0)*((K822-(L822+Calc!$J$2:$J$1001))&lt;Calc!$F$2:$F$1001)*(K822-(L822+Calc!$J$2:$J$1001))+((K822-(L822+Calc!$J$2:$J$1001))&gt;=Calc!$F$2:$F$1001)*Calc!$F$2:$F$1001))))</f>
        <v/>
      </c>
      <c r="Q822">
        <f>IF(I822=0,0,(MIN(MAX((K822+M822),0),L822)*W822+SUMPRODUCT((Calc!$A$2:$A$1001=A822)*Calc!$G$2:$G$1001*((((K822+M822)-(L822+Calc!$J$2:$J$1001))&gt;0)*(((K822+M822)-(L822+Calc!$J$2:$J$1001))&lt;Calc!$F$2:$F$1001)*((K822+M822)-(L822+Calc!$J$2:$J$1001))+(((K822+M822)-(L822+Calc!$J$2:$J$1001))&gt;=Calc!$F$2:$F$1001)*Calc!$F$2:$F$1001))))</f>
        <v/>
      </c>
      <c r="R822">
        <f>IF(I822=0,0,(MIN(MAX((K822+N822),0),L822)*W822+SUMPRODUCT((Calc!$A$2:$A$1001=A822)*Calc!$G$2:$G$1001*((((K822+N822)-(L822+Calc!$J$2:$J$1001))&gt;0)*(((K822+N822)-(L822+Calc!$J$2:$J$1001))&lt;Calc!$F$2:$F$1001)*((K822+N822)-(L822+Calc!$J$2:$J$1001))+(((K822+N822)-(L822+Calc!$J$2:$J$1001))&gt;=Calc!$F$2:$F$1001)*Calc!$F$2:$F$1001))))</f>
        <v/>
      </c>
      <c r="S822">
        <f>IF(I822=0,0,(MIN(MAX((K822+O822),0),L822)*W822+SUMPRODUCT((Calc!$A$2:$A$1001=A822)*Calc!$G$2:$G$1001*((((K822+O822)-(L822+Calc!$J$2:$J$1001))&gt;0)*(((K822+O822)-(L822+Calc!$J$2:$J$1001))&lt;Calc!$F$2:$F$1001)*((K822+O822)-(L822+Calc!$J$2:$J$1001))+(((K822+O822)-(L822+Calc!$J$2:$J$1001))&gt;=Calc!$F$2:$F$1001)*Calc!$F$2:$F$1001))))</f>
        <v/>
      </c>
      <c r="T822">
        <f>IF(AND(E822=1,B822="RETURN"),Transactions!E822*Transactions!G822,0)</f>
        <v/>
      </c>
      <c r="U822">
        <f>IF(AND(E822=1,B822="EXPENSE"),Transactions!J822,0)</f>
        <v/>
      </c>
      <c r="V822">
        <f>IF(AND(Transactions!A822&lt;&gt;"",E822=0),ROW(),"")</f>
        <v/>
      </c>
      <c r="W822">
        <f>IFERROR(VLOOKUP(A822,Opening!$A:$D,4,0),0)</f>
        <v/>
      </c>
    </row>
    <row r="823">
      <c r="A823">
        <f>IF(Transactions!D823="","",UPPER(TRIM(Transactions!D823)))</f>
        <v/>
      </c>
      <c r="B823">
        <f>IF(Transactions!C823="","",UPPER(TRIM(Transactions!C823)))</f>
        <v/>
      </c>
      <c r="C823">
        <f>IF(Transactions!B823="",0,YEAR(Transactions!B823)*100+MONTH(Transactions!B823))</f>
        <v/>
      </c>
      <c r="D823">
        <f>IF(Transactions!A823="",1,IF(COUNTIF(Transactions!$A$1:A822,Transactions!A823)&gt;0,1,0))</f>
        <v/>
      </c>
      <c r="E823">
        <f>IF(D823=1,0,IF(B823="RETURN",IF(COUNTIFS($A$1:A822,A823,$B$1:B822,"SALE",$E$1:E822,1)&gt;0,1,0),1))</f>
        <v/>
      </c>
      <c r="F823">
        <f>IF(E823=1,IF(B823="RECEIPT",Transactions!E823,IF(AND(B823="RETURN",LOWER(TRIM(Transactions!H823))="resellable"),Transactions!E823,0)),0)</f>
        <v/>
      </c>
      <c r="G823">
        <f>IF(F823&gt;0,IF(B823="RECEIPT",Transactions!F823,IF(_xlfn.MAXIFS($H$2:H823,$A$2:A823,A823)&gt;0,INDEX(Transactions!$F:$F,_xlfn.MAXIFS($H$2:H823,$A$2:A823,A823)),W823)),0)</f>
        <v/>
      </c>
      <c r="H823">
        <f>IF(AND(E823=1,B823="RECEIPT"),ROW(),0)</f>
        <v/>
      </c>
      <c r="I823">
        <f>IF(E823=1,IF(OR(B823="SALE",B823="WRITEOFF"),Transactions!E823,0),0)</f>
        <v/>
      </c>
      <c r="J823">
        <f>SUMIFS($F$1:F822,$A$1:A822,A823)</f>
        <v/>
      </c>
      <c r="K823">
        <f>SUMIFS($I$1:I822,$A$1:A822,A823)</f>
        <v/>
      </c>
      <c r="L823">
        <f>IFERROR(VLOOKUP(A823,Opening!$A:$C,3,0),0)</f>
        <v/>
      </c>
      <c r="M823">
        <f>IF(I823=0,0,MAX(0,MIN(INDEX(Month!H$2:H$13,MATCH($A823,Month!$A$2:$A$13,0))-K823,I823)))</f>
        <v/>
      </c>
      <c r="N823">
        <f>IF(I823=0,0,MAX(0,MIN(INDEX(Month!I$2:I$13,MATCH($A823,Month!$A$2:$A$13,0))-K823,I823)))</f>
        <v/>
      </c>
      <c r="O823">
        <f>IF(I823=0,0,MAX(0,MIN(INDEX(Month!J$2:J$13,MATCH($A823,Month!$A$2:$A$13,0))-K823,I823)))</f>
        <v/>
      </c>
      <c r="P823">
        <f>IF(I823=0,0,(MIN(MAX(K823,0),L823)*W823+SUMPRODUCT((Calc!$A$2:$A$1001=A823)*Calc!$G$2:$G$1001*(((K823-(L823+Calc!$J$2:$J$1001))&gt;0)*((K823-(L823+Calc!$J$2:$J$1001))&lt;Calc!$F$2:$F$1001)*(K823-(L823+Calc!$J$2:$J$1001))+((K823-(L823+Calc!$J$2:$J$1001))&gt;=Calc!$F$2:$F$1001)*Calc!$F$2:$F$1001))))</f>
        <v/>
      </c>
      <c r="Q823">
        <f>IF(I823=0,0,(MIN(MAX((K823+M823),0),L823)*W823+SUMPRODUCT((Calc!$A$2:$A$1001=A823)*Calc!$G$2:$G$1001*((((K823+M823)-(L823+Calc!$J$2:$J$1001))&gt;0)*(((K823+M823)-(L823+Calc!$J$2:$J$1001))&lt;Calc!$F$2:$F$1001)*((K823+M823)-(L823+Calc!$J$2:$J$1001))+(((K823+M823)-(L823+Calc!$J$2:$J$1001))&gt;=Calc!$F$2:$F$1001)*Calc!$F$2:$F$1001))))</f>
        <v/>
      </c>
      <c r="R823">
        <f>IF(I823=0,0,(MIN(MAX((K823+N823),0),L823)*W823+SUMPRODUCT((Calc!$A$2:$A$1001=A823)*Calc!$G$2:$G$1001*((((K823+N823)-(L823+Calc!$J$2:$J$1001))&gt;0)*(((K823+N823)-(L823+Calc!$J$2:$J$1001))&lt;Calc!$F$2:$F$1001)*((K823+N823)-(L823+Calc!$J$2:$J$1001))+(((K823+N823)-(L823+Calc!$J$2:$J$1001))&gt;=Calc!$F$2:$F$1001)*Calc!$F$2:$F$1001))))</f>
        <v/>
      </c>
      <c r="S823">
        <f>IF(I823=0,0,(MIN(MAX((K823+O823),0),L823)*W823+SUMPRODUCT((Calc!$A$2:$A$1001=A823)*Calc!$G$2:$G$1001*((((K823+O823)-(L823+Calc!$J$2:$J$1001))&gt;0)*(((K823+O823)-(L823+Calc!$J$2:$J$1001))&lt;Calc!$F$2:$F$1001)*((K823+O823)-(L823+Calc!$J$2:$J$1001))+(((K823+O823)-(L823+Calc!$J$2:$J$1001))&gt;=Calc!$F$2:$F$1001)*Calc!$F$2:$F$1001))))</f>
        <v/>
      </c>
      <c r="T823">
        <f>IF(AND(E823=1,B823="RETURN"),Transactions!E823*Transactions!G823,0)</f>
        <v/>
      </c>
      <c r="U823">
        <f>IF(AND(E823=1,B823="EXPENSE"),Transactions!J823,0)</f>
        <v/>
      </c>
      <c r="V823">
        <f>IF(AND(Transactions!A823&lt;&gt;"",E823=0),ROW(),"")</f>
        <v/>
      </c>
      <c r="W823">
        <f>IFERROR(VLOOKUP(A823,Opening!$A:$D,4,0),0)</f>
        <v/>
      </c>
    </row>
    <row r="824">
      <c r="A824">
        <f>IF(Transactions!D824="","",UPPER(TRIM(Transactions!D824)))</f>
        <v/>
      </c>
      <c r="B824">
        <f>IF(Transactions!C824="","",UPPER(TRIM(Transactions!C824)))</f>
        <v/>
      </c>
      <c r="C824">
        <f>IF(Transactions!B824="",0,YEAR(Transactions!B824)*100+MONTH(Transactions!B824))</f>
        <v/>
      </c>
      <c r="D824">
        <f>IF(Transactions!A824="",1,IF(COUNTIF(Transactions!$A$1:A823,Transactions!A824)&gt;0,1,0))</f>
        <v/>
      </c>
      <c r="E824">
        <f>IF(D824=1,0,IF(B824="RETURN",IF(COUNTIFS($A$1:A823,A824,$B$1:B823,"SALE",$E$1:E823,1)&gt;0,1,0),1))</f>
        <v/>
      </c>
      <c r="F824">
        <f>IF(E824=1,IF(B824="RECEIPT",Transactions!E824,IF(AND(B824="RETURN",LOWER(TRIM(Transactions!H824))="resellable"),Transactions!E824,0)),0)</f>
        <v/>
      </c>
      <c r="G824">
        <f>IF(F824&gt;0,IF(B824="RECEIPT",Transactions!F824,IF(_xlfn.MAXIFS($H$2:H824,$A$2:A824,A824)&gt;0,INDEX(Transactions!$F:$F,_xlfn.MAXIFS($H$2:H824,$A$2:A824,A824)),W824)),0)</f>
        <v/>
      </c>
      <c r="H824">
        <f>IF(AND(E824=1,B824="RECEIPT"),ROW(),0)</f>
        <v/>
      </c>
      <c r="I824">
        <f>IF(E824=1,IF(OR(B824="SALE",B824="WRITEOFF"),Transactions!E824,0),0)</f>
        <v/>
      </c>
      <c r="J824">
        <f>SUMIFS($F$1:F823,$A$1:A823,A824)</f>
        <v/>
      </c>
      <c r="K824">
        <f>SUMIFS($I$1:I823,$A$1:A823,A824)</f>
        <v/>
      </c>
      <c r="L824">
        <f>IFERROR(VLOOKUP(A824,Opening!$A:$C,3,0),0)</f>
        <v/>
      </c>
      <c r="M824">
        <f>IF(I824=0,0,MAX(0,MIN(INDEX(Month!H$2:H$13,MATCH($A824,Month!$A$2:$A$13,0))-K824,I824)))</f>
        <v/>
      </c>
      <c r="N824">
        <f>IF(I824=0,0,MAX(0,MIN(INDEX(Month!I$2:I$13,MATCH($A824,Month!$A$2:$A$13,0))-K824,I824)))</f>
        <v/>
      </c>
      <c r="O824">
        <f>IF(I824=0,0,MAX(0,MIN(INDEX(Month!J$2:J$13,MATCH($A824,Month!$A$2:$A$13,0))-K824,I824)))</f>
        <v/>
      </c>
      <c r="P824">
        <f>IF(I824=0,0,(MIN(MAX(K824,0),L824)*W824+SUMPRODUCT((Calc!$A$2:$A$1001=A824)*Calc!$G$2:$G$1001*(((K824-(L824+Calc!$J$2:$J$1001))&gt;0)*((K824-(L824+Calc!$J$2:$J$1001))&lt;Calc!$F$2:$F$1001)*(K824-(L824+Calc!$J$2:$J$1001))+((K824-(L824+Calc!$J$2:$J$1001))&gt;=Calc!$F$2:$F$1001)*Calc!$F$2:$F$1001))))</f>
        <v/>
      </c>
      <c r="Q824">
        <f>IF(I824=0,0,(MIN(MAX((K824+M824),0),L824)*W824+SUMPRODUCT((Calc!$A$2:$A$1001=A824)*Calc!$G$2:$G$1001*((((K824+M824)-(L824+Calc!$J$2:$J$1001))&gt;0)*(((K824+M824)-(L824+Calc!$J$2:$J$1001))&lt;Calc!$F$2:$F$1001)*((K824+M824)-(L824+Calc!$J$2:$J$1001))+(((K824+M824)-(L824+Calc!$J$2:$J$1001))&gt;=Calc!$F$2:$F$1001)*Calc!$F$2:$F$1001))))</f>
        <v/>
      </c>
      <c r="R824">
        <f>IF(I824=0,0,(MIN(MAX((K824+N824),0),L824)*W824+SUMPRODUCT((Calc!$A$2:$A$1001=A824)*Calc!$G$2:$G$1001*((((K824+N824)-(L824+Calc!$J$2:$J$1001))&gt;0)*(((K824+N824)-(L824+Calc!$J$2:$J$1001))&lt;Calc!$F$2:$F$1001)*((K824+N824)-(L824+Calc!$J$2:$J$1001))+(((K824+N824)-(L824+Calc!$J$2:$J$1001))&gt;=Calc!$F$2:$F$1001)*Calc!$F$2:$F$1001))))</f>
        <v/>
      </c>
      <c r="S824">
        <f>IF(I824=0,0,(MIN(MAX((K824+O824),0),L824)*W824+SUMPRODUCT((Calc!$A$2:$A$1001=A824)*Calc!$G$2:$G$1001*((((K824+O824)-(L824+Calc!$J$2:$J$1001))&gt;0)*(((K824+O824)-(L824+Calc!$J$2:$J$1001))&lt;Calc!$F$2:$F$1001)*((K824+O824)-(L824+Calc!$J$2:$J$1001))+(((K824+O824)-(L824+Calc!$J$2:$J$1001))&gt;=Calc!$F$2:$F$1001)*Calc!$F$2:$F$1001))))</f>
        <v/>
      </c>
      <c r="T824">
        <f>IF(AND(E824=1,B824="RETURN"),Transactions!E824*Transactions!G824,0)</f>
        <v/>
      </c>
      <c r="U824">
        <f>IF(AND(E824=1,B824="EXPENSE"),Transactions!J824,0)</f>
        <v/>
      </c>
      <c r="V824">
        <f>IF(AND(Transactions!A824&lt;&gt;"",E824=0),ROW(),"")</f>
        <v/>
      </c>
      <c r="W824">
        <f>IFERROR(VLOOKUP(A824,Opening!$A:$D,4,0),0)</f>
        <v/>
      </c>
    </row>
    <row r="825">
      <c r="A825">
        <f>IF(Transactions!D825="","",UPPER(TRIM(Transactions!D825)))</f>
        <v/>
      </c>
      <c r="B825">
        <f>IF(Transactions!C825="","",UPPER(TRIM(Transactions!C825)))</f>
        <v/>
      </c>
      <c r="C825">
        <f>IF(Transactions!B825="",0,YEAR(Transactions!B825)*100+MONTH(Transactions!B825))</f>
        <v/>
      </c>
      <c r="D825">
        <f>IF(Transactions!A825="",1,IF(COUNTIF(Transactions!$A$1:A824,Transactions!A825)&gt;0,1,0))</f>
        <v/>
      </c>
      <c r="E825">
        <f>IF(D825=1,0,IF(B825="RETURN",IF(COUNTIFS($A$1:A824,A825,$B$1:B824,"SALE",$E$1:E824,1)&gt;0,1,0),1))</f>
        <v/>
      </c>
      <c r="F825">
        <f>IF(E825=1,IF(B825="RECEIPT",Transactions!E825,IF(AND(B825="RETURN",LOWER(TRIM(Transactions!H825))="resellable"),Transactions!E825,0)),0)</f>
        <v/>
      </c>
      <c r="G825">
        <f>IF(F825&gt;0,IF(B825="RECEIPT",Transactions!F825,IF(_xlfn.MAXIFS($H$2:H825,$A$2:A825,A825)&gt;0,INDEX(Transactions!$F:$F,_xlfn.MAXIFS($H$2:H825,$A$2:A825,A825)),W825)),0)</f>
        <v/>
      </c>
      <c r="H825">
        <f>IF(AND(E825=1,B825="RECEIPT"),ROW(),0)</f>
        <v/>
      </c>
      <c r="I825">
        <f>IF(E825=1,IF(OR(B825="SALE",B825="WRITEOFF"),Transactions!E825,0),0)</f>
        <v/>
      </c>
      <c r="J825">
        <f>SUMIFS($F$1:F824,$A$1:A824,A825)</f>
        <v/>
      </c>
      <c r="K825">
        <f>SUMIFS($I$1:I824,$A$1:A824,A825)</f>
        <v/>
      </c>
      <c r="L825">
        <f>IFERROR(VLOOKUP(A825,Opening!$A:$C,3,0),0)</f>
        <v/>
      </c>
      <c r="M825">
        <f>IF(I825=0,0,MAX(0,MIN(INDEX(Month!H$2:H$13,MATCH($A825,Month!$A$2:$A$13,0))-K825,I825)))</f>
        <v/>
      </c>
      <c r="N825">
        <f>IF(I825=0,0,MAX(0,MIN(INDEX(Month!I$2:I$13,MATCH($A825,Month!$A$2:$A$13,0))-K825,I825)))</f>
        <v/>
      </c>
      <c r="O825">
        <f>IF(I825=0,0,MAX(0,MIN(INDEX(Month!J$2:J$13,MATCH($A825,Month!$A$2:$A$13,0))-K825,I825)))</f>
        <v/>
      </c>
      <c r="P825">
        <f>IF(I825=0,0,(MIN(MAX(K825,0),L825)*W825+SUMPRODUCT((Calc!$A$2:$A$1001=A825)*Calc!$G$2:$G$1001*(((K825-(L825+Calc!$J$2:$J$1001))&gt;0)*((K825-(L825+Calc!$J$2:$J$1001))&lt;Calc!$F$2:$F$1001)*(K825-(L825+Calc!$J$2:$J$1001))+((K825-(L825+Calc!$J$2:$J$1001))&gt;=Calc!$F$2:$F$1001)*Calc!$F$2:$F$1001))))</f>
        <v/>
      </c>
      <c r="Q825">
        <f>IF(I825=0,0,(MIN(MAX((K825+M825),0),L825)*W825+SUMPRODUCT((Calc!$A$2:$A$1001=A825)*Calc!$G$2:$G$1001*((((K825+M825)-(L825+Calc!$J$2:$J$1001))&gt;0)*(((K825+M825)-(L825+Calc!$J$2:$J$1001))&lt;Calc!$F$2:$F$1001)*((K825+M825)-(L825+Calc!$J$2:$J$1001))+(((K825+M825)-(L825+Calc!$J$2:$J$1001))&gt;=Calc!$F$2:$F$1001)*Calc!$F$2:$F$1001))))</f>
        <v/>
      </c>
      <c r="R825">
        <f>IF(I825=0,0,(MIN(MAX((K825+N825),0),L825)*W825+SUMPRODUCT((Calc!$A$2:$A$1001=A825)*Calc!$G$2:$G$1001*((((K825+N825)-(L825+Calc!$J$2:$J$1001))&gt;0)*(((K825+N825)-(L825+Calc!$J$2:$J$1001))&lt;Calc!$F$2:$F$1001)*((K825+N825)-(L825+Calc!$J$2:$J$1001))+(((K825+N825)-(L825+Calc!$J$2:$J$1001))&gt;=Calc!$F$2:$F$1001)*Calc!$F$2:$F$1001))))</f>
        <v/>
      </c>
      <c r="S825">
        <f>IF(I825=0,0,(MIN(MAX((K825+O825),0),L825)*W825+SUMPRODUCT((Calc!$A$2:$A$1001=A825)*Calc!$G$2:$G$1001*((((K825+O825)-(L825+Calc!$J$2:$J$1001))&gt;0)*(((K825+O825)-(L825+Calc!$J$2:$J$1001))&lt;Calc!$F$2:$F$1001)*((K825+O825)-(L825+Calc!$J$2:$J$1001))+(((K825+O825)-(L825+Calc!$J$2:$J$1001))&gt;=Calc!$F$2:$F$1001)*Calc!$F$2:$F$1001))))</f>
        <v/>
      </c>
      <c r="T825">
        <f>IF(AND(E825=1,B825="RETURN"),Transactions!E825*Transactions!G825,0)</f>
        <v/>
      </c>
      <c r="U825">
        <f>IF(AND(E825=1,B825="EXPENSE"),Transactions!J825,0)</f>
        <v/>
      </c>
      <c r="V825">
        <f>IF(AND(Transactions!A825&lt;&gt;"",E825=0),ROW(),"")</f>
        <v/>
      </c>
      <c r="W825">
        <f>IFERROR(VLOOKUP(A825,Opening!$A:$D,4,0),0)</f>
        <v/>
      </c>
    </row>
    <row r="826">
      <c r="A826">
        <f>IF(Transactions!D826="","",UPPER(TRIM(Transactions!D826)))</f>
        <v/>
      </c>
      <c r="B826">
        <f>IF(Transactions!C826="","",UPPER(TRIM(Transactions!C826)))</f>
        <v/>
      </c>
      <c r="C826">
        <f>IF(Transactions!B826="",0,YEAR(Transactions!B826)*100+MONTH(Transactions!B826))</f>
        <v/>
      </c>
      <c r="D826">
        <f>IF(Transactions!A826="",1,IF(COUNTIF(Transactions!$A$1:A825,Transactions!A826)&gt;0,1,0))</f>
        <v/>
      </c>
      <c r="E826">
        <f>IF(D826=1,0,IF(B826="RETURN",IF(COUNTIFS($A$1:A825,A826,$B$1:B825,"SALE",$E$1:E825,1)&gt;0,1,0),1))</f>
        <v/>
      </c>
      <c r="F826">
        <f>IF(E826=1,IF(B826="RECEIPT",Transactions!E826,IF(AND(B826="RETURN",LOWER(TRIM(Transactions!H826))="resellable"),Transactions!E826,0)),0)</f>
        <v/>
      </c>
      <c r="G826">
        <f>IF(F826&gt;0,IF(B826="RECEIPT",Transactions!F826,IF(_xlfn.MAXIFS($H$2:H826,$A$2:A826,A826)&gt;0,INDEX(Transactions!$F:$F,_xlfn.MAXIFS($H$2:H826,$A$2:A826,A826)),W826)),0)</f>
        <v/>
      </c>
      <c r="H826">
        <f>IF(AND(E826=1,B826="RECEIPT"),ROW(),0)</f>
        <v/>
      </c>
      <c r="I826">
        <f>IF(E826=1,IF(OR(B826="SALE",B826="WRITEOFF"),Transactions!E826,0),0)</f>
        <v/>
      </c>
      <c r="J826">
        <f>SUMIFS($F$1:F825,$A$1:A825,A826)</f>
        <v/>
      </c>
      <c r="K826">
        <f>SUMIFS($I$1:I825,$A$1:A825,A826)</f>
        <v/>
      </c>
      <c r="L826">
        <f>IFERROR(VLOOKUP(A826,Opening!$A:$C,3,0),0)</f>
        <v/>
      </c>
      <c r="M826">
        <f>IF(I826=0,0,MAX(0,MIN(INDEX(Month!H$2:H$13,MATCH($A826,Month!$A$2:$A$13,0))-K826,I826)))</f>
        <v/>
      </c>
      <c r="N826">
        <f>IF(I826=0,0,MAX(0,MIN(INDEX(Month!I$2:I$13,MATCH($A826,Month!$A$2:$A$13,0))-K826,I826)))</f>
        <v/>
      </c>
      <c r="O826">
        <f>IF(I826=0,0,MAX(0,MIN(INDEX(Month!J$2:J$13,MATCH($A826,Month!$A$2:$A$13,0))-K826,I826)))</f>
        <v/>
      </c>
      <c r="P826">
        <f>IF(I826=0,0,(MIN(MAX(K826,0),L826)*W826+SUMPRODUCT((Calc!$A$2:$A$1001=A826)*Calc!$G$2:$G$1001*(((K826-(L826+Calc!$J$2:$J$1001))&gt;0)*((K826-(L826+Calc!$J$2:$J$1001))&lt;Calc!$F$2:$F$1001)*(K826-(L826+Calc!$J$2:$J$1001))+((K826-(L826+Calc!$J$2:$J$1001))&gt;=Calc!$F$2:$F$1001)*Calc!$F$2:$F$1001))))</f>
        <v/>
      </c>
      <c r="Q826">
        <f>IF(I826=0,0,(MIN(MAX((K826+M826),0),L826)*W826+SUMPRODUCT((Calc!$A$2:$A$1001=A826)*Calc!$G$2:$G$1001*((((K826+M826)-(L826+Calc!$J$2:$J$1001))&gt;0)*(((K826+M826)-(L826+Calc!$J$2:$J$1001))&lt;Calc!$F$2:$F$1001)*((K826+M826)-(L826+Calc!$J$2:$J$1001))+(((K826+M826)-(L826+Calc!$J$2:$J$1001))&gt;=Calc!$F$2:$F$1001)*Calc!$F$2:$F$1001))))</f>
        <v/>
      </c>
      <c r="R826">
        <f>IF(I826=0,0,(MIN(MAX((K826+N826),0),L826)*W826+SUMPRODUCT((Calc!$A$2:$A$1001=A826)*Calc!$G$2:$G$1001*((((K826+N826)-(L826+Calc!$J$2:$J$1001))&gt;0)*(((K826+N826)-(L826+Calc!$J$2:$J$1001))&lt;Calc!$F$2:$F$1001)*((K826+N826)-(L826+Calc!$J$2:$J$1001))+(((K826+N826)-(L826+Calc!$J$2:$J$1001))&gt;=Calc!$F$2:$F$1001)*Calc!$F$2:$F$1001))))</f>
        <v/>
      </c>
      <c r="S826">
        <f>IF(I826=0,0,(MIN(MAX((K826+O826),0),L826)*W826+SUMPRODUCT((Calc!$A$2:$A$1001=A826)*Calc!$G$2:$G$1001*((((K826+O826)-(L826+Calc!$J$2:$J$1001))&gt;0)*(((K826+O826)-(L826+Calc!$J$2:$J$1001))&lt;Calc!$F$2:$F$1001)*((K826+O826)-(L826+Calc!$J$2:$J$1001))+(((K826+O826)-(L826+Calc!$J$2:$J$1001))&gt;=Calc!$F$2:$F$1001)*Calc!$F$2:$F$1001))))</f>
        <v/>
      </c>
      <c r="T826">
        <f>IF(AND(E826=1,B826="RETURN"),Transactions!E826*Transactions!G826,0)</f>
        <v/>
      </c>
      <c r="U826">
        <f>IF(AND(E826=1,B826="EXPENSE"),Transactions!J826,0)</f>
        <v/>
      </c>
      <c r="V826">
        <f>IF(AND(Transactions!A826&lt;&gt;"",E826=0),ROW(),"")</f>
        <v/>
      </c>
      <c r="W826">
        <f>IFERROR(VLOOKUP(A826,Opening!$A:$D,4,0),0)</f>
        <v/>
      </c>
    </row>
    <row r="827">
      <c r="A827">
        <f>IF(Transactions!D827="","",UPPER(TRIM(Transactions!D827)))</f>
        <v/>
      </c>
      <c r="B827">
        <f>IF(Transactions!C827="","",UPPER(TRIM(Transactions!C827)))</f>
        <v/>
      </c>
      <c r="C827">
        <f>IF(Transactions!B827="",0,YEAR(Transactions!B827)*100+MONTH(Transactions!B827))</f>
        <v/>
      </c>
      <c r="D827">
        <f>IF(Transactions!A827="",1,IF(COUNTIF(Transactions!$A$1:A826,Transactions!A827)&gt;0,1,0))</f>
        <v/>
      </c>
      <c r="E827">
        <f>IF(D827=1,0,IF(B827="RETURN",IF(COUNTIFS($A$1:A826,A827,$B$1:B826,"SALE",$E$1:E826,1)&gt;0,1,0),1))</f>
        <v/>
      </c>
      <c r="F827">
        <f>IF(E827=1,IF(B827="RECEIPT",Transactions!E827,IF(AND(B827="RETURN",LOWER(TRIM(Transactions!H827))="resellable"),Transactions!E827,0)),0)</f>
        <v/>
      </c>
      <c r="G827">
        <f>IF(F827&gt;0,IF(B827="RECEIPT",Transactions!F827,IF(_xlfn.MAXIFS($H$2:H827,$A$2:A827,A827)&gt;0,INDEX(Transactions!$F:$F,_xlfn.MAXIFS($H$2:H827,$A$2:A827,A827)),W827)),0)</f>
        <v/>
      </c>
      <c r="H827">
        <f>IF(AND(E827=1,B827="RECEIPT"),ROW(),0)</f>
        <v/>
      </c>
      <c r="I827">
        <f>IF(E827=1,IF(OR(B827="SALE",B827="WRITEOFF"),Transactions!E827,0),0)</f>
        <v/>
      </c>
      <c r="J827">
        <f>SUMIFS($F$1:F826,$A$1:A826,A827)</f>
        <v/>
      </c>
      <c r="K827">
        <f>SUMIFS($I$1:I826,$A$1:A826,A827)</f>
        <v/>
      </c>
      <c r="L827">
        <f>IFERROR(VLOOKUP(A827,Opening!$A:$C,3,0),0)</f>
        <v/>
      </c>
      <c r="M827">
        <f>IF(I827=0,0,MAX(0,MIN(INDEX(Month!H$2:H$13,MATCH($A827,Month!$A$2:$A$13,0))-K827,I827)))</f>
        <v/>
      </c>
      <c r="N827">
        <f>IF(I827=0,0,MAX(0,MIN(INDEX(Month!I$2:I$13,MATCH($A827,Month!$A$2:$A$13,0))-K827,I827)))</f>
        <v/>
      </c>
      <c r="O827">
        <f>IF(I827=0,0,MAX(0,MIN(INDEX(Month!J$2:J$13,MATCH($A827,Month!$A$2:$A$13,0))-K827,I827)))</f>
        <v/>
      </c>
      <c r="P827">
        <f>IF(I827=0,0,(MIN(MAX(K827,0),L827)*W827+SUMPRODUCT((Calc!$A$2:$A$1001=A827)*Calc!$G$2:$G$1001*(((K827-(L827+Calc!$J$2:$J$1001))&gt;0)*((K827-(L827+Calc!$J$2:$J$1001))&lt;Calc!$F$2:$F$1001)*(K827-(L827+Calc!$J$2:$J$1001))+((K827-(L827+Calc!$J$2:$J$1001))&gt;=Calc!$F$2:$F$1001)*Calc!$F$2:$F$1001))))</f>
        <v/>
      </c>
      <c r="Q827">
        <f>IF(I827=0,0,(MIN(MAX((K827+M827),0),L827)*W827+SUMPRODUCT((Calc!$A$2:$A$1001=A827)*Calc!$G$2:$G$1001*((((K827+M827)-(L827+Calc!$J$2:$J$1001))&gt;0)*(((K827+M827)-(L827+Calc!$J$2:$J$1001))&lt;Calc!$F$2:$F$1001)*((K827+M827)-(L827+Calc!$J$2:$J$1001))+(((K827+M827)-(L827+Calc!$J$2:$J$1001))&gt;=Calc!$F$2:$F$1001)*Calc!$F$2:$F$1001))))</f>
        <v/>
      </c>
      <c r="R827">
        <f>IF(I827=0,0,(MIN(MAX((K827+N827),0),L827)*W827+SUMPRODUCT((Calc!$A$2:$A$1001=A827)*Calc!$G$2:$G$1001*((((K827+N827)-(L827+Calc!$J$2:$J$1001))&gt;0)*(((K827+N827)-(L827+Calc!$J$2:$J$1001))&lt;Calc!$F$2:$F$1001)*((K827+N827)-(L827+Calc!$J$2:$J$1001))+(((K827+N827)-(L827+Calc!$J$2:$J$1001))&gt;=Calc!$F$2:$F$1001)*Calc!$F$2:$F$1001))))</f>
        <v/>
      </c>
      <c r="S827">
        <f>IF(I827=0,0,(MIN(MAX((K827+O827),0),L827)*W827+SUMPRODUCT((Calc!$A$2:$A$1001=A827)*Calc!$G$2:$G$1001*((((K827+O827)-(L827+Calc!$J$2:$J$1001))&gt;0)*(((K827+O827)-(L827+Calc!$J$2:$J$1001))&lt;Calc!$F$2:$F$1001)*((K827+O827)-(L827+Calc!$J$2:$J$1001))+(((K827+O827)-(L827+Calc!$J$2:$J$1001))&gt;=Calc!$F$2:$F$1001)*Calc!$F$2:$F$1001))))</f>
        <v/>
      </c>
      <c r="T827">
        <f>IF(AND(E827=1,B827="RETURN"),Transactions!E827*Transactions!G827,0)</f>
        <v/>
      </c>
      <c r="U827">
        <f>IF(AND(E827=1,B827="EXPENSE"),Transactions!J827,0)</f>
        <v/>
      </c>
      <c r="V827">
        <f>IF(AND(Transactions!A827&lt;&gt;"",E827=0),ROW(),"")</f>
        <v/>
      </c>
      <c r="W827">
        <f>IFERROR(VLOOKUP(A827,Opening!$A:$D,4,0),0)</f>
        <v/>
      </c>
    </row>
    <row r="828">
      <c r="A828">
        <f>IF(Transactions!D828="","",UPPER(TRIM(Transactions!D828)))</f>
        <v/>
      </c>
      <c r="B828">
        <f>IF(Transactions!C828="","",UPPER(TRIM(Transactions!C828)))</f>
        <v/>
      </c>
      <c r="C828">
        <f>IF(Transactions!B828="",0,YEAR(Transactions!B828)*100+MONTH(Transactions!B828))</f>
        <v/>
      </c>
      <c r="D828">
        <f>IF(Transactions!A828="",1,IF(COUNTIF(Transactions!$A$1:A827,Transactions!A828)&gt;0,1,0))</f>
        <v/>
      </c>
      <c r="E828">
        <f>IF(D828=1,0,IF(B828="RETURN",IF(COUNTIFS($A$1:A827,A828,$B$1:B827,"SALE",$E$1:E827,1)&gt;0,1,0),1))</f>
        <v/>
      </c>
      <c r="F828">
        <f>IF(E828=1,IF(B828="RECEIPT",Transactions!E828,IF(AND(B828="RETURN",LOWER(TRIM(Transactions!H828))="resellable"),Transactions!E828,0)),0)</f>
        <v/>
      </c>
      <c r="G828">
        <f>IF(F828&gt;0,IF(B828="RECEIPT",Transactions!F828,IF(_xlfn.MAXIFS($H$2:H828,$A$2:A828,A828)&gt;0,INDEX(Transactions!$F:$F,_xlfn.MAXIFS($H$2:H828,$A$2:A828,A828)),W828)),0)</f>
        <v/>
      </c>
      <c r="H828">
        <f>IF(AND(E828=1,B828="RECEIPT"),ROW(),0)</f>
        <v/>
      </c>
      <c r="I828">
        <f>IF(E828=1,IF(OR(B828="SALE",B828="WRITEOFF"),Transactions!E828,0),0)</f>
        <v/>
      </c>
      <c r="J828">
        <f>SUMIFS($F$1:F827,$A$1:A827,A828)</f>
        <v/>
      </c>
      <c r="K828">
        <f>SUMIFS($I$1:I827,$A$1:A827,A828)</f>
        <v/>
      </c>
      <c r="L828">
        <f>IFERROR(VLOOKUP(A828,Opening!$A:$C,3,0),0)</f>
        <v/>
      </c>
      <c r="M828">
        <f>IF(I828=0,0,MAX(0,MIN(INDEX(Month!H$2:H$13,MATCH($A828,Month!$A$2:$A$13,0))-K828,I828)))</f>
        <v/>
      </c>
      <c r="N828">
        <f>IF(I828=0,0,MAX(0,MIN(INDEX(Month!I$2:I$13,MATCH($A828,Month!$A$2:$A$13,0))-K828,I828)))</f>
        <v/>
      </c>
      <c r="O828">
        <f>IF(I828=0,0,MAX(0,MIN(INDEX(Month!J$2:J$13,MATCH($A828,Month!$A$2:$A$13,0))-K828,I828)))</f>
        <v/>
      </c>
      <c r="P828">
        <f>IF(I828=0,0,(MIN(MAX(K828,0),L828)*W828+SUMPRODUCT((Calc!$A$2:$A$1001=A828)*Calc!$G$2:$G$1001*(((K828-(L828+Calc!$J$2:$J$1001))&gt;0)*((K828-(L828+Calc!$J$2:$J$1001))&lt;Calc!$F$2:$F$1001)*(K828-(L828+Calc!$J$2:$J$1001))+((K828-(L828+Calc!$J$2:$J$1001))&gt;=Calc!$F$2:$F$1001)*Calc!$F$2:$F$1001))))</f>
        <v/>
      </c>
      <c r="Q828">
        <f>IF(I828=0,0,(MIN(MAX((K828+M828),0),L828)*W828+SUMPRODUCT((Calc!$A$2:$A$1001=A828)*Calc!$G$2:$G$1001*((((K828+M828)-(L828+Calc!$J$2:$J$1001))&gt;0)*(((K828+M828)-(L828+Calc!$J$2:$J$1001))&lt;Calc!$F$2:$F$1001)*((K828+M828)-(L828+Calc!$J$2:$J$1001))+(((K828+M828)-(L828+Calc!$J$2:$J$1001))&gt;=Calc!$F$2:$F$1001)*Calc!$F$2:$F$1001))))</f>
        <v/>
      </c>
      <c r="R828">
        <f>IF(I828=0,0,(MIN(MAX((K828+N828),0),L828)*W828+SUMPRODUCT((Calc!$A$2:$A$1001=A828)*Calc!$G$2:$G$1001*((((K828+N828)-(L828+Calc!$J$2:$J$1001))&gt;0)*(((K828+N828)-(L828+Calc!$J$2:$J$1001))&lt;Calc!$F$2:$F$1001)*((K828+N828)-(L828+Calc!$J$2:$J$1001))+(((K828+N828)-(L828+Calc!$J$2:$J$1001))&gt;=Calc!$F$2:$F$1001)*Calc!$F$2:$F$1001))))</f>
        <v/>
      </c>
      <c r="S828">
        <f>IF(I828=0,0,(MIN(MAX((K828+O828),0),L828)*W828+SUMPRODUCT((Calc!$A$2:$A$1001=A828)*Calc!$G$2:$G$1001*((((K828+O828)-(L828+Calc!$J$2:$J$1001))&gt;0)*(((K828+O828)-(L828+Calc!$J$2:$J$1001))&lt;Calc!$F$2:$F$1001)*((K828+O828)-(L828+Calc!$J$2:$J$1001))+(((K828+O828)-(L828+Calc!$J$2:$J$1001))&gt;=Calc!$F$2:$F$1001)*Calc!$F$2:$F$1001))))</f>
        <v/>
      </c>
      <c r="T828">
        <f>IF(AND(E828=1,B828="RETURN"),Transactions!E828*Transactions!G828,0)</f>
        <v/>
      </c>
      <c r="U828">
        <f>IF(AND(E828=1,B828="EXPENSE"),Transactions!J828,0)</f>
        <v/>
      </c>
      <c r="V828">
        <f>IF(AND(Transactions!A828&lt;&gt;"",E828=0),ROW(),"")</f>
        <v/>
      </c>
      <c r="W828">
        <f>IFERROR(VLOOKUP(A828,Opening!$A:$D,4,0),0)</f>
        <v/>
      </c>
    </row>
    <row r="829">
      <c r="A829">
        <f>IF(Transactions!D829="","",UPPER(TRIM(Transactions!D829)))</f>
        <v/>
      </c>
      <c r="B829">
        <f>IF(Transactions!C829="","",UPPER(TRIM(Transactions!C829)))</f>
        <v/>
      </c>
      <c r="C829">
        <f>IF(Transactions!B829="",0,YEAR(Transactions!B829)*100+MONTH(Transactions!B829))</f>
        <v/>
      </c>
      <c r="D829">
        <f>IF(Transactions!A829="",1,IF(COUNTIF(Transactions!$A$1:A828,Transactions!A829)&gt;0,1,0))</f>
        <v/>
      </c>
      <c r="E829">
        <f>IF(D829=1,0,IF(B829="RETURN",IF(COUNTIFS($A$1:A828,A829,$B$1:B828,"SALE",$E$1:E828,1)&gt;0,1,0),1))</f>
        <v/>
      </c>
      <c r="F829">
        <f>IF(E829=1,IF(B829="RECEIPT",Transactions!E829,IF(AND(B829="RETURN",LOWER(TRIM(Transactions!H829))="resellable"),Transactions!E829,0)),0)</f>
        <v/>
      </c>
      <c r="G829">
        <f>IF(F829&gt;0,IF(B829="RECEIPT",Transactions!F829,IF(_xlfn.MAXIFS($H$2:H829,$A$2:A829,A829)&gt;0,INDEX(Transactions!$F:$F,_xlfn.MAXIFS($H$2:H829,$A$2:A829,A829)),W829)),0)</f>
        <v/>
      </c>
      <c r="H829">
        <f>IF(AND(E829=1,B829="RECEIPT"),ROW(),0)</f>
        <v/>
      </c>
      <c r="I829">
        <f>IF(E829=1,IF(OR(B829="SALE",B829="WRITEOFF"),Transactions!E829,0),0)</f>
        <v/>
      </c>
      <c r="J829">
        <f>SUMIFS($F$1:F828,$A$1:A828,A829)</f>
        <v/>
      </c>
      <c r="K829">
        <f>SUMIFS($I$1:I828,$A$1:A828,A829)</f>
        <v/>
      </c>
      <c r="L829">
        <f>IFERROR(VLOOKUP(A829,Opening!$A:$C,3,0),0)</f>
        <v/>
      </c>
      <c r="M829">
        <f>IF(I829=0,0,MAX(0,MIN(INDEX(Month!H$2:H$13,MATCH($A829,Month!$A$2:$A$13,0))-K829,I829)))</f>
        <v/>
      </c>
      <c r="N829">
        <f>IF(I829=0,0,MAX(0,MIN(INDEX(Month!I$2:I$13,MATCH($A829,Month!$A$2:$A$13,0))-K829,I829)))</f>
        <v/>
      </c>
      <c r="O829">
        <f>IF(I829=0,0,MAX(0,MIN(INDEX(Month!J$2:J$13,MATCH($A829,Month!$A$2:$A$13,0))-K829,I829)))</f>
        <v/>
      </c>
      <c r="P829">
        <f>IF(I829=0,0,(MIN(MAX(K829,0),L829)*W829+SUMPRODUCT((Calc!$A$2:$A$1001=A829)*Calc!$G$2:$G$1001*(((K829-(L829+Calc!$J$2:$J$1001))&gt;0)*((K829-(L829+Calc!$J$2:$J$1001))&lt;Calc!$F$2:$F$1001)*(K829-(L829+Calc!$J$2:$J$1001))+((K829-(L829+Calc!$J$2:$J$1001))&gt;=Calc!$F$2:$F$1001)*Calc!$F$2:$F$1001))))</f>
        <v/>
      </c>
      <c r="Q829">
        <f>IF(I829=0,0,(MIN(MAX((K829+M829),0),L829)*W829+SUMPRODUCT((Calc!$A$2:$A$1001=A829)*Calc!$G$2:$G$1001*((((K829+M829)-(L829+Calc!$J$2:$J$1001))&gt;0)*(((K829+M829)-(L829+Calc!$J$2:$J$1001))&lt;Calc!$F$2:$F$1001)*((K829+M829)-(L829+Calc!$J$2:$J$1001))+(((K829+M829)-(L829+Calc!$J$2:$J$1001))&gt;=Calc!$F$2:$F$1001)*Calc!$F$2:$F$1001))))</f>
        <v/>
      </c>
      <c r="R829">
        <f>IF(I829=0,0,(MIN(MAX((K829+N829),0),L829)*W829+SUMPRODUCT((Calc!$A$2:$A$1001=A829)*Calc!$G$2:$G$1001*((((K829+N829)-(L829+Calc!$J$2:$J$1001))&gt;0)*(((K829+N829)-(L829+Calc!$J$2:$J$1001))&lt;Calc!$F$2:$F$1001)*((K829+N829)-(L829+Calc!$J$2:$J$1001))+(((K829+N829)-(L829+Calc!$J$2:$J$1001))&gt;=Calc!$F$2:$F$1001)*Calc!$F$2:$F$1001))))</f>
        <v/>
      </c>
      <c r="S829">
        <f>IF(I829=0,0,(MIN(MAX((K829+O829),0),L829)*W829+SUMPRODUCT((Calc!$A$2:$A$1001=A829)*Calc!$G$2:$G$1001*((((K829+O829)-(L829+Calc!$J$2:$J$1001))&gt;0)*(((K829+O829)-(L829+Calc!$J$2:$J$1001))&lt;Calc!$F$2:$F$1001)*((K829+O829)-(L829+Calc!$J$2:$J$1001))+(((K829+O829)-(L829+Calc!$J$2:$J$1001))&gt;=Calc!$F$2:$F$1001)*Calc!$F$2:$F$1001))))</f>
        <v/>
      </c>
      <c r="T829">
        <f>IF(AND(E829=1,B829="RETURN"),Transactions!E829*Transactions!G829,0)</f>
        <v/>
      </c>
      <c r="U829">
        <f>IF(AND(E829=1,B829="EXPENSE"),Transactions!J829,0)</f>
        <v/>
      </c>
      <c r="V829">
        <f>IF(AND(Transactions!A829&lt;&gt;"",E829=0),ROW(),"")</f>
        <v/>
      </c>
      <c r="W829">
        <f>IFERROR(VLOOKUP(A829,Opening!$A:$D,4,0),0)</f>
        <v/>
      </c>
    </row>
    <row r="830">
      <c r="A830">
        <f>IF(Transactions!D830="","",UPPER(TRIM(Transactions!D830)))</f>
        <v/>
      </c>
      <c r="B830">
        <f>IF(Transactions!C830="","",UPPER(TRIM(Transactions!C830)))</f>
        <v/>
      </c>
      <c r="C830">
        <f>IF(Transactions!B830="",0,YEAR(Transactions!B830)*100+MONTH(Transactions!B830))</f>
        <v/>
      </c>
      <c r="D830">
        <f>IF(Transactions!A830="",1,IF(COUNTIF(Transactions!$A$1:A829,Transactions!A830)&gt;0,1,0))</f>
        <v/>
      </c>
      <c r="E830">
        <f>IF(D830=1,0,IF(B830="RETURN",IF(COUNTIFS($A$1:A829,A830,$B$1:B829,"SALE",$E$1:E829,1)&gt;0,1,0),1))</f>
        <v/>
      </c>
      <c r="F830">
        <f>IF(E830=1,IF(B830="RECEIPT",Transactions!E830,IF(AND(B830="RETURN",LOWER(TRIM(Transactions!H830))="resellable"),Transactions!E830,0)),0)</f>
        <v/>
      </c>
      <c r="G830">
        <f>IF(F830&gt;0,IF(B830="RECEIPT",Transactions!F830,IF(_xlfn.MAXIFS($H$2:H830,$A$2:A830,A830)&gt;0,INDEX(Transactions!$F:$F,_xlfn.MAXIFS($H$2:H830,$A$2:A830,A830)),W830)),0)</f>
        <v/>
      </c>
      <c r="H830">
        <f>IF(AND(E830=1,B830="RECEIPT"),ROW(),0)</f>
        <v/>
      </c>
      <c r="I830">
        <f>IF(E830=1,IF(OR(B830="SALE",B830="WRITEOFF"),Transactions!E830,0),0)</f>
        <v/>
      </c>
      <c r="J830">
        <f>SUMIFS($F$1:F829,$A$1:A829,A830)</f>
        <v/>
      </c>
      <c r="K830">
        <f>SUMIFS($I$1:I829,$A$1:A829,A830)</f>
        <v/>
      </c>
      <c r="L830">
        <f>IFERROR(VLOOKUP(A830,Opening!$A:$C,3,0),0)</f>
        <v/>
      </c>
      <c r="M830">
        <f>IF(I830=0,0,MAX(0,MIN(INDEX(Month!H$2:H$13,MATCH($A830,Month!$A$2:$A$13,0))-K830,I830)))</f>
        <v/>
      </c>
      <c r="N830">
        <f>IF(I830=0,0,MAX(0,MIN(INDEX(Month!I$2:I$13,MATCH($A830,Month!$A$2:$A$13,0))-K830,I830)))</f>
        <v/>
      </c>
      <c r="O830">
        <f>IF(I830=0,0,MAX(0,MIN(INDEX(Month!J$2:J$13,MATCH($A830,Month!$A$2:$A$13,0))-K830,I830)))</f>
        <v/>
      </c>
      <c r="P830">
        <f>IF(I830=0,0,(MIN(MAX(K830,0),L830)*W830+SUMPRODUCT((Calc!$A$2:$A$1001=A830)*Calc!$G$2:$G$1001*(((K830-(L830+Calc!$J$2:$J$1001))&gt;0)*((K830-(L830+Calc!$J$2:$J$1001))&lt;Calc!$F$2:$F$1001)*(K830-(L830+Calc!$J$2:$J$1001))+((K830-(L830+Calc!$J$2:$J$1001))&gt;=Calc!$F$2:$F$1001)*Calc!$F$2:$F$1001))))</f>
        <v/>
      </c>
      <c r="Q830">
        <f>IF(I830=0,0,(MIN(MAX((K830+M830),0),L830)*W830+SUMPRODUCT((Calc!$A$2:$A$1001=A830)*Calc!$G$2:$G$1001*((((K830+M830)-(L830+Calc!$J$2:$J$1001))&gt;0)*(((K830+M830)-(L830+Calc!$J$2:$J$1001))&lt;Calc!$F$2:$F$1001)*((K830+M830)-(L830+Calc!$J$2:$J$1001))+(((K830+M830)-(L830+Calc!$J$2:$J$1001))&gt;=Calc!$F$2:$F$1001)*Calc!$F$2:$F$1001))))</f>
        <v/>
      </c>
      <c r="R830">
        <f>IF(I830=0,0,(MIN(MAX((K830+N830),0),L830)*W830+SUMPRODUCT((Calc!$A$2:$A$1001=A830)*Calc!$G$2:$G$1001*((((K830+N830)-(L830+Calc!$J$2:$J$1001))&gt;0)*(((K830+N830)-(L830+Calc!$J$2:$J$1001))&lt;Calc!$F$2:$F$1001)*((K830+N830)-(L830+Calc!$J$2:$J$1001))+(((K830+N830)-(L830+Calc!$J$2:$J$1001))&gt;=Calc!$F$2:$F$1001)*Calc!$F$2:$F$1001))))</f>
        <v/>
      </c>
      <c r="S830">
        <f>IF(I830=0,0,(MIN(MAX((K830+O830),0),L830)*W830+SUMPRODUCT((Calc!$A$2:$A$1001=A830)*Calc!$G$2:$G$1001*((((K830+O830)-(L830+Calc!$J$2:$J$1001))&gt;0)*(((K830+O830)-(L830+Calc!$J$2:$J$1001))&lt;Calc!$F$2:$F$1001)*((K830+O830)-(L830+Calc!$J$2:$J$1001))+(((K830+O830)-(L830+Calc!$J$2:$J$1001))&gt;=Calc!$F$2:$F$1001)*Calc!$F$2:$F$1001))))</f>
        <v/>
      </c>
      <c r="T830">
        <f>IF(AND(E830=1,B830="RETURN"),Transactions!E830*Transactions!G830,0)</f>
        <v/>
      </c>
      <c r="U830">
        <f>IF(AND(E830=1,B830="EXPENSE"),Transactions!J830,0)</f>
        <v/>
      </c>
      <c r="V830">
        <f>IF(AND(Transactions!A830&lt;&gt;"",E830=0),ROW(),"")</f>
        <v/>
      </c>
      <c r="W830">
        <f>IFERROR(VLOOKUP(A830,Opening!$A:$D,4,0),0)</f>
        <v/>
      </c>
    </row>
    <row r="831">
      <c r="A831">
        <f>IF(Transactions!D831="","",UPPER(TRIM(Transactions!D831)))</f>
        <v/>
      </c>
      <c r="B831">
        <f>IF(Transactions!C831="","",UPPER(TRIM(Transactions!C831)))</f>
        <v/>
      </c>
      <c r="C831">
        <f>IF(Transactions!B831="",0,YEAR(Transactions!B831)*100+MONTH(Transactions!B831))</f>
        <v/>
      </c>
      <c r="D831">
        <f>IF(Transactions!A831="",1,IF(COUNTIF(Transactions!$A$1:A830,Transactions!A831)&gt;0,1,0))</f>
        <v/>
      </c>
      <c r="E831">
        <f>IF(D831=1,0,IF(B831="RETURN",IF(COUNTIFS($A$1:A830,A831,$B$1:B830,"SALE",$E$1:E830,1)&gt;0,1,0),1))</f>
        <v/>
      </c>
      <c r="F831">
        <f>IF(E831=1,IF(B831="RECEIPT",Transactions!E831,IF(AND(B831="RETURN",LOWER(TRIM(Transactions!H831))="resellable"),Transactions!E831,0)),0)</f>
        <v/>
      </c>
      <c r="G831">
        <f>IF(F831&gt;0,IF(B831="RECEIPT",Transactions!F831,IF(_xlfn.MAXIFS($H$2:H831,$A$2:A831,A831)&gt;0,INDEX(Transactions!$F:$F,_xlfn.MAXIFS($H$2:H831,$A$2:A831,A831)),W831)),0)</f>
        <v/>
      </c>
      <c r="H831">
        <f>IF(AND(E831=1,B831="RECEIPT"),ROW(),0)</f>
        <v/>
      </c>
      <c r="I831">
        <f>IF(E831=1,IF(OR(B831="SALE",B831="WRITEOFF"),Transactions!E831,0),0)</f>
        <v/>
      </c>
      <c r="J831">
        <f>SUMIFS($F$1:F830,$A$1:A830,A831)</f>
        <v/>
      </c>
      <c r="K831">
        <f>SUMIFS($I$1:I830,$A$1:A830,A831)</f>
        <v/>
      </c>
      <c r="L831">
        <f>IFERROR(VLOOKUP(A831,Opening!$A:$C,3,0),0)</f>
        <v/>
      </c>
      <c r="M831">
        <f>IF(I831=0,0,MAX(0,MIN(INDEX(Month!H$2:H$13,MATCH($A831,Month!$A$2:$A$13,0))-K831,I831)))</f>
        <v/>
      </c>
      <c r="N831">
        <f>IF(I831=0,0,MAX(0,MIN(INDEX(Month!I$2:I$13,MATCH($A831,Month!$A$2:$A$13,0))-K831,I831)))</f>
        <v/>
      </c>
      <c r="O831">
        <f>IF(I831=0,0,MAX(0,MIN(INDEX(Month!J$2:J$13,MATCH($A831,Month!$A$2:$A$13,0))-K831,I831)))</f>
        <v/>
      </c>
      <c r="P831">
        <f>IF(I831=0,0,(MIN(MAX(K831,0),L831)*W831+SUMPRODUCT((Calc!$A$2:$A$1001=A831)*Calc!$G$2:$G$1001*(((K831-(L831+Calc!$J$2:$J$1001))&gt;0)*((K831-(L831+Calc!$J$2:$J$1001))&lt;Calc!$F$2:$F$1001)*(K831-(L831+Calc!$J$2:$J$1001))+((K831-(L831+Calc!$J$2:$J$1001))&gt;=Calc!$F$2:$F$1001)*Calc!$F$2:$F$1001))))</f>
        <v/>
      </c>
      <c r="Q831">
        <f>IF(I831=0,0,(MIN(MAX((K831+M831),0),L831)*W831+SUMPRODUCT((Calc!$A$2:$A$1001=A831)*Calc!$G$2:$G$1001*((((K831+M831)-(L831+Calc!$J$2:$J$1001))&gt;0)*(((K831+M831)-(L831+Calc!$J$2:$J$1001))&lt;Calc!$F$2:$F$1001)*((K831+M831)-(L831+Calc!$J$2:$J$1001))+(((K831+M831)-(L831+Calc!$J$2:$J$1001))&gt;=Calc!$F$2:$F$1001)*Calc!$F$2:$F$1001))))</f>
        <v/>
      </c>
      <c r="R831">
        <f>IF(I831=0,0,(MIN(MAX((K831+N831),0),L831)*W831+SUMPRODUCT((Calc!$A$2:$A$1001=A831)*Calc!$G$2:$G$1001*((((K831+N831)-(L831+Calc!$J$2:$J$1001))&gt;0)*(((K831+N831)-(L831+Calc!$J$2:$J$1001))&lt;Calc!$F$2:$F$1001)*((K831+N831)-(L831+Calc!$J$2:$J$1001))+(((K831+N831)-(L831+Calc!$J$2:$J$1001))&gt;=Calc!$F$2:$F$1001)*Calc!$F$2:$F$1001))))</f>
        <v/>
      </c>
      <c r="S831">
        <f>IF(I831=0,0,(MIN(MAX((K831+O831),0),L831)*W831+SUMPRODUCT((Calc!$A$2:$A$1001=A831)*Calc!$G$2:$G$1001*((((K831+O831)-(L831+Calc!$J$2:$J$1001))&gt;0)*(((K831+O831)-(L831+Calc!$J$2:$J$1001))&lt;Calc!$F$2:$F$1001)*((K831+O831)-(L831+Calc!$J$2:$J$1001))+(((K831+O831)-(L831+Calc!$J$2:$J$1001))&gt;=Calc!$F$2:$F$1001)*Calc!$F$2:$F$1001))))</f>
        <v/>
      </c>
      <c r="T831">
        <f>IF(AND(E831=1,B831="RETURN"),Transactions!E831*Transactions!G831,0)</f>
        <v/>
      </c>
      <c r="U831">
        <f>IF(AND(E831=1,B831="EXPENSE"),Transactions!J831,0)</f>
        <v/>
      </c>
      <c r="V831">
        <f>IF(AND(Transactions!A831&lt;&gt;"",E831=0),ROW(),"")</f>
        <v/>
      </c>
      <c r="W831">
        <f>IFERROR(VLOOKUP(A831,Opening!$A:$D,4,0),0)</f>
        <v/>
      </c>
    </row>
    <row r="832">
      <c r="A832">
        <f>IF(Transactions!D832="","",UPPER(TRIM(Transactions!D832)))</f>
        <v/>
      </c>
      <c r="B832">
        <f>IF(Transactions!C832="","",UPPER(TRIM(Transactions!C832)))</f>
        <v/>
      </c>
      <c r="C832">
        <f>IF(Transactions!B832="",0,YEAR(Transactions!B832)*100+MONTH(Transactions!B832))</f>
        <v/>
      </c>
      <c r="D832">
        <f>IF(Transactions!A832="",1,IF(COUNTIF(Transactions!$A$1:A831,Transactions!A832)&gt;0,1,0))</f>
        <v/>
      </c>
      <c r="E832">
        <f>IF(D832=1,0,IF(B832="RETURN",IF(COUNTIFS($A$1:A831,A832,$B$1:B831,"SALE",$E$1:E831,1)&gt;0,1,0),1))</f>
        <v/>
      </c>
      <c r="F832">
        <f>IF(E832=1,IF(B832="RECEIPT",Transactions!E832,IF(AND(B832="RETURN",LOWER(TRIM(Transactions!H832))="resellable"),Transactions!E832,0)),0)</f>
        <v/>
      </c>
      <c r="G832">
        <f>IF(F832&gt;0,IF(B832="RECEIPT",Transactions!F832,IF(_xlfn.MAXIFS($H$2:H832,$A$2:A832,A832)&gt;0,INDEX(Transactions!$F:$F,_xlfn.MAXIFS($H$2:H832,$A$2:A832,A832)),W832)),0)</f>
        <v/>
      </c>
      <c r="H832">
        <f>IF(AND(E832=1,B832="RECEIPT"),ROW(),0)</f>
        <v/>
      </c>
      <c r="I832">
        <f>IF(E832=1,IF(OR(B832="SALE",B832="WRITEOFF"),Transactions!E832,0),0)</f>
        <v/>
      </c>
      <c r="J832">
        <f>SUMIFS($F$1:F831,$A$1:A831,A832)</f>
        <v/>
      </c>
      <c r="K832">
        <f>SUMIFS($I$1:I831,$A$1:A831,A832)</f>
        <v/>
      </c>
      <c r="L832">
        <f>IFERROR(VLOOKUP(A832,Opening!$A:$C,3,0),0)</f>
        <v/>
      </c>
      <c r="M832">
        <f>IF(I832=0,0,MAX(0,MIN(INDEX(Month!H$2:H$13,MATCH($A832,Month!$A$2:$A$13,0))-K832,I832)))</f>
        <v/>
      </c>
      <c r="N832">
        <f>IF(I832=0,0,MAX(0,MIN(INDEX(Month!I$2:I$13,MATCH($A832,Month!$A$2:$A$13,0))-K832,I832)))</f>
        <v/>
      </c>
      <c r="O832">
        <f>IF(I832=0,0,MAX(0,MIN(INDEX(Month!J$2:J$13,MATCH($A832,Month!$A$2:$A$13,0))-K832,I832)))</f>
        <v/>
      </c>
      <c r="P832">
        <f>IF(I832=0,0,(MIN(MAX(K832,0),L832)*W832+SUMPRODUCT((Calc!$A$2:$A$1001=A832)*Calc!$G$2:$G$1001*(((K832-(L832+Calc!$J$2:$J$1001))&gt;0)*((K832-(L832+Calc!$J$2:$J$1001))&lt;Calc!$F$2:$F$1001)*(K832-(L832+Calc!$J$2:$J$1001))+((K832-(L832+Calc!$J$2:$J$1001))&gt;=Calc!$F$2:$F$1001)*Calc!$F$2:$F$1001))))</f>
        <v/>
      </c>
      <c r="Q832">
        <f>IF(I832=0,0,(MIN(MAX((K832+M832),0),L832)*W832+SUMPRODUCT((Calc!$A$2:$A$1001=A832)*Calc!$G$2:$G$1001*((((K832+M832)-(L832+Calc!$J$2:$J$1001))&gt;0)*(((K832+M832)-(L832+Calc!$J$2:$J$1001))&lt;Calc!$F$2:$F$1001)*((K832+M832)-(L832+Calc!$J$2:$J$1001))+(((K832+M832)-(L832+Calc!$J$2:$J$1001))&gt;=Calc!$F$2:$F$1001)*Calc!$F$2:$F$1001))))</f>
        <v/>
      </c>
      <c r="R832">
        <f>IF(I832=0,0,(MIN(MAX((K832+N832),0),L832)*W832+SUMPRODUCT((Calc!$A$2:$A$1001=A832)*Calc!$G$2:$G$1001*((((K832+N832)-(L832+Calc!$J$2:$J$1001))&gt;0)*(((K832+N832)-(L832+Calc!$J$2:$J$1001))&lt;Calc!$F$2:$F$1001)*((K832+N832)-(L832+Calc!$J$2:$J$1001))+(((K832+N832)-(L832+Calc!$J$2:$J$1001))&gt;=Calc!$F$2:$F$1001)*Calc!$F$2:$F$1001))))</f>
        <v/>
      </c>
      <c r="S832">
        <f>IF(I832=0,0,(MIN(MAX((K832+O832),0),L832)*W832+SUMPRODUCT((Calc!$A$2:$A$1001=A832)*Calc!$G$2:$G$1001*((((K832+O832)-(L832+Calc!$J$2:$J$1001))&gt;0)*(((K832+O832)-(L832+Calc!$J$2:$J$1001))&lt;Calc!$F$2:$F$1001)*((K832+O832)-(L832+Calc!$J$2:$J$1001))+(((K832+O832)-(L832+Calc!$J$2:$J$1001))&gt;=Calc!$F$2:$F$1001)*Calc!$F$2:$F$1001))))</f>
        <v/>
      </c>
      <c r="T832">
        <f>IF(AND(E832=1,B832="RETURN"),Transactions!E832*Transactions!G832,0)</f>
        <v/>
      </c>
      <c r="U832">
        <f>IF(AND(E832=1,B832="EXPENSE"),Transactions!J832,0)</f>
        <v/>
      </c>
      <c r="V832">
        <f>IF(AND(Transactions!A832&lt;&gt;"",E832=0),ROW(),"")</f>
        <v/>
      </c>
      <c r="W832">
        <f>IFERROR(VLOOKUP(A832,Opening!$A:$D,4,0),0)</f>
        <v/>
      </c>
    </row>
    <row r="833">
      <c r="A833">
        <f>IF(Transactions!D833="","",UPPER(TRIM(Transactions!D833)))</f>
        <v/>
      </c>
      <c r="B833">
        <f>IF(Transactions!C833="","",UPPER(TRIM(Transactions!C833)))</f>
        <v/>
      </c>
      <c r="C833">
        <f>IF(Transactions!B833="",0,YEAR(Transactions!B833)*100+MONTH(Transactions!B833))</f>
        <v/>
      </c>
      <c r="D833">
        <f>IF(Transactions!A833="",1,IF(COUNTIF(Transactions!$A$1:A832,Transactions!A833)&gt;0,1,0))</f>
        <v/>
      </c>
      <c r="E833">
        <f>IF(D833=1,0,IF(B833="RETURN",IF(COUNTIFS($A$1:A832,A833,$B$1:B832,"SALE",$E$1:E832,1)&gt;0,1,0),1))</f>
        <v/>
      </c>
      <c r="F833">
        <f>IF(E833=1,IF(B833="RECEIPT",Transactions!E833,IF(AND(B833="RETURN",LOWER(TRIM(Transactions!H833))="resellable"),Transactions!E833,0)),0)</f>
        <v/>
      </c>
      <c r="G833">
        <f>IF(F833&gt;0,IF(B833="RECEIPT",Transactions!F833,IF(_xlfn.MAXIFS($H$2:H833,$A$2:A833,A833)&gt;0,INDEX(Transactions!$F:$F,_xlfn.MAXIFS($H$2:H833,$A$2:A833,A833)),W833)),0)</f>
        <v/>
      </c>
      <c r="H833">
        <f>IF(AND(E833=1,B833="RECEIPT"),ROW(),0)</f>
        <v/>
      </c>
      <c r="I833">
        <f>IF(E833=1,IF(OR(B833="SALE",B833="WRITEOFF"),Transactions!E833,0),0)</f>
        <v/>
      </c>
      <c r="J833">
        <f>SUMIFS($F$1:F832,$A$1:A832,A833)</f>
        <v/>
      </c>
      <c r="K833">
        <f>SUMIFS($I$1:I832,$A$1:A832,A833)</f>
        <v/>
      </c>
      <c r="L833">
        <f>IFERROR(VLOOKUP(A833,Opening!$A:$C,3,0),0)</f>
        <v/>
      </c>
      <c r="M833">
        <f>IF(I833=0,0,MAX(0,MIN(INDEX(Month!H$2:H$13,MATCH($A833,Month!$A$2:$A$13,0))-K833,I833)))</f>
        <v/>
      </c>
      <c r="N833">
        <f>IF(I833=0,0,MAX(0,MIN(INDEX(Month!I$2:I$13,MATCH($A833,Month!$A$2:$A$13,0))-K833,I833)))</f>
        <v/>
      </c>
      <c r="O833">
        <f>IF(I833=0,0,MAX(0,MIN(INDEX(Month!J$2:J$13,MATCH($A833,Month!$A$2:$A$13,0))-K833,I833)))</f>
        <v/>
      </c>
      <c r="P833">
        <f>IF(I833=0,0,(MIN(MAX(K833,0),L833)*W833+SUMPRODUCT((Calc!$A$2:$A$1001=A833)*Calc!$G$2:$G$1001*(((K833-(L833+Calc!$J$2:$J$1001))&gt;0)*((K833-(L833+Calc!$J$2:$J$1001))&lt;Calc!$F$2:$F$1001)*(K833-(L833+Calc!$J$2:$J$1001))+((K833-(L833+Calc!$J$2:$J$1001))&gt;=Calc!$F$2:$F$1001)*Calc!$F$2:$F$1001))))</f>
        <v/>
      </c>
      <c r="Q833">
        <f>IF(I833=0,0,(MIN(MAX((K833+M833),0),L833)*W833+SUMPRODUCT((Calc!$A$2:$A$1001=A833)*Calc!$G$2:$G$1001*((((K833+M833)-(L833+Calc!$J$2:$J$1001))&gt;0)*(((K833+M833)-(L833+Calc!$J$2:$J$1001))&lt;Calc!$F$2:$F$1001)*((K833+M833)-(L833+Calc!$J$2:$J$1001))+(((K833+M833)-(L833+Calc!$J$2:$J$1001))&gt;=Calc!$F$2:$F$1001)*Calc!$F$2:$F$1001))))</f>
        <v/>
      </c>
      <c r="R833">
        <f>IF(I833=0,0,(MIN(MAX((K833+N833),0),L833)*W833+SUMPRODUCT((Calc!$A$2:$A$1001=A833)*Calc!$G$2:$G$1001*((((K833+N833)-(L833+Calc!$J$2:$J$1001))&gt;0)*(((K833+N833)-(L833+Calc!$J$2:$J$1001))&lt;Calc!$F$2:$F$1001)*((K833+N833)-(L833+Calc!$J$2:$J$1001))+(((K833+N833)-(L833+Calc!$J$2:$J$1001))&gt;=Calc!$F$2:$F$1001)*Calc!$F$2:$F$1001))))</f>
        <v/>
      </c>
      <c r="S833">
        <f>IF(I833=0,0,(MIN(MAX((K833+O833),0),L833)*W833+SUMPRODUCT((Calc!$A$2:$A$1001=A833)*Calc!$G$2:$G$1001*((((K833+O833)-(L833+Calc!$J$2:$J$1001))&gt;0)*(((K833+O833)-(L833+Calc!$J$2:$J$1001))&lt;Calc!$F$2:$F$1001)*((K833+O833)-(L833+Calc!$J$2:$J$1001))+(((K833+O833)-(L833+Calc!$J$2:$J$1001))&gt;=Calc!$F$2:$F$1001)*Calc!$F$2:$F$1001))))</f>
        <v/>
      </c>
      <c r="T833">
        <f>IF(AND(E833=1,B833="RETURN"),Transactions!E833*Transactions!G833,0)</f>
        <v/>
      </c>
      <c r="U833">
        <f>IF(AND(E833=1,B833="EXPENSE"),Transactions!J833,0)</f>
        <v/>
      </c>
      <c r="V833">
        <f>IF(AND(Transactions!A833&lt;&gt;"",E833=0),ROW(),"")</f>
        <v/>
      </c>
      <c r="W833">
        <f>IFERROR(VLOOKUP(A833,Opening!$A:$D,4,0),0)</f>
        <v/>
      </c>
    </row>
    <row r="834">
      <c r="A834">
        <f>IF(Transactions!D834="","",UPPER(TRIM(Transactions!D834)))</f>
        <v/>
      </c>
      <c r="B834">
        <f>IF(Transactions!C834="","",UPPER(TRIM(Transactions!C834)))</f>
        <v/>
      </c>
      <c r="C834">
        <f>IF(Transactions!B834="",0,YEAR(Transactions!B834)*100+MONTH(Transactions!B834))</f>
        <v/>
      </c>
      <c r="D834">
        <f>IF(Transactions!A834="",1,IF(COUNTIF(Transactions!$A$1:A833,Transactions!A834)&gt;0,1,0))</f>
        <v/>
      </c>
      <c r="E834">
        <f>IF(D834=1,0,IF(B834="RETURN",IF(COUNTIFS($A$1:A833,A834,$B$1:B833,"SALE",$E$1:E833,1)&gt;0,1,0),1))</f>
        <v/>
      </c>
      <c r="F834">
        <f>IF(E834=1,IF(B834="RECEIPT",Transactions!E834,IF(AND(B834="RETURN",LOWER(TRIM(Transactions!H834))="resellable"),Transactions!E834,0)),0)</f>
        <v/>
      </c>
      <c r="G834">
        <f>IF(F834&gt;0,IF(B834="RECEIPT",Transactions!F834,IF(_xlfn.MAXIFS($H$2:H834,$A$2:A834,A834)&gt;0,INDEX(Transactions!$F:$F,_xlfn.MAXIFS($H$2:H834,$A$2:A834,A834)),W834)),0)</f>
        <v/>
      </c>
      <c r="H834">
        <f>IF(AND(E834=1,B834="RECEIPT"),ROW(),0)</f>
        <v/>
      </c>
      <c r="I834">
        <f>IF(E834=1,IF(OR(B834="SALE",B834="WRITEOFF"),Transactions!E834,0),0)</f>
        <v/>
      </c>
      <c r="J834">
        <f>SUMIFS($F$1:F833,$A$1:A833,A834)</f>
        <v/>
      </c>
      <c r="K834">
        <f>SUMIFS($I$1:I833,$A$1:A833,A834)</f>
        <v/>
      </c>
      <c r="L834">
        <f>IFERROR(VLOOKUP(A834,Opening!$A:$C,3,0),0)</f>
        <v/>
      </c>
      <c r="M834">
        <f>IF(I834=0,0,MAX(0,MIN(INDEX(Month!H$2:H$13,MATCH($A834,Month!$A$2:$A$13,0))-K834,I834)))</f>
        <v/>
      </c>
      <c r="N834">
        <f>IF(I834=0,0,MAX(0,MIN(INDEX(Month!I$2:I$13,MATCH($A834,Month!$A$2:$A$13,0))-K834,I834)))</f>
        <v/>
      </c>
      <c r="O834">
        <f>IF(I834=0,0,MAX(0,MIN(INDEX(Month!J$2:J$13,MATCH($A834,Month!$A$2:$A$13,0))-K834,I834)))</f>
        <v/>
      </c>
      <c r="P834">
        <f>IF(I834=0,0,(MIN(MAX(K834,0),L834)*W834+SUMPRODUCT((Calc!$A$2:$A$1001=A834)*Calc!$G$2:$G$1001*(((K834-(L834+Calc!$J$2:$J$1001))&gt;0)*((K834-(L834+Calc!$J$2:$J$1001))&lt;Calc!$F$2:$F$1001)*(K834-(L834+Calc!$J$2:$J$1001))+((K834-(L834+Calc!$J$2:$J$1001))&gt;=Calc!$F$2:$F$1001)*Calc!$F$2:$F$1001))))</f>
        <v/>
      </c>
      <c r="Q834">
        <f>IF(I834=0,0,(MIN(MAX((K834+M834),0),L834)*W834+SUMPRODUCT((Calc!$A$2:$A$1001=A834)*Calc!$G$2:$G$1001*((((K834+M834)-(L834+Calc!$J$2:$J$1001))&gt;0)*(((K834+M834)-(L834+Calc!$J$2:$J$1001))&lt;Calc!$F$2:$F$1001)*((K834+M834)-(L834+Calc!$J$2:$J$1001))+(((K834+M834)-(L834+Calc!$J$2:$J$1001))&gt;=Calc!$F$2:$F$1001)*Calc!$F$2:$F$1001))))</f>
        <v/>
      </c>
      <c r="R834">
        <f>IF(I834=0,0,(MIN(MAX((K834+N834),0),L834)*W834+SUMPRODUCT((Calc!$A$2:$A$1001=A834)*Calc!$G$2:$G$1001*((((K834+N834)-(L834+Calc!$J$2:$J$1001))&gt;0)*(((K834+N834)-(L834+Calc!$J$2:$J$1001))&lt;Calc!$F$2:$F$1001)*((K834+N834)-(L834+Calc!$J$2:$J$1001))+(((K834+N834)-(L834+Calc!$J$2:$J$1001))&gt;=Calc!$F$2:$F$1001)*Calc!$F$2:$F$1001))))</f>
        <v/>
      </c>
      <c r="S834">
        <f>IF(I834=0,0,(MIN(MAX((K834+O834),0),L834)*W834+SUMPRODUCT((Calc!$A$2:$A$1001=A834)*Calc!$G$2:$G$1001*((((K834+O834)-(L834+Calc!$J$2:$J$1001))&gt;0)*(((K834+O834)-(L834+Calc!$J$2:$J$1001))&lt;Calc!$F$2:$F$1001)*((K834+O834)-(L834+Calc!$J$2:$J$1001))+(((K834+O834)-(L834+Calc!$J$2:$J$1001))&gt;=Calc!$F$2:$F$1001)*Calc!$F$2:$F$1001))))</f>
        <v/>
      </c>
      <c r="T834">
        <f>IF(AND(E834=1,B834="RETURN"),Transactions!E834*Transactions!G834,0)</f>
        <v/>
      </c>
      <c r="U834">
        <f>IF(AND(E834=1,B834="EXPENSE"),Transactions!J834,0)</f>
        <v/>
      </c>
      <c r="V834">
        <f>IF(AND(Transactions!A834&lt;&gt;"",E834=0),ROW(),"")</f>
        <v/>
      </c>
      <c r="W834">
        <f>IFERROR(VLOOKUP(A834,Opening!$A:$D,4,0),0)</f>
        <v/>
      </c>
    </row>
    <row r="835">
      <c r="A835">
        <f>IF(Transactions!D835="","",UPPER(TRIM(Transactions!D835)))</f>
        <v/>
      </c>
      <c r="B835">
        <f>IF(Transactions!C835="","",UPPER(TRIM(Transactions!C835)))</f>
        <v/>
      </c>
      <c r="C835">
        <f>IF(Transactions!B835="",0,YEAR(Transactions!B835)*100+MONTH(Transactions!B835))</f>
        <v/>
      </c>
      <c r="D835">
        <f>IF(Transactions!A835="",1,IF(COUNTIF(Transactions!$A$1:A834,Transactions!A835)&gt;0,1,0))</f>
        <v/>
      </c>
      <c r="E835">
        <f>IF(D835=1,0,IF(B835="RETURN",IF(COUNTIFS($A$1:A834,A835,$B$1:B834,"SALE",$E$1:E834,1)&gt;0,1,0),1))</f>
        <v/>
      </c>
      <c r="F835">
        <f>IF(E835=1,IF(B835="RECEIPT",Transactions!E835,IF(AND(B835="RETURN",LOWER(TRIM(Transactions!H835))="resellable"),Transactions!E835,0)),0)</f>
        <v/>
      </c>
      <c r="G835">
        <f>IF(F835&gt;0,IF(B835="RECEIPT",Transactions!F835,IF(_xlfn.MAXIFS($H$2:H835,$A$2:A835,A835)&gt;0,INDEX(Transactions!$F:$F,_xlfn.MAXIFS($H$2:H835,$A$2:A835,A835)),W835)),0)</f>
        <v/>
      </c>
      <c r="H835">
        <f>IF(AND(E835=1,B835="RECEIPT"),ROW(),0)</f>
        <v/>
      </c>
      <c r="I835">
        <f>IF(E835=1,IF(OR(B835="SALE",B835="WRITEOFF"),Transactions!E835,0),0)</f>
        <v/>
      </c>
      <c r="J835">
        <f>SUMIFS($F$1:F834,$A$1:A834,A835)</f>
        <v/>
      </c>
      <c r="K835">
        <f>SUMIFS($I$1:I834,$A$1:A834,A835)</f>
        <v/>
      </c>
      <c r="L835">
        <f>IFERROR(VLOOKUP(A835,Opening!$A:$C,3,0),0)</f>
        <v/>
      </c>
      <c r="M835">
        <f>IF(I835=0,0,MAX(0,MIN(INDEX(Month!H$2:H$13,MATCH($A835,Month!$A$2:$A$13,0))-K835,I835)))</f>
        <v/>
      </c>
      <c r="N835">
        <f>IF(I835=0,0,MAX(0,MIN(INDEX(Month!I$2:I$13,MATCH($A835,Month!$A$2:$A$13,0))-K835,I835)))</f>
        <v/>
      </c>
      <c r="O835">
        <f>IF(I835=0,0,MAX(0,MIN(INDEX(Month!J$2:J$13,MATCH($A835,Month!$A$2:$A$13,0))-K835,I835)))</f>
        <v/>
      </c>
      <c r="P835">
        <f>IF(I835=0,0,(MIN(MAX(K835,0),L835)*W835+SUMPRODUCT((Calc!$A$2:$A$1001=A835)*Calc!$G$2:$G$1001*(((K835-(L835+Calc!$J$2:$J$1001))&gt;0)*((K835-(L835+Calc!$J$2:$J$1001))&lt;Calc!$F$2:$F$1001)*(K835-(L835+Calc!$J$2:$J$1001))+((K835-(L835+Calc!$J$2:$J$1001))&gt;=Calc!$F$2:$F$1001)*Calc!$F$2:$F$1001))))</f>
        <v/>
      </c>
      <c r="Q835">
        <f>IF(I835=0,0,(MIN(MAX((K835+M835),0),L835)*W835+SUMPRODUCT((Calc!$A$2:$A$1001=A835)*Calc!$G$2:$G$1001*((((K835+M835)-(L835+Calc!$J$2:$J$1001))&gt;0)*(((K835+M835)-(L835+Calc!$J$2:$J$1001))&lt;Calc!$F$2:$F$1001)*((K835+M835)-(L835+Calc!$J$2:$J$1001))+(((K835+M835)-(L835+Calc!$J$2:$J$1001))&gt;=Calc!$F$2:$F$1001)*Calc!$F$2:$F$1001))))</f>
        <v/>
      </c>
      <c r="R835">
        <f>IF(I835=0,0,(MIN(MAX((K835+N835),0),L835)*W835+SUMPRODUCT((Calc!$A$2:$A$1001=A835)*Calc!$G$2:$G$1001*((((K835+N835)-(L835+Calc!$J$2:$J$1001))&gt;0)*(((K835+N835)-(L835+Calc!$J$2:$J$1001))&lt;Calc!$F$2:$F$1001)*((K835+N835)-(L835+Calc!$J$2:$J$1001))+(((K835+N835)-(L835+Calc!$J$2:$J$1001))&gt;=Calc!$F$2:$F$1001)*Calc!$F$2:$F$1001))))</f>
        <v/>
      </c>
      <c r="S835">
        <f>IF(I835=0,0,(MIN(MAX((K835+O835),0),L835)*W835+SUMPRODUCT((Calc!$A$2:$A$1001=A835)*Calc!$G$2:$G$1001*((((K835+O835)-(L835+Calc!$J$2:$J$1001))&gt;0)*(((K835+O835)-(L835+Calc!$J$2:$J$1001))&lt;Calc!$F$2:$F$1001)*((K835+O835)-(L835+Calc!$J$2:$J$1001))+(((K835+O835)-(L835+Calc!$J$2:$J$1001))&gt;=Calc!$F$2:$F$1001)*Calc!$F$2:$F$1001))))</f>
        <v/>
      </c>
      <c r="T835">
        <f>IF(AND(E835=1,B835="RETURN"),Transactions!E835*Transactions!G835,0)</f>
        <v/>
      </c>
      <c r="U835">
        <f>IF(AND(E835=1,B835="EXPENSE"),Transactions!J835,0)</f>
        <v/>
      </c>
      <c r="V835">
        <f>IF(AND(Transactions!A835&lt;&gt;"",E835=0),ROW(),"")</f>
        <v/>
      </c>
      <c r="W835">
        <f>IFERROR(VLOOKUP(A835,Opening!$A:$D,4,0),0)</f>
        <v/>
      </c>
    </row>
    <row r="836">
      <c r="A836">
        <f>IF(Transactions!D836="","",UPPER(TRIM(Transactions!D836)))</f>
        <v/>
      </c>
      <c r="B836">
        <f>IF(Transactions!C836="","",UPPER(TRIM(Transactions!C836)))</f>
        <v/>
      </c>
      <c r="C836">
        <f>IF(Transactions!B836="",0,YEAR(Transactions!B836)*100+MONTH(Transactions!B836))</f>
        <v/>
      </c>
      <c r="D836">
        <f>IF(Transactions!A836="",1,IF(COUNTIF(Transactions!$A$1:A835,Transactions!A836)&gt;0,1,0))</f>
        <v/>
      </c>
      <c r="E836">
        <f>IF(D836=1,0,IF(B836="RETURN",IF(COUNTIFS($A$1:A835,A836,$B$1:B835,"SALE",$E$1:E835,1)&gt;0,1,0),1))</f>
        <v/>
      </c>
      <c r="F836">
        <f>IF(E836=1,IF(B836="RECEIPT",Transactions!E836,IF(AND(B836="RETURN",LOWER(TRIM(Transactions!H836))="resellable"),Transactions!E836,0)),0)</f>
        <v/>
      </c>
      <c r="G836">
        <f>IF(F836&gt;0,IF(B836="RECEIPT",Transactions!F836,IF(_xlfn.MAXIFS($H$2:H836,$A$2:A836,A836)&gt;0,INDEX(Transactions!$F:$F,_xlfn.MAXIFS($H$2:H836,$A$2:A836,A836)),W836)),0)</f>
        <v/>
      </c>
      <c r="H836">
        <f>IF(AND(E836=1,B836="RECEIPT"),ROW(),0)</f>
        <v/>
      </c>
      <c r="I836">
        <f>IF(E836=1,IF(OR(B836="SALE",B836="WRITEOFF"),Transactions!E836,0),0)</f>
        <v/>
      </c>
      <c r="J836">
        <f>SUMIFS($F$1:F835,$A$1:A835,A836)</f>
        <v/>
      </c>
      <c r="K836">
        <f>SUMIFS($I$1:I835,$A$1:A835,A836)</f>
        <v/>
      </c>
      <c r="L836">
        <f>IFERROR(VLOOKUP(A836,Opening!$A:$C,3,0),0)</f>
        <v/>
      </c>
      <c r="M836">
        <f>IF(I836=0,0,MAX(0,MIN(INDEX(Month!H$2:H$13,MATCH($A836,Month!$A$2:$A$13,0))-K836,I836)))</f>
        <v/>
      </c>
      <c r="N836">
        <f>IF(I836=0,0,MAX(0,MIN(INDEX(Month!I$2:I$13,MATCH($A836,Month!$A$2:$A$13,0))-K836,I836)))</f>
        <v/>
      </c>
      <c r="O836">
        <f>IF(I836=0,0,MAX(0,MIN(INDEX(Month!J$2:J$13,MATCH($A836,Month!$A$2:$A$13,0))-K836,I836)))</f>
        <v/>
      </c>
      <c r="P836">
        <f>IF(I836=0,0,(MIN(MAX(K836,0),L836)*W836+SUMPRODUCT((Calc!$A$2:$A$1001=A836)*Calc!$G$2:$G$1001*(((K836-(L836+Calc!$J$2:$J$1001))&gt;0)*((K836-(L836+Calc!$J$2:$J$1001))&lt;Calc!$F$2:$F$1001)*(K836-(L836+Calc!$J$2:$J$1001))+((K836-(L836+Calc!$J$2:$J$1001))&gt;=Calc!$F$2:$F$1001)*Calc!$F$2:$F$1001))))</f>
        <v/>
      </c>
      <c r="Q836">
        <f>IF(I836=0,0,(MIN(MAX((K836+M836),0),L836)*W836+SUMPRODUCT((Calc!$A$2:$A$1001=A836)*Calc!$G$2:$G$1001*((((K836+M836)-(L836+Calc!$J$2:$J$1001))&gt;0)*(((K836+M836)-(L836+Calc!$J$2:$J$1001))&lt;Calc!$F$2:$F$1001)*((K836+M836)-(L836+Calc!$J$2:$J$1001))+(((K836+M836)-(L836+Calc!$J$2:$J$1001))&gt;=Calc!$F$2:$F$1001)*Calc!$F$2:$F$1001))))</f>
        <v/>
      </c>
      <c r="R836">
        <f>IF(I836=0,0,(MIN(MAX((K836+N836),0),L836)*W836+SUMPRODUCT((Calc!$A$2:$A$1001=A836)*Calc!$G$2:$G$1001*((((K836+N836)-(L836+Calc!$J$2:$J$1001))&gt;0)*(((K836+N836)-(L836+Calc!$J$2:$J$1001))&lt;Calc!$F$2:$F$1001)*((K836+N836)-(L836+Calc!$J$2:$J$1001))+(((K836+N836)-(L836+Calc!$J$2:$J$1001))&gt;=Calc!$F$2:$F$1001)*Calc!$F$2:$F$1001))))</f>
        <v/>
      </c>
      <c r="S836">
        <f>IF(I836=0,0,(MIN(MAX((K836+O836),0),L836)*W836+SUMPRODUCT((Calc!$A$2:$A$1001=A836)*Calc!$G$2:$G$1001*((((K836+O836)-(L836+Calc!$J$2:$J$1001))&gt;0)*(((K836+O836)-(L836+Calc!$J$2:$J$1001))&lt;Calc!$F$2:$F$1001)*((K836+O836)-(L836+Calc!$J$2:$J$1001))+(((K836+O836)-(L836+Calc!$J$2:$J$1001))&gt;=Calc!$F$2:$F$1001)*Calc!$F$2:$F$1001))))</f>
        <v/>
      </c>
      <c r="T836">
        <f>IF(AND(E836=1,B836="RETURN"),Transactions!E836*Transactions!G836,0)</f>
        <v/>
      </c>
      <c r="U836">
        <f>IF(AND(E836=1,B836="EXPENSE"),Transactions!J836,0)</f>
        <v/>
      </c>
      <c r="V836">
        <f>IF(AND(Transactions!A836&lt;&gt;"",E836=0),ROW(),"")</f>
        <v/>
      </c>
      <c r="W836">
        <f>IFERROR(VLOOKUP(A836,Opening!$A:$D,4,0),0)</f>
        <v/>
      </c>
    </row>
    <row r="837">
      <c r="A837">
        <f>IF(Transactions!D837="","",UPPER(TRIM(Transactions!D837)))</f>
        <v/>
      </c>
      <c r="B837">
        <f>IF(Transactions!C837="","",UPPER(TRIM(Transactions!C837)))</f>
        <v/>
      </c>
      <c r="C837">
        <f>IF(Transactions!B837="",0,YEAR(Transactions!B837)*100+MONTH(Transactions!B837))</f>
        <v/>
      </c>
      <c r="D837">
        <f>IF(Transactions!A837="",1,IF(COUNTIF(Transactions!$A$1:A836,Transactions!A837)&gt;0,1,0))</f>
        <v/>
      </c>
      <c r="E837">
        <f>IF(D837=1,0,IF(B837="RETURN",IF(COUNTIFS($A$1:A836,A837,$B$1:B836,"SALE",$E$1:E836,1)&gt;0,1,0),1))</f>
        <v/>
      </c>
      <c r="F837">
        <f>IF(E837=1,IF(B837="RECEIPT",Transactions!E837,IF(AND(B837="RETURN",LOWER(TRIM(Transactions!H837))="resellable"),Transactions!E837,0)),0)</f>
        <v/>
      </c>
      <c r="G837">
        <f>IF(F837&gt;0,IF(B837="RECEIPT",Transactions!F837,IF(_xlfn.MAXIFS($H$2:H837,$A$2:A837,A837)&gt;0,INDEX(Transactions!$F:$F,_xlfn.MAXIFS($H$2:H837,$A$2:A837,A837)),W837)),0)</f>
        <v/>
      </c>
      <c r="H837">
        <f>IF(AND(E837=1,B837="RECEIPT"),ROW(),0)</f>
        <v/>
      </c>
      <c r="I837">
        <f>IF(E837=1,IF(OR(B837="SALE",B837="WRITEOFF"),Transactions!E837,0),0)</f>
        <v/>
      </c>
      <c r="J837">
        <f>SUMIFS($F$1:F836,$A$1:A836,A837)</f>
        <v/>
      </c>
      <c r="K837">
        <f>SUMIFS($I$1:I836,$A$1:A836,A837)</f>
        <v/>
      </c>
      <c r="L837">
        <f>IFERROR(VLOOKUP(A837,Opening!$A:$C,3,0),0)</f>
        <v/>
      </c>
      <c r="M837">
        <f>IF(I837=0,0,MAX(0,MIN(INDEX(Month!H$2:H$13,MATCH($A837,Month!$A$2:$A$13,0))-K837,I837)))</f>
        <v/>
      </c>
      <c r="N837">
        <f>IF(I837=0,0,MAX(0,MIN(INDEX(Month!I$2:I$13,MATCH($A837,Month!$A$2:$A$13,0))-K837,I837)))</f>
        <v/>
      </c>
      <c r="O837">
        <f>IF(I837=0,0,MAX(0,MIN(INDEX(Month!J$2:J$13,MATCH($A837,Month!$A$2:$A$13,0))-K837,I837)))</f>
        <v/>
      </c>
      <c r="P837">
        <f>IF(I837=0,0,(MIN(MAX(K837,0),L837)*W837+SUMPRODUCT((Calc!$A$2:$A$1001=A837)*Calc!$G$2:$G$1001*(((K837-(L837+Calc!$J$2:$J$1001))&gt;0)*((K837-(L837+Calc!$J$2:$J$1001))&lt;Calc!$F$2:$F$1001)*(K837-(L837+Calc!$J$2:$J$1001))+((K837-(L837+Calc!$J$2:$J$1001))&gt;=Calc!$F$2:$F$1001)*Calc!$F$2:$F$1001))))</f>
        <v/>
      </c>
      <c r="Q837">
        <f>IF(I837=0,0,(MIN(MAX((K837+M837),0),L837)*W837+SUMPRODUCT((Calc!$A$2:$A$1001=A837)*Calc!$G$2:$G$1001*((((K837+M837)-(L837+Calc!$J$2:$J$1001))&gt;0)*(((K837+M837)-(L837+Calc!$J$2:$J$1001))&lt;Calc!$F$2:$F$1001)*((K837+M837)-(L837+Calc!$J$2:$J$1001))+(((K837+M837)-(L837+Calc!$J$2:$J$1001))&gt;=Calc!$F$2:$F$1001)*Calc!$F$2:$F$1001))))</f>
        <v/>
      </c>
      <c r="R837">
        <f>IF(I837=0,0,(MIN(MAX((K837+N837),0),L837)*W837+SUMPRODUCT((Calc!$A$2:$A$1001=A837)*Calc!$G$2:$G$1001*((((K837+N837)-(L837+Calc!$J$2:$J$1001))&gt;0)*(((K837+N837)-(L837+Calc!$J$2:$J$1001))&lt;Calc!$F$2:$F$1001)*((K837+N837)-(L837+Calc!$J$2:$J$1001))+(((K837+N837)-(L837+Calc!$J$2:$J$1001))&gt;=Calc!$F$2:$F$1001)*Calc!$F$2:$F$1001))))</f>
        <v/>
      </c>
      <c r="S837">
        <f>IF(I837=0,0,(MIN(MAX((K837+O837),0),L837)*W837+SUMPRODUCT((Calc!$A$2:$A$1001=A837)*Calc!$G$2:$G$1001*((((K837+O837)-(L837+Calc!$J$2:$J$1001))&gt;0)*(((K837+O837)-(L837+Calc!$J$2:$J$1001))&lt;Calc!$F$2:$F$1001)*((K837+O837)-(L837+Calc!$J$2:$J$1001))+(((K837+O837)-(L837+Calc!$J$2:$J$1001))&gt;=Calc!$F$2:$F$1001)*Calc!$F$2:$F$1001))))</f>
        <v/>
      </c>
      <c r="T837">
        <f>IF(AND(E837=1,B837="RETURN"),Transactions!E837*Transactions!G837,0)</f>
        <v/>
      </c>
      <c r="U837">
        <f>IF(AND(E837=1,B837="EXPENSE"),Transactions!J837,0)</f>
        <v/>
      </c>
      <c r="V837">
        <f>IF(AND(Transactions!A837&lt;&gt;"",E837=0),ROW(),"")</f>
        <v/>
      </c>
      <c r="W837">
        <f>IFERROR(VLOOKUP(A837,Opening!$A:$D,4,0),0)</f>
        <v/>
      </c>
    </row>
    <row r="838">
      <c r="A838">
        <f>IF(Transactions!D838="","",UPPER(TRIM(Transactions!D838)))</f>
        <v/>
      </c>
      <c r="B838">
        <f>IF(Transactions!C838="","",UPPER(TRIM(Transactions!C838)))</f>
        <v/>
      </c>
      <c r="C838">
        <f>IF(Transactions!B838="",0,YEAR(Transactions!B838)*100+MONTH(Transactions!B838))</f>
        <v/>
      </c>
      <c r="D838">
        <f>IF(Transactions!A838="",1,IF(COUNTIF(Transactions!$A$1:A837,Transactions!A838)&gt;0,1,0))</f>
        <v/>
      </c>
      <c r="E838">
        <f>IF(D838=1,0,IF(B838="RETURN",IF(COUNTIFS($A$1:A837,A838,$B$1:B837,"SALE",$E$1:E837,1)&gt;0,1,0),1))</f>
        <v/>
      </c>
      <c r="F838">
        <f>IF(E838=1,IF(B838="RECEIPT",Transactions!E838,IF(AND(B838="RETURN",LOWER(TRIM(Transactions!H838))="resellable"),Transactions!E838,0)),0)</f>
        <v/>
      </c>
      <c r="G838">
        <f>IF(F838&gt;0,IF(B838="RECEIPT",Transactions!F838,IF(_xlfn.MAXIFS($H$2:H838,$A$2:A838,A838)&gt;0,INDEX(Transactions!$F:$F,_xlfn.MAXIFS($H$2:H838,$A$2:A838,A838)),W838)),0)</f>
        <v/>
      </c>
      <c r="H838">
        <f>IF(AND(E838=1,B838="RECEIPT"),ROW(),0)</f>
        <v/>
      </c>
      <c r="I838">
        <f>IF(E838=1,IF(OR(B838="SALE",B838="WRITEOFF"),Transactions!E838,0),0)</f>
        <v/>
      </c>
      <c r="J838">
        <f>SUMIFS($F$1:F837,$A$1:A837,A838)</f>
        <v/>
      </c>
      <c r="K838">
        <f>SUMIFS($I$1:I837,$A$1:A837,A838)</f>
        <v/>
      </c>
      <c r="L838">
        <f>IFERROR(VLOOKUP(A838,Opening!$A:$C,3,0),0)</f>
        <v/>
      </c>
      <c r="M838">
        <f>IF(I838=0,0,MAX(0,MIN(INDEX(Month!H$2:H$13,MATCH($A838,Month!$A$2:$A$13,0))-K838,I838)))</f>
        <v/>
      </c>
      <c r="N838">
        <f>IF(I838=0,0,MAX(0,MIN(INDEX(Month!I$2:I$13,MATCH($A838,Month!$A$2:$A$13,0))-K838,I838)))</f>
        <v/>
      </c>
      <c r="O838">
        <f>IF(I838=0,0,MAX(0,MIN(INDEX(Month!J$2:J$13,MATCH($A838,Month!$A$2:$A$13,0))-K838,I838)))</f>
        <v/>
      </c>
      <c r="P838">
        <f>IF(I838=0,0,(MIN(MAX(K838,0),L838)*W838+SUMPRODUCT((Calc!$A$2:$A$1001=A838)*Calc!$G$2:$G$1001*(((K838-(L838+Calc!$J$2:$J$1001))&gt;0)*((K838-(L838+Calc!$J$2:$J$1001))&lt;Calc!$F$2:$F$1001)*(K838-(L838+Calc!$J$2:$J$1001))+((K838-(L838+Calc!$J$2:$J$1001))&gt;=Calc!$F$2:$F$1001)*Calc!$F$2:$F$1001))))</f>
        <v/>
      </c>
      <c r="Q838">
        <f>IF(I838=0,0,(MIN(MAX((K838+M838),0),L838)*W838+SUMPRODUCT((Calc!$A$2:$A$1001=A838)*Calc!$G$2:$G$1001*((((K838+M838)-(L838+Calc!$J$2:$J$1001))&gt;0)*(((K838+M838)-(L838+Calc!$J$2:$J$1001))&lt;Calc!$F$2:$F$1001)*((K838+M838)-(L838+Calc!$J$2:$J$1001))+(((K838+M838)-(L838+Calc!$J$2:$J$1001))&gt;=Calc!$F$2:$F$1001)*Calc!$F$2:$F$1001))))</f>
        <v/>
      </c>
      <c r="R838">
        <f>IF(I838=0,0,(MIN(MAX((K838+N838),0),L838)*W838+SUMPRODUCT((Calc!$A$2:$A$1001=A838)*Calc!$G$2:$G$1001*((((K838+N838)-(L838+Calc!$J$2:$J$1001))&gt;0)*(((K838+N838)-(L838+Calc!$J$2:$J$1001))&lt;Calc!$F$2:$F$1001)*((K838+N838)-(L838+Calc!$J$2:$J$1001))+(((K838+N838)-(L838+Calc!$J$2:$J$1001))&gt;=Calc!$F$2:$F$1001)*Calc!$F$2:$F$1001))))</f>
        <v/>
      </c>
      <c r="S838">
        <f>IF(I838=0,0,(MIN(MAX((K838+O838),0),L838)*W838+SUMPRODUCT((Calc!$A$2:$A$1001=A838)*Calc!$G$2:$G$1001*((((K838+O838)-(L838+Calc!$J$2:$J$1001))&gt;0)*(((K838+O838)-(L838+Calc!$J$2:$J$1001))&lt;Calc!$F$2:$F$1001)*((K838+O838)-(L838+Calc!$J$2:$J$1001))+(((K838+O838)-(L838+Calc!$J$2:$J$1001))&gt;=Calc!$F$2:$F$1001)*Calc!$F$2:$F$1001))))</f>
        <v/>
      </c>
      <c r="T838">
        <f>IF(AND(E838=1,B838="RETURN"),Transactions!E838*Transactions!G838,0)</f>
        <v/>
      </c>
      <c r="U838">
        <f>IF(AND(E838=1,B838="EXPENSE"),Transactions!J838,0)</f>
        <v/>
      </c>
      <c r="V838">
        <f>IF(AND(Transactions!A838&lt;&gt;"",E838=0),ROW(),"")</f>
        <v/>
      </c>
      <c r="W838">
        <f>IFERROR(VLOOKUP(A838,Opening!$A:$D,4,0),0)</f>
        <v/>
      </c>
    </row>
    <row r="839">
      <c r="A839">
        <f>IF(Transactions!D839="","",UPPER(TRIM(Transactions!D839)))</f>
        <v/>
      </c>
      <c r="B839">
        <f>IF(Transactions!C839="","",UPPER(TRIM(Transactions!C839)))</f>
        <v/>
      </c>
      <c r="C839">
        <f>IF(Transactions!B839="",0,YEAR(Transactions!B839)*100+MONTH(Transactions!B839))</f>
        <v/>
      </c>
      <c r="D839">
        <f>IF(Transactions!A839="",1,IF(COUNTIF(Transactions!$A$1:A838,Transactions!A839)&gt;0,1,0))</f>
        <v/>
      </c>
      <c r="E839">
        <f>IF(D839=1,0,IF(B839="RETURN",IF(COUNTIFS($A$1:A838,A839,$B$1:B838,"SALE",$E$1:E838,1)&gt;0,1,0),1))</f>
        <v/>
      </c>
      <c r="F839">
        <f>IF(E839=1,IF(B839="RECEIPT",Transactions!E839,IF(AND(B839="RETURN",LOWER(TRIM(Transactions!H839))="resellable"),Transactions!E839,0)),0)</f>
        <v/>
      </c>
      <c r="G839">
        <f>IF(F839&gt;0,IF(B839="RECEIPT",Transactions!F839,IF(_xlfn.MAXIFS($H$2:H839,$A$2:A839,A839)&gt;0,INDEX(Transactions!$F:$F,_xlfn.MAXIFS($H$2:H839,$A$2:A839,A839)),W839)),0)</f>
        <v/>
      </c>
      <c r="H839">
        <f>IF(AND(E839=1,B839="RECEIPT"),ROW(),0)</f>
        <v/>
      </c>
      <c r="I839">
        <f>IF(E839=1,IF(OR(B839="SALE",B839="WRITEOFF"),Transactions!E839,0),0)</f>
        <v/>
      </c>
      <c r="J839">
        <f>SUMIFS($F$1:F838,$A$1:A838,A839)</f>
        <v/>
      </c>
      <c r="K839">
        <f>SUMIFS($I$1:I838,$A$1:A838,A839)</f>
        <v/>
      </c>
      <c r="L839">
        <f>IFERROR(VLOOKUP(A839,Opening!$A:$C,3,0),0)</f>
        <v/>
      </c>
      <c r="M839">
        <f>IF(I839=0,0,MAX(0,MIN(INDEX(Month!H$2:H$13,MATCH($A839,Month!$A$2:$A$13,0))-K839,I839)))</f>
        <v/>
      </c>
      <c r="N839">
        <f>IF(I839=0,0,MAX(0,MIN(INDEX(Month!I$2:I$13,MATCH($A839,Month!$A$2:$A$13,0))-K839,I839)))</f>
        <v/>
      </c>
      <c r="O839">
        <f>IF(I839=0,0,MAX(0,MIN(INDEX(Month!J$2:J$13,MATCH($A839,Month!$A$2:$A$13,0))-K839,I839)))</f>
        <v/>
      </c>
      <c r="P839">
        <f>IF(I839=0,0,(MIN(MAX(K839,0),L839)*W839+SUMPRODUCT((Calc!$A$2:$A$1001=A839)*Calc!$G$2:$G$1001*(((K839-(L839+Calc!$J$2:$J$1001))&gt;0)*((K839-(L839+Calc!$J$2:$J$1001))&lt;Calc!$F$2:$F$1001)*(K839-(L839+Calc!$J$2:$J$1001))+((K839-(L839+Calc!$J$2:$J$1001))&gt;=Calc!$F$2:$F$1001)*Calc!$F$2:$F$1001))))</f>
        <v/>
      </c>
      <c r="Q839">
        <f>IF(I839=0,0,(MIN(MAX((K839+M839),0),L839)*W839+SUMPRODUCT((Calc!$A$2:$A$1001=A839)*Calc!$G$2:$G$1001*((((K839+M839)-(L839+Calc!$J$2:$J$1001))&gt;0)*(((K839+M839)-(L839+Calc!$J$2:$J$1001))&lt;Calc!$F$2:$F$1001)*((K839+M839)-(L839+Calc!$J$2:$J$1001))+(((K839+M839)-(L839+Calc!$J$2:$J$1001))&gt;=Calc!$F$2:$F$1001)*Calc!$F$2:$F$1001))))</f>
        <v/>
      </c>
      <c r="R839">
        <f>IF(I839=0,0,(MIN(MAX((K839+N839),0),L839)*W839+SUMPRODUCT((Calc!$A$2:$A$1001=A839)*Calc!$G$2:$G$1001*((((K839+N839)-(L839+Calc!$J$2:$J$1001))&gt;0)*(((K839+N839)-(L839+Calc!$J$2:$J$1001))&lt;Calc!$F$2:$F$1001)*((K839+N839)-(L839+Calc!$J$2:$J$1001))+(((K839+N839)-(L839+Calc!$J$2:$J$1001))&gt;=Calc!$F$2:$F$1001)*Calc!$F$2:$F$1001))))</f>
        <v/>
      </c>
      <c r="S839">
        <f>IF(I839=0,0,(MIN(MAX((K839+O839),0),L839)*W839+SUMPRODUCT((Calc!$A$2:$A$1001=A839)*Calc!$G$2:$G$1001*((((K839+O839)-(L839+Calc!$J$2:$J$1001))&gt;0)*(((K839+O839)-(L839+Calc!$J$2:$J$1001))&lt;Calc!$F$2:$F$1001)*((K839+O839)-(L839+Calc!$J$2:$J$1001))+(((K839+O839)-(L839+Calc!$J$2:$J$1001))&gt;=Calc!$F$2:$F$1001)*Calc!$F$2:$F$1001))))</f>
        <v/>
      </c>
      <c r="T839">
        <f>IF(AND(E839=1,B839="RETURN"),Transactions!E839*Transactions!G839,0)</f>
        <v/>
      </c>
      <c r="U839">
        <f>IF(AND(E839=1,B839="EXPENSE"),Transactions!J839,0)</f>
        <v/>
      </c>
      <c r="V839">
        <f>IF(AND(Transactions!A839&lt;&gt;"",E839=0),ROW(),"")</f>
        <v/>
      </c>
      <c r="W839">
        <f>IFERROR(VLOOKUP(A839,Opening!$A:$D,4,0),0)</f>
        <v/>
      </c>
    </row>
    <row r="840">
      <c r="A840">
        <f>IF(Transactions!D840="","",UPPER(TRIM(Transactions!D840)))</f>
        <v/>
      </c>
      <c r="B840">
        <f>IF(Transactions!C840="","",UPPER(TRIM(Transactions!C840)))</f>
        <v/>
      </c>
      <c r="C840">
        <f>IF(Transactions!B840="",0,YEAR(Transactions!B840)*100+MONTH(Transactions!B840))</f>
        <v/>
      </c>
      <c r="D840">
        <f>IF(Transactions!A840="",1,IF(COUNTIF(Transactions!$A$1:A839,Transactions!A840)&gt;0,1,0))</f>
        <v/>
      </c>
      <c r="E840">
        <f>IF(D840=1,0,IF(B840="RETURN",IF(COUNTIFS($A$1:A839,A840,$B$1:B839,"SALE",$E$1:E839,1)&gt;0,1,0),1))</f>
        <v/>
      </c>
      <c r="F840">
        <f>IF(E840=1,IF(B840="RECEIPT",Transactions!E840,IF(AND(B840="RETURN",LOWER(TRIM(Transactions!H840))="resellable"),Transactions!E840,0)),0)</f>
        <v/>
      </c>
      <c r="G840">
        <f>IF(F840&gt;0,IF(B840="RECEIPT",Transactions!F840,IF(_xlfn.MAXIFS($H$2:H840,$A$2:A840,A840)&gt;0,INDEX(Transactions!$F:$F,_xlfn.MAXIFS($H$2:H840,$A$2:A840,A840)),W840)),0)</f>
        <v/>
      </c>
      <c r="H840">
        <f>IF(AND(E840=1,B840="RECEIPT"),ROW(),0)</f>
        <v/>
      </c>
      <c r="I840">
        <f>IF(E840=1,IF(OR(B840="SALE",B840="WRITEOFF"),Transactions!E840,0),0)</f>
        <v/>
      </c>
      <c r="J840">
        <f>SUMIFS($F$1:F839,$A$1:A839,A840)</f>
        <v/>
      </c>
      <c r="K840">
        <f>SUMIFS($I$1:I839,$A$1:A839,A840)</f>
        <v/>
      </c>
      <c r="L840">
        <f>IFERROR(VLOOKUP(A840,Opening!$A:$C,3,0),0)</f>
        <v/>
      </c>
      <c r="M840">
        <f>IF(I840=0,0,MAX(0,MIN(INDEX(Month!H$2:H$13,MATCH($A840,Month!$A$2:$A$13,0))-K840,I840)))</f>
        <v/>
      </c>
      <c r="N840">
        <f>IF(I840=0,0,MAX(0,MIN(INDEX(Month!I$2:I$13,MATCH($A840,Month!$A$2:$A$13,0))-K840,I840)))</f>
        <v/>
      </c>
      <c r="O840">
        <f>IF(I840=0,0,MAX(0,MIN(INDEX(Month!J$2:J$13,MATCH($A840,Month!$A$2:$A$13,0))-K840,I840)))</f>
        <v/>
      </c>
      <c r="P840">
        <f>IF(I840=0,0,(MIN(MAX(K840,0),L840)*W840+SUMPRODUCT((Calc!$A$2:$A$1001=A840)*Calc!$G$2:$G$1001*(((K840-(L840+Calc!$J$2:$J$1001))&gt;0)*((K840-(L840+Calc!$J$2:$J$1001))&lt;Calc!$F$2:$F$1001)*(K840-(L840+Calc!$J$2:$J$1001))+((K840-(L840+Calc!$J$2:$J$1001))&gt;=Calc!$F$2:$F$1001)*Calc!$F$2:$F$1001))))</f>
        <v/>
      </c>
      <c r="Q840">
        <f>IF(I840=0,0,(MIN(MAX((K840+M840),0),L840)*W840+SUMPRODUCT((Calc!$A$2:$A$1001=A840)*Calc!$G$2:$G$1001*((((K840+M840)-(L840+Calc!$J$2:$J$1001))&gt;0)*(((K840+M840)-(L840+Calc!$J$2:$J$1001))&lt;Calc!$F$2:$F$1001)*((K840+M840)-(L840+Calc!$J$2:$J$1001))+(((K840+M840)-(L840+Calc!$J$2:$J$1001))&gt;=Calc!$F$2:$F$1001)*Calc!$F$2:$F$1001))))</f>
        <v/>
      </c>
      <c r="R840">
        <f>IF(I840=0,0,(MIN(MAX((K840+N840),0),L840)*W840+SUMPRODUCT((Calc!$A$2:$A$1001=A840)*Calc!$G$2:$G$1001*((((K840+N840)-(L840+Calc!$J$2:$J$1001))&gt;0)*(((K840+N840)-(L840+Calc!$J$2:$J$1001))&lt;Calc!$F$2:$F$1001)*((K840+N840)-(L840+Calc!$J$2:$J$1001))+(((K840+N840)-(L840+Calc!$J$2:$J$1001))&gt;=Calc!$F$2:$F$1001)*Calc!$F$2:$F$1001))))</f>
        <v/>
      </c>
      <c r="S840">
        <f>IF(I840=0,0,(MIN(MAX((K840+O840),0),L840)*W840+SUMPRODUCT((Calc!$A$2:$A$1001=A840)*Calc!$G$2:$G$1001*((((K840+O840)-(L840+Calc!$J$2:$J$1001))&gt;0)*(((K840+O840)-(L840+Calc!$J$2:$J$1001))&lt;Calc!$F$2:$F$1001)*((K840+O840)-(L840+Calc!$J$2:$J$1001))+(((K840+O840)-(L840+Calc!$J$2:$J$1001))&gt;=Calc!$F$2:$F$1001)*Calc!$F$2:$F$1001))))</f>
        <v/>
      </c>
      <c r="T840">
        <f>IF(AND(E840=1,B840="RETURN"),Transactions!E840*Transactions!G840,0)</f>
        <v/>
      </c>
      <c r="U840">
        <f>IF(AND(E840=1,B840="EXPENSE"),Transactions!J840,0)</f>
        <v/>
      </c>
      <c r="V840">
        <f>IF(AND(Transactions!A840&lt;&gt;"",E840=0),ROW(),"")</f>
        <v/>
      </c>
      <c r="W840">
        <f>IFERROR(VLOOKUP(A840,Opening!$A:$D,4,0),0)</f>
        <v/>
      </c>
    </row>
    <row r="841">
      <c r="A841">
        <f>IF(Transactions!D841="","",UPPER(TRIM(Transactions!D841)))</f>
        <v/>
      </c>
      <c r="B841">
        <f>IF(Transactions!C841="","",UPPER(TRIM(Transactions!C841)))</f>
        <v/>
      </c>
      <c r="C841">
        <f>IF(Transactions!B841="",0,YEAR(Transactions!B841)*100+MONTH(Transactions!B841))</f>
        <v/>
      </c>
      <c r="D841">
        <f>IF(Transactions!A841="",1,IF(COUNTIF(Transactions!$A$1:A840,Transactions!A841)&gt;0,1,0))</f>
        <v/>
      </c>
      <c r="E841">
        <f>IF(D841=1,0,IF(B841="RETURN",IF(COUNTIFS($A$1:A840,A841,$B$1:B840,"SALE",$E$1:E840,1)&gt;0,1,0),1))</f>
        <v/>
      </c>
      <c r="F841">
        <f>IF(E841=1,IF(B841="RECEIPT",Transactions!E841,IF(AND(B841="RETURN",LOWER(TRIM(Transactions!H841))="resellable"),Transactions!E841,0)),0)</f>
        <v/>
      </c>
      <c r="G841">
        <f>IF(F841&gt;0,IF(B841="RECEIPT",Transactions!F841,IF(_xlfn.MAXIFS($H$2:H841,$A$2:A841,A841)&gt;0,INDEX(Transactions!$F:$F,_xlfn.MAXIFS($H$2:H841,$A$2:A841,A841)),W841)),0)</f>
        <v/>
      </c>
      <c r="H841">
        <f>IF(AND(E841=1,B841="RECEIPT"),ROW(),0)</f>
        <v/>
      </c>
      <c r="I841">
        <f>IF(E841=1,IF(OR(B841="SALE",B841="WRITEOFF"),Transactions!E841,0),0)</f>
        <v/>
      </c>
      <c r="J841">
        <f>SUMIFS($F$1:F840,$A$1:A840,A841)</f>
        <v/>
      </c>
      <c r="K841">
        <f>SUMIFS($I$1:I840,$A$1:A840,A841)</f>
        <v/>
      </c>
      <c r="L841">
        <f>IFERROR(VLOOKUP(A841,Opening!$A:$C,3,0),0)</f>
        <v/>
      </c>
      <c r="M841">
        <f>IF(I841=0,0,MAX(0,MIN(INDEX(Month!H$2:H$13,MATCH($A841,Month!$A$2:$A$13,0))-K841,I841)))</f>
        <v/>
      </c>
      <c r="N841">
        <f>IF(I841=0,0,MAX(0,MIN(INDEX(Month!I$2:I$13,MATCH($A841,Month!$A$2:$A$13,0))-K841,I841)))</f>
        <v/>
      </c>
      <c r="O841">
        <f>IF(I841=0,0,MAX(0,MIN(INDEX(Month!J$2:J$13,MATCH($A841,Month!$A$2:$A$13,0))-K841,I841)))</f>
        <v/>
      </c>
      <c r="P841">
        <f>IF(I841=0,0,(MIN(MAX(K841,0),L841)*W841+SUMPRODUCT((Calc!$A$2:$A$1001=A841)*Calc!$G$2:$G$1001*(((K841-(L841+Calc!$J$2:$J$1001))&gt;0)*((K841-(L841+Calc!$J$2:$J$1001))&lt;Calc!$F$2:$F$1001)*(K841-(L841+Calc!$J$2:$J$1001))+((K841-(L841+Calc!$J$2:$J$1001))&gt;=Calc!$F$2:$F$1001)*Calc!$F$2:$F$1001))))</f>
        <v/>
      </c>
      <c r="Q841">
        <f>IF(I841=0,0,(MIN(MAX((K841+M841),0),L841)*W841+SUMPRODUCT((Calc!$A$2:$A$1001=A841)*Calc!$G$2:$G$1001*((((K841+M841)-(L841+Calc!$J$2:$J$1001))&gt;0)*(((K841+M841)-(L841+Calc!$J$2:$J$1001))&lt;Calc!$F$2:$F$1001)*((K841+M841)-(L841+Calc!$J$2:$J$1001))+(((K841+M841)-(L841+Calc!$J$2:$J$1001))&gt;=Calc!$F$2:$F$1001)*Calc!$F$2:$F$1001))))</f>
        <v/>
      </c>
      <c r="R841">
        <f>IF(I841=0,0,(MIN(MAX((K841+N841),0),L841)*W841+SUMPRODUCT((Calc!$A$2:$A$1001=A841)*Calc!$G$2:$G$1001*((((K841+N841)-(L841+Calc!$J$2:$J$1001))&gt;0)*(((K841+N841)-(L841+Calc!$J$2:$J$1001))&lt;Calc!$F$2:$F$1001)*((K841+N841)-(L841+Calc!$J$2:$J$1001))+(((K841+N841)-(L841+Calc!$J$2:$J$1001))&gt;=Calc!$F$2:$F$1001)*Calc!$F$2:$F$1001))))</f>
        <v/>
      </c>
      <c r="S841">
        <f>IF(I841=0,0,(MIN(MAX((K841+O841),0),L841)*W841+SUMPRODUCT((Calc!$A$2:$A$1001=A841)*Calc!$G$2:$G$1001*((((K841+O841)-(L841+Calc!$J$2:$J$1001))&gt;0)*(((K841+O841)-(L841+Calc!$J$2:$J$1001))&lt;Calc!$F$2:$F$1001)*((K841+O841)-(L841+Calc!$J$2:$J$1001))+(((K841+O841)-(L841+Calc!$J$2:$J$1001))&gt;=Calc!$F$2:$F$1001)*Calc!$F$2:$F$1001))))</f>
        <v/>
      </c>
      <c r="T841">
        <f>IF(AND(E841=1,B841="RETURN"),Transactions!E841*Transactions!G841,0)</f>
        <v/>
      </c>
      <c r="U841">
        <f>IF(AND(E841=1,B841="EXPENSE"),Transactions!J841,0)</f>
        <v/>
      </c>
      <c r="V841">
        <f>IF(AND(Transactions!A841&lt;&gt;"",E841=0),ROW(),"")</f>
        <v/>
      </c>
      <c r="W841">
        <f>IFERROR(VLOOKUP(A841,Opening!$A:$D,4,0),0)</f>
        <v/>
      </c>
    </row>
    <row r="842">
      <c r="A842">
        <f>IF(Transactions!D842="","",UPPER(TRIM(Transactions!D842)))</f>
        <v/>
      </c>
      <c r="B842">
        <f>IF(Transactions!C842="","",UPPER(TRIM(Transactions!C842)))</f>
        <v/>
      </c>
      <c r="C842">
        <f>IF(Transactions!B842="",0,YEAR(Transactions!B842)*100+MONTH(Transactions!B842))</f>
        <v/>
      </c>
      <c r="D842">
        <f>IF(Transactions!A842="",1,IF(COUNTIF(Transactions!$A$1:A841,Transactions!A842)&gt;0,1,0))</f>
        <v/>
      </c>
      <c r="E842">
        <f>IF(D842=1,0,IF(B842="RETURN",IF(COUNTIFS($A$1:A841,A842,$B$1:B841,"SALE",$E$1:E841,1)&gt;0,1,0),1))</f>
        <v/>
      </c>
      <c r="F842">
        <f>IF(E842=1,IF(B842="RECEIPT",Transactions!E842,IF(AND(B842="RETURN",LOWER(TRIM(Transactions!H842))="resellable"),Transactions!E842,0)),0)</f>
        <v/>
      </c>
      <c r="G842">
        <f>IF(F842&gt;0,IF(B842="RECEIPT",Transactions!F842,IF(_xlfn.MAXIFS($H$2:H842,$A$2:A842,A842)&gt;0,INDEX(Transactions!$F:$F,_xlfn.MAXIFS($H$2:H842,$A$2:A842,A842)),W842)),0)</f>
        <v/>
      </c>
      <c r="H842">
        <f>IF(AND(E842=1,B842="RECEIPT"),ROW(),0)</f>
        <v/>
      </c>
      <c r="I842">
        <f>IF(E842=1,IF(OR(B842="SALE",B842="WRITEOFF"),Transactions!E842,0),0)</f>
        <v/>
      </c>
      <c r="J842">
        <f>SUMIFS($F$1:F841,$A$1:A841,A842)</f>
        <v/>
      </c>
      <c r="K842">
        <f>SUMIFS($I$1:I841,$A$1:A841,A842)</f>
        <v/>
      </c>
      <c r="L842">
        <f>IFERROR(VLOOKUP(A842,Opening!$A:$C,3,0),0)</f>
        <v/>
      </c>
      <c r="M842">
        <f>IF(I842=0,0,MAX(0,MIN(INDEX(Month!H$2:H$13,MATCH($A842,Month!$A$2:$A$13,0))-K842,I842)))</f>
        <v/>
      </c>
      <c r="N842">
        <f>IF(I842=0,0,MAX(0,MIN(INDEX(Month!I$2:I$13,MATCH($A842,Month!$A$2:$A$13,0))-K842,I842)))</f>
        <v/>
      </c>
      <c r="O842">
        <f>IF(I842=0,0,MAX(0,MIN(INDEX(Month!J$2:J$13,MATCH($A842,Month!$A$2:$A$13,0))-K842,I842)))</f>
        <v/>
      </c>
      <c r="P842">
        <f>IF(I842=0,0,(MIN(MAX(K842,0),L842)*W842+SUMPRODUCT((Calc!$A$2:$A$1001=A842)*Calc!$G$2:$G$1001*(((K842-(L842+Calc!$J$2:$J$1001))&gt;0)*((K842-(L842+Calc!$J$2:$J$1001))&lt;Calc!$F$2:$F$1001)*(K842-(L842+Calc!$J$2:$J$1001))+((K842-(L842+Calc!$J$2:$J$1001))&gt;=Calc!$F$2:$F$1001)*Calc!$F$2:$F$1001))))</f>
        <v/>
      </c>
      <c r="Q842">
        <f>IF(I842=0,0,(MIN(MAX((K842+M842),0),L842)*W842+SUMPRODUCT((Calc!$A$2:$A$1001=A842)*Calc!$G$2:$G$1001*((((K842+M842)-(L842+Calc!$J$2:$J$1001))&gt;0)*(((K842+M842)-(L842+Calc!$J$2:$J$1001))&lt;Calc!$F$2:$F$1001)*((K842+M842)-(L842+Calc!$J$2:$J$1001))+(((K842+M842)-(L842+Calc!$J$2:$J$1001))&gt;=Calc!$F$2:$F$1001)*Calc!$F$2:$F$1001))))</f>
        <v/>
      </c>
      <c r="R842">
        <f>IF(I842=0,0,(MIN(MAX((K842+N842),0),L842)*W842+SUMPRODUCT((Calc!$A$2:$A$1001=A842)*Calc!$G$2:$G$1001*((((K842+N842)-(L842+Calc!$J$2:$J$1001))&gt;0)*(((K842+N842)-(L842+Calc!$J$2:$J$1001))&lt;Calc!$F$2:$F$1001)*((K842+N842)-(L842+Calc!$J$2:$J$1001))+(((K842+N842)-(L842+Calc!$J$2:$J$1001))&gt;=Calc!$F$2:$F$1001)*Calc!$F$2:$F$1001))))</f>
        <v/>
      </c>
      <c r="S842">
        <f>IF(I842=0,0,(MIN(MAX((K842+O842),0),L842)*W842+SUMPRODUCT((Calc!$A$2:$A$1001=A842)*Calc!$G$2:$G$1001*((((K842+O842)-(L842+Calc!$J$2:$J$1001))&gt;0)*(((K842+O842)-(L842+Calc!$J$2:$J$1001))&lt;Calc!$F$2:$F$1001)*((K842+O842)-(L842+Calc!$J$2:$J$1001))+(((K842+O842)-(L842+Calc!$J$2:$J$1001))&gt;=Calc!$F$2:$F$1001)*Calc!$F$2:$F$1001))))</f>
        <v/>
      </c>
      <c r="T842">
        <f>IF(AND(E842=1,B842="RETURN"),Transactions!E842*Transactions!G842,0)</f>
        <v/>
      </c>
      <c r="U842">
        <f>IF(AND(E842=1,B842="EXPENSE"),Transactions!J842,0)</f>
        <v/>
      </c>
      <c r="V842">
        <f>IF(AND(Transactions!A842&lt;&gt;"",E842=0),ROW(),"")</f>
        <v/>
      </c>
      <c r="W842">
        <f>IFERROR(VLOOKUP(A842,Opening!$A:$D,4,0),0)</f>
        <v/>
      </c>
    </row>
    <row r="843">
      <c r="A843">
        <f>IF(Transactions!D843="","",UPPER(TRIM(Transactions!D843)))</f>
        <v/>
      </c>
      <c r="B843">
        <f>IF(Transactions!C843="","",UPPER(TRIM(Transactions!C843)))</f>
        <v/>
      </c>
      <c r="C843">
        <f>IF(Transactions!B843="",0,YEAR(Transactions!B843)*100+MONTH(Transactions!B843))</f>
        <v/>
      </c>
      <c r="D843">
        <f>IF(Transactions!A843="",1,IF(COUNTIF(Transactions!$A$1:A842,Transactions!A843)&gt;0,1,0))</f>
        <v/>
      </c>
      <c r="E843">
        <f>IF(D843=1,0,IF(B843="RETURN",IF(COUNTIFS($A$1:A842,A843,$B$1:B842,"SALE",$E$1:E842,1)&gt;0,1,0),1))</f>
        <v/>
      </c>
      <c r="F843">
        <f>IF(E843=1,IF(B843="RECEIPT",Transactions!E843,IF(AND(B843="RETURN",LOWER(TRIM(Transactions!H843))="resellable"),Transactions!E843,0)),0)</f>
        <v/>
      </c>
      <c r="G843">
        <f>IF(F843&gt;0,IF(B843="RECEIPT",Transactions!F843,IF(_xlfn.MAXIFS($H$2:H843,$A$2:A843,A843)&gt;0,INDEX(Transactions!$F:$F,_xlfn.MAXIFS($H$2:H843,$A$2:A843,A843)),W843)),0)</f>
        <v/>
      </c>
      <c r="H843">
        <f>IF(AND(E843=1,B843="RECEIPT"),ROW(),0)</f>
        <v/>
      </c>
      <c r="I843">
        <f>IF(E843=1,IF(OR(B843="SALE",B843="WRITEOFF"),Transactions!E843,0),0)</f>
        <v/>
      </c>
      <c r="J843">
        <f>SUMIFS($F$1:F842,$A$1:A842,A843)</f>
        <v/>
      </c>
      <c r="K843">
        <f>SUMIFS($I$1:I842,$A$1:A842,A843)</f>
        <v/>
      </c>
      <c r="L843">
        <f>IFERROR(VLOOKUP(A843,Opening!$A:$C,3,0),0)</f>
        <v/>
      </c>
      <c r="M843">
        <f>IF(I843=0,0,MAX(0,MIN(INDEX(Month!H$2:H$13,MATCH($A843,Month!$A$2:$A$13,0))-K843,I843)))</f>
        <v/>
      </c>
      <c r="N843">
        <f>IF(I843=0,0,MAX(0,MIN(INDEX(Month!I$2:I$13,MATCH($A843,Month!$A$2:$A$13,0))-K843,I843)))</f>
        <v/>
      </c>
      <c r="O843">
        <f>IF(I843=0,0,MAX(0,MIN(INDEX(Month!J$2:J$13,MATCH($A843,Month!$A$2:$A$13,0))-K843,I843)))</f>
        <v/>
      </c>
      <c r="P843">
        <f>IF(I843=0,0,(MIN(MAX(K843,0),L843)*W843+SUMPRODUCT((Calc!$A$2:$A$1001=A843)*Calc!$G$2:$G$1001*(((K843-(L843+Calc!$J$2:$J$1001))&gt;0)*((K843-(L843+Calc!$J$2:$J$1001))&lt;Calc!$F$2:$F$1001)*(K843-(L843+Calc!$J$2:$J$1001))+((K843-(L843+Calc!$J$2:$J$1001))&gt;=Calc!$F$2:$F$1001)*Calc!$F$2:$F$1001))))</f>
        <v/>
      </c>
      <c r="Q843">
        <f>IF(I843=0,0,(MIN(MAX((K843+M843),0),L843)*W843+SUMPRODUCT((Calc!$A$2:$A$1001=A843)*Calc!$G$2:$G$1001*((((K843+M843)-(L843+Calc!$J$2:$J$1001))&gt;0)*(((K843+M843)-(L843+Calc!$J$2:$J$1001))&lt;Calc!$F$2:$F$1001)*((K843+M843)-(L843+Calc!$J$2:$J$1001))+(((K843+M843)-(L843+Calc!$J$2:$J$1001))&gt;=Calc!$F$2:$F$1001)*Calc!$F$2:$F$1001))))</f>
        <v/>
      </c>
      <c r="R843">
        <f>IF(I843=0,0,(MIN(MAX((K843+N843),0),L843)*W843+SUMPRODUCT((Calc!$A$2:$A$1001=A843)*Calc!$G$2:$G$1001*((((K843+N843)-(L843+Calc!$J$2:$J$1001))&gt;0)*(((K843+N843)-(L843+Calc!$J$2:$J$1001))&lt;Calc!$F$2:$F$1001)*((K843+N843)-(L843+Calc!$J$2:$J$1001))+(((K843+N843)-(L843+Calc!$J$2:$J$1001))&gt;=Calc!$F$2:$F$1001)*Calc!$F$2:$F$1001))))</f>
        <v/>
      </c>
      <c r="S843">
        <f>IF(I843=0,0,(MIN(MAX((K843+O843),0),L843)*W843+SUMPRODUCT((Calc!$A$2:$A$1001=A843)*Calc!$G$2:$G$1001*((((K843+O843)-(L843+Calc!$J$2:$J$1001))&gt;0)*(((K843+O843)-(L843+Calc!$J$2:$J$1001))&lt;Calc!$F$2:$F$1001)*((K843+O843)-(L843+Calc!$J$2:$J$1001))+(((K843+O843)-(L843+Calc!$J$2:$J$1001))&gt;=Calc!$F$2:$F$1001)*Calc!$F$2:$F$1001))))</f>
        <v/>
      </c>
      <c r="T843">
        <f>IF(AND(E843=1,B843="RETURN"),Transactions!E843*Transactions!G843,0)</f>
        <v/>
      </c>
      <c r="U843">
        <f>IF(AND(E843=1,B843="EXPENSE"),Transactions!J843,0)</f>
        <v/>
      </c>
      <c r="V843">
        <f>IF(AND(Transactions!A843&lt;&gt;"",E843=0),ROW(),"")</f>
        <v/>
      </c>
      <c r="W843">
        <f>IFERROR(VLOOKUP(A843,Opening!$A:$D,4,0),0)</f>
        <v/>
      </c>
    </row>
    <row r="844">
      <c r="A844">
        <f>IF(Transactions!D844="","",UPPER(TRIM(Transactions!D844)))</f>
        <v/>
      </c>
      <c r="B844">
        <f>IF(Transactions!C844="","",UPPER(TRIM(Transactions!C844)))</f>
        <v/>
      </c>
      <c r="C844">
        <f>IF(Transactions!B844="",0,YEAR(Transactions!B844)*100+MONTH(Transactions!B844))</f>
        <v/>
      </c>
      <c r="D844">
        <f>IF(Transactions!A844="",1,IF(COUNTIF(Transactions!$A$1:A843,Transactions!A844)&gt;0,1,0))</f>
        <v/>
      </c>
      <c r="E844">
        <f>IF(D844=1,0,IF(B844="RETURN",IF(COUNTIFS($A$1:A843,A844,$B$1:B843,"SALE",$E$1:E843,1)&gt;0,1,0),1))</f>
        <v/>
      </c>
      <c r="F844">
        <f>IF(E844=1,IF(B844="RECEIPT",Transactions!E844,IF(AND(B844="RETURN",LOWER(TRIM(Transactions!H844))="resellable"),Transactions!E844,0)),0)</f>
        <v/>
      </c>
      <c r="G844">
        <f>IF(F844&gt;0,IF(B844="RECEIPT",Transactions!F844,IF(_xlfn.MAXIFS($H$2:H844,$A$2:A844,A844)&gt;0,INDEX(Transactions!$F:$F,_xlfn.MAXIFS($H$2:H844,$A$2:A844,A844)),W844)),0)</f>
        <v/>
      </c>
      <c r="H844">
        <f>IF(AND(E844=1,B844="RECEIPT"),ROW(),0)</f>
        <v/>
      </c>
      <c r="I844">
        <f>IF(E844=1,IF(OR(B844="SALE",B844="WRITEOFF"),Transactions!E844,0),0)</f>
        <v/>
      </c>
      <c r="J844">
        <f>SUMIFS($F$1:F843,$A$1:A843,A844)</f>
        <v/>
      </c>
      <c r="K844">
        <f>SUMIFS($I$1:I843,$A$1:A843,A844)</f>
        <v/>
      </c>
      <c r="L844">
        <f>IFERROR(VLOOKUP(A844,Opening!$A:$C,3,0),0)</f>
        <v/>
      </c>
      <c r="M844">
        <f>IF(I844=0,0,MAX(0,MIN(INDEX(Month!H$2:H$13,MATCH($A844,Month!$A$2:$A$13,0))-K844,I844)))</f>
        <v/>
      </c>
      <c r="N844">
        <f>IF(I844=0,0,MAX(0,MIN(INDEX(Month!I$2:I$13,MATCH($A844,Month!$A$2:$A$13,0))-K844,I844)))</f>
        <v/>
      </c>
      <c r="O844">
        <f>IF(I844=0,0,MAX(0,MIN(INDEX(Month!J$2:J$13,MATCH($A844,Month!$A$2:$A$13,0))-K844,I844)))</f>
        <v/>
      </c>
      <c r="P844">
        <f>IF(I844=0,0,(MIN(MAX(K844,0),L844)*W844+SUMPRODUCT((Calc!$A$2:$A$1001=A844)*Calc!$G$2:$G$1001*(((K844-(L844+Calc!$J$2:$J$1001))&gt;0)*((K844-(L844+Calc!$J$2:$J$1001))&lt;Calc!$F$2:$F$1001)*(K844-(L844+Calc!$J$2:$J$1001))+((K844-(L844+Calc!$J$2:$J$1001))&gt;=Calc!$F$2:$F$1001)*Calc!$F$2:$F$1001))))</f>
        <v/>
      </c>
      <c r="Q844">
        <f>IF(I844=0,0,(MIN(MAX((K844+M844),0),L844)*W844+SUMPRODUCT((Calc!$A$2:$A$1001=A844)*Calc!$G$2:$G$1001*((((K844+M844)-(L844+Calc!$J$2:$J$1001))&gt;0)*(((K844+M844)-(L844+Calc!$J$2:$J$1001))&lt;Calc!$F$2:$F$1001)*((K844+M844)-(L844+Calc!$J$2:$J$1001))+(((K844+M844)-(L844+Calc!$J$2:$J$1001))&gt;=Calc!$F$2:$F$1001)*Calc!$F$2:$F$1001))))</f>
        <v/>
      </c>
      <c r="R844">
        <f>IF(I844=0,0,(MIN(MAX((K844+N844),0),L844)*W844+SUMPRODUCT((Calc!$A$2:$A$1001=A844)*Calc!$G$2:$G$1001*((((K844+N844)-(L844+Calc!$J$2:$J$1001))&gt;0)*(((K844+N844)-(L844+Calc!$J$2:$J$1001))&lt;Calc!$F$2:$F$1001)*((K844+N844)-(L844+Calc!$J$2:$J$1001))+(((K844+N844)-(L844+Calc!$J$2:$J$1001))&gt;=Calc!$F$2:$F$1001)*Calc!$F$2:$F$1001))))</f>
        <v/>
      </c>
      <c r="S844">
        <f>IF(I844=0,0,(MIN(MAX((K844+O844),0),L844)*W844+SUMPRODUCT((Calc!$A$2:$A$1001=A844)*Calc!$G$2:$G$1001*((((K844+O844)-(L844+Calc!$J$2:$J$1001))&gt;0)*(((K844+O844)-(L844+Calc!$J$2:$J$1001))&lt;Calc!$F$2:$F$1001)*((K844+O844)-(L844+Calc!$J$2:$J$1001))+(((K844+O844)-(L844+Calc!$J$2:$J$1001))&gt;=Calc!$F$2:$F$1001)*Calc!$F$2:$F$1001))))</f>
        <v/>
      </c>
      <c r="T844">
        <f>IF(AND(E844=1,B844="RETURN"),Transactions!E844*Transactions!G844,0)</f>
        <v/>
      </c>
      <c r="U844">
        <f>IF(AND(E844=1,B844="EXPENSE"),Transactions!J844,0)</f>
        <v/>
      </c>
      <c r="V844">
        <f>IF(AND(Transactions!A844&lt;&gt;"",E844=0),ROW(),"")</f>
        <v/>
      </c>
      <c r="W844">
        <f>IFERROR(VLOOKUP(A844,Opening!$A:$D,4,0),0)</f>
        <v/>
      </c>
    </row>
    <row r="845">
      <c r="A845">
        <f>IF(Transactions!D845="","",UPPER(TRIM(Transactions!D845)))</f>
        <v/>
      </c>
      <c r="B845">
        <f>IF(Transactions!C845="","",UPPER(TRIM(Transactions!C845)))</f>
        <v/>
      </c>
      <c r="C845">
        <f>IF(Transactions!B845="",0,YEAR(Transactions!B845)*100+MONTH(Transactions!B845))</f>
        <v/>
      </c>
      <c r="D845">
        <f>IF(Transactions!A845="",1,IF(COUNTIF(Transactions!$A$1:A844,Transactions!A845)&gt;0,1,0))</f>
        <v/>
      </c>
      <c r="E845">
        <f>IF(D845=1,0,IF(B845="RETURN",IF(COUNTIFS($A$1:A844,A845,$B$1:B844,"SALE",$E$1:E844,1)&gt;0,1,0),1))</f>
        <v/>
      </c>
      <c r="F845">
        <f>IF(E845=1,IF(B845="RECEIPT",Transactions!E845,IF(AND(B845="RETURN",LOWER(TRIM(Transactions!H845))="resellable"),Transactions!E845,0)),0)</f>
        <v/>
      </c>
      <c r="G845">
        <f>IF(F845&gt;0,IF(B845="RECEIPT",Transactions!F845,IF(_xlfn.MAXIFS($H$2:H845,$A$2:A845,A845)&gt;0,INDEX(Transactions!$F:$F,_xlfn.MAXIFS($H$2:H845,$A$2:A845,A845)),W845)),0)</f>
        <v/>
      </c>
      <c r="H845">
        <f>IF(AND(E845=1,B845="RECEIPT"),ROW(),0)</f>
        <v/>
      </c>
      <c r="I845">
        <f>IF(E845=1,IF(OR(B845="SALE",B845="WRITEOFF"),Transactions!E845,0),0)</f>
        <v/>
      </c>
      <c r="J845">
        <f>SUMIFS($F$1:F844,$A$1:A844,A845)</f>
        <v/>
      </c>
      <c r="K845">
        <f>SUMIFS($I$1:I844,$A$1:A844,A845)</f>
        <v/>
      </c>
      <c r="L845">
        <f>IFERROR(VLOOKUP(A845,Opening!$A:$C,3,0),0)</f>
        <v/>
      </c>
      <c r="M845">
        <f>IF(I845=0,0,MAX(0,MIN(INDEX(Month!H$2:H$13,MATCH($A845,Month!$A$2:$A$13,0))-K845,I845)))</f>
        <v/>
      </c>
      <c r="N845">
        <f>IF(I845=0,0,MAX(0,MIN(INDEX(Month!I$2:I$13,MATCH($A845,Month!$A$2:$A$13,0))-K845,I845)))</f>
        <v/>
      </c>
      <c r="O845">
        <f>IF(I845=0,0,MAX(0,MIN(INDEX(Month!J$2:J$13,MATCH($A845,Month!$A$2:$A$13,0))-K845,I845)))</f>
        <v/>
      </c>
      <c r="P845">
        <f>IF(I845=0,0,(MIN(MAX(K845,0),L845)*W845+SUMPRODUCT((Calc!$A$2:$A$1001=A845)*Calc!$G$2:$G$1001*(((K845-(L845+Calc!$J$2:$J$1001))&gt;0)*((K845-(L845+Calc!$J$2:$J$1001))&lt;Calc!$F$2:$F$1001)*(K845-(L845+Calc!$J$2:$J$1001))+((K845-(L845+Calc!$J$2:$J$1001))&gt;=Calc!$F$2:$F$1001)*Calc!$F$2:$F$1001))))</f>
        <v/>
      </c>
      <c r="Q845">
        <f>IF(I845=0,0,(MIN(MAX((K845+M845),0),L845)*W845+SUMPRODUCT((Calc!$A$2:$A$1001=A845)*Calc!$G$2:$G$1001*((((K845+M845)-(L845+Calc!$J$2:$J$1001))&gt;0)*(((K845+M845)-(L845+Calc!$J$2:$J$1001))&lt;Calc!$F$2:$F$1001)*((K845+M845)-(L845+Calc!$J$2:$J$1001))+(((K845+M845)-(L845+Calc!$J$2:$J$1001))&gt;=Calc!$F$2:$F$1001)*Calc!$F$2:$F$1001))))</f>
        <v/>
      </c>
      <c r="R845">
        <f>IF(I845=0,0,(MIN(MAX((K845+N845),0),L845)*W845+SUMPRODUCT((Calc!$A$2:$A$1001=A845)*Calc!$G$2:$G$1001*((((K845+N845)-(L845+Calc!$J$2:$J$1001))&gt;0)*(((K845+N845)-(L845+Calc!$J$2:$J$1001))&lt;Calc!$F$2:$F$1001)*((K845+N845)-(L845+Calc!$J$2:$J$1001))+(((K845+N845)-(L845+Calc!$J$2:$J$1001))&gt;=Calc!$F$2:$F$1001)*Calc!$F$2:$F$1001))))</f>
        <v/>
      </c>
      <c r="S845">
        <f>IF(I845=0,0,(MIN(MAX((K845+O845),0),L845)*W845+SUMPRODUCT((Calc!$A$2:$A$1001=A845)*Calc!$G$2:$G$1001*((((K845+O845)-(L845+Calc!$J$2:$J$1001))&gt;0)*(((K845+O845)-(L845+Calc!$J$2:$J$1001))&lt;Calc!$F$2:$F$1001)*((K845+O845)-(L845+Calc!$J$2:$J$1001))+(((K845+O845)-(L845+Calc!$J$2:$J$1001))&gt;=Calc!$F$2:$F$1001)*Calc!$F$2:$F$1001))))</f>
        <v/>
      </c>
      <c r="T845">
        <f>IF(AND(E845=1,B845="RETURN"),Transactions!E845*Transactions!G845,0)</f>
        <v/>
      </c>
      <c r="U845">
        <f>IF(AND(E845=1,B845="EXPENSE"),Transactions!J845,0)</f>
        <v/>
      </c>
      <c r="V845">
        <f>IF(AND(Transactions!A845&lt;&gt;"",E845=0),ROW(),"")</f>
        <v/>
      </c>
      <c r="W845">
        <f>IFERROR(VLOOKUP(A845,Opening!$A:$D,4,0),0)</f>
        <v/>
      </c>
    </row>
    <row r="846">
      <c r="A846">
        <f>IF(Transactions!D846="","",UPPER(TRIM(Transactions!D846)))</f>
        <v/>
      </c>
      <c r="B846">
        <f>IF(Transactions!C846="","",UPPER(TRIM(Transactions!C846)))</f>
        <v/>
      </c>
      <c r="C846">
        <f>IF(Transactions!B846="",0,YEAR(Transactions!B846)*100+MONTH(Transactions!B846))</f>
        <v/>
      </c>
      <c r="D846">
        <f>IF(Transactions!A846="",1,IF(COUNTIF(Transactions!$A$1:A845,Transactions!A846)&gt;0,1,0))</f>
        <v/>
      </c>
      <c r="E846">
        <f>IF(D846=1,0,IF(B846="RETURN",IF(COUNTIFS($A$1:A845,A846,$B$1:B845,"SALE",$E$1:E845,1)&gt;0,1,0),1))</f>
        <v/>
      </c>
      <c r="F846">
        <f>IF(E846=1,IF(B846="RECEIPT",Transactions!E846,IF(AND(B846="RETURN",LOWER(TRIM(Transactions!H846))="resellable"),Transactions!E846,0)),0)</f>
        <v/>
      </c>
      <c r="G846">
        <f>IF(F846&gt;0,IF(B846="RECEIPT",Transactions!F846,IF(_xlfn.MAXIFS($H$2:H846,$A$2:A846,A846)&gt;0,INDEX(Transactions!$F:$F,_xlfn.MAXIFS($H$2:H846,$A$2:A846,A846)),W846)),0)</f>
        <v/>
      </c>
      <c r="H846">
        <f>IF(AND(E846=1,B846="RECEIPT"),ROW(),0)</f>
        <v/>
      </c>
      <c r="I846">
        <f>IF(E846=1,IF(OR(B846="SALE",B846="WRITEOFF"),Transactions!E846,0),0)</f>
        <v/>
      </c>
      <c r="J846">
        <f>SUMIFS($F$1:F845,$A$1:A845,A846)</f>
        <v/>
      </c>
      <c r="K846">
        <f>SUMIFS($I$1:I845,$A$1:A845,A846)</f>
        <v/>
      </c>
      <c r="L846">
        <f>IFERROR(VLOOKUP(A846,Opening!$A:$C,3,0),0)</f>
        <v/>
      </c>
      <c r="M846">
        <f>IF(I846=0,0,MAX(0,MIN(INDEX(Month!H$2:H$13,MATCH($A846,Month!$A$2:$A$13,0))-K846,I846)))</f>
        <v/>
      </c>
      <c r="N846">
        <f>IF(I846=0,0,MAX(0,MIN(INDEX(Month!I$2:I$13,MATCH($A846,Month!$A$2:$A$13,0))-K846,I846)))</f>
        <v/>
      </c>
      <c r="O846">
        <f>IF(I846=0,0,MAX(0,MIN(INDEX(Month!J$2:J$13,MATCH($A846,Month!$A$2:$A$13,0))-K846,I846)))</f>
        <v/>
      </c>
      <c r="P846">
        <f>IF(I846=0,0,(MIN(MAX(K846,0),L846)*W846+SUMPRODUCT((Calc!$A$2:$A$1001=A846)*Calc!$G$2:$G$1001*(((K846-(L846+Calc!$J$2:$J$1001))&gt;0)*((K846-(L846+Calc!$J$2:$J$1001))&lt;Calc!$F$2:$F$1001)*(K846-(L846+Calc!$J$2:$J$1001))+((K846-(L846+Calc!$J$2:$J$1001))&gt;=Calc!$F$2:$F$1001)*Calc!$F$2:$F$1001))))</f>
        <v/>
      </c>
      <c r="Q846">
        <f>IF(I846=0,0,(MIN(MAX((K846+M846),0),L846)*W846+SUMPRODUCT((Calc!$A$2:$A$1001=A846)*Calc!$G$2:$G$1001*((((K846+M846)-(L846+Calc!$J$2:$J$1001))&gt;0)*(((K846+M846)-(L846+Calc!$J$2:$J$1001))&lt;Calc!$F$2:$F$1001)*((K846+M846)-(L846+Calc!$J$2:$J$1001))+(((K846+M846)-(L846+Calc!$J$2:$J$1001))&gt;=Calc!$F$2:$F$1001)*Calc!$F$2:$F$1001))))</f>
        <v/>
      </c>
      <c r="R846">
        <f>IF(I846=0,0,(MIN(MAX((K846+N846),0),L846)*W846+SUMPRODUCT((Calc!$A$2:$A$1001=A846)*Calc!$G$2:$G$1001*((((K846+N846)-(L846+Calc!$J$2:$J$1001))&gt;0)*(((K846+N846)-(L846+Calc!$J$2:$J$1001))&lt;Calc!$F$2:$F$1001)*((K846+N846)-(L846+Calc!$J$2:$J$1001))+(((K846+N846)-(L846+Calc!$J$2:$J$1001))&gt;=Calc!$F$2:$F$1001)*Calc!$F$2:$F$1001))))</f>
        <v/>
      </c>
      <c r="S846">
        <f>IF(I846=0,0,(MIN(MAX((K846+O846),0),L846)*W846+SUMPRODUCT((Calc!$A$2:$A$1001=A846)*Calc!$G$2:$G$1001*((((K846+O846)-(L846+Calc!$J$2:$J$1001))&gt;0)*(((K846+O846)-(L846+Calc!$J$2:$J$1001))&lt;Calc!$F$2:$F$1001)*((K846+O846)-(L846+Calc!$J$2:$J$1001))+(((K846+O846)-(L846+Calc!$J$2:$J$1001))&gt;=Calc!$F$2:$F$1001)*Calc!$F$2:$F$1001))))</f>
        <v/>
      </c>
      <c r="T846">
        <f>IF(AND(E846=1,B846="RETURN"),Transactions!E846*Transactions!G846,0)</f>
        <v/>
      </c>
      <c r="U846">
        <f>IF(AND(E846=1,B846="EXPENSE"),Transactions!J846,0)</f>
        <v/>
      </c>
      <c r="V846">
        <f>IF(AND(Transactions!A846&lt;&gt;"",E846=0),ROW(),"")</f>
        <v/>
      </c>
      <c r="W846">
        <f>IFERROR(VLOOKUP(A846,Opening!$A:$D,4,0),0)</f>
        <v/>
      </c>
    </row>
    <row r="847">
      <c r="A847">
        <f>IF(Transactions!D847="","",UPPER(TRIM(Transactions!D847)))</f>
        <v/>
      </c>
      <c r="B847">
        <f>IF(Transactions!C847="","",UPPER(TRIM(Transactions!C847)))</f>
        <v/>
      </c>
      <c r="C847">
        <f>IF(Transactions!B847="",0,YEAR(Transactions!B847)*100+MONTH(Transactions!B847))</f>
        <v/>
      </c>
      <c r="D847">
        <f>IF(Transactions!A847="",1,IF(COUNTIF(Transactions!$A$1:A846,Transactions!A847)&gt;0,1,0))</f>
        <v/>
      </c>
      <c r="E847">
        <f>IF(D847=1,0,IF(B847="RETURN",IF(COUNTIFS($A$1:A846,A847,$B$1:B846,"SALE",$E$1:E846,1)&gt;0,1,0),1))</f>
        <v/>
      </c>
      <c r="F847">
        <f>IF(E847=1,IF(B847="RECEIPT",Transactions!E847,IF(AND(B847="RETURN",LOWER(TRIM(Transactions!H847))="resellable"),Transactions!E847,0)),0)</f>
        <v/>
      </c>
      <c r="G847">
        <f>IF(F847&gt;0,IF(B847="RECEIPT",Transactions!F847,IF(_xlfn.MAXIFS($H$2:H847,$A$2:A847,A847)&gt;0,INDEX(Transactions!$F:$F,_xlfn.MAXIFS($H$2:H847,$A$2:A847,A847)),W847)),0)</f>
        <v/>
      </c>
      <c r="H847">
        <f>IF(AND(E847=1,B847="RECEIPT"),ROW(),0)</f>
        <v/>
      </c>
      <c r="I847">
        <f>IF(E847=1,IF(OR(B847="SALE",B847="WRITEOFF"),Transactions!E847,0),0)</f>
        <v/>
      </c>
      <c r="J847">
        <f>SUMIFS($F$1:F846,$A$1:A846,A847)</f>
        <v/>
      </c>
      <c r="K847">
        <f>SUMIFS($I$1:I846,$A$1:A846,A847)</f>
        <v/>
      </c>
      <c r="L847">
        <f>IFERROR(VLOOKUP(A847,Opening!$A:$C,3,0),0)</f>
        <v/>
      </c>
      <c r="M847">
        <f>IF(I847=0,0,MAX(0,MIN(INDEX(Month!H$2:H$13,MATCH($A847,Month!$A$2:$A$13,0))-K847,I847)))</f>
        <v/>
      </c>
      <c r="N847">
        <f>IF(I847=0,0,MAX(0,MIN(INDEX(Month!I$2:I$13,MATCH($A847,Month!$A$2:$A$13,0))-K847,I847)))</f>
        <v/>
      </c>
      <c r="O847">
        <f>IF(I847=0,0,MAX(0,MIN(INDEX(Month!J$2:J$13,MATCH($A847,Month!$A$2:$A$13,0))-K847,I847)))</f>
        <v/>
      </c>
      <c r="P847">
        <f>IF(I847=0,0,(MIN(MAX(K847,0),L847)*W847+SUMPRODUCT((Calc!$A$2:$A$1001=A847)*Calc!$G$2:$G$1001*(((K847-(L847+Calc!$J$2:$J$1001))&gt;0)*((K847-(L847+Calc!$J$2:$J$1001))&lt;Calc!$F$2:$F$1001)*(K847-(L847+Calc!$J$2:$J$1001))+((K847-(L847+Calc!$J$2:$J$1001))&gt;=Calc!$F$2:$F$1001)*Calc!$F$2:$F$1001))))</f>
        <v/>
      </c>
      <c r="Q847">
        <f>IF(I847=0,0,(MIN(MAX((K847+M847),0),L847)*W847+SUMPRODUCT((Calc!$A$2:$A$1001=A847)*Calc!$G$2:$G$1001*((((K847+M847)-(L847+Calc!$J$2:$J$1001))&gt;0)*(((K847+M847)-(L847+Calc!$J$2:$J$1001))&lt;Calc!$F$2:$F$1001)*((K847+M847)-(L847+Calc!$J$2:$J$1001))+(((K847+M847)-(L847+Calc!$J$2:$J$1001))&gt;=Calc!$F$2:$F$1001)*Calc!$F$2:$F$1001))))</f>
        <v/>
      </c>
      <c r="R847">
        <f>IF(I847=0,0,(MIN(MAX((K847+N847),0),L847)*W847+SUMPRODUCT((Calc!$A$2:$A$1001=A847)*Calc!$G$2:$G$1001*((((K847+N847)-(L847+Calc!$J$2:$J$1001))&gt;0)*(((K847+N847)-(L847+Calc!$J$2:$J$1001))&lt;Calc!$F$2:$F$1001)*((K847+N847)-(L847+Calc!$J$2:$J$1001))+(((K847+N847)-(L847+Calc!$J$2:$J$1001))&gt;=Calc!$F$2:$F$1001)*Calc!$F$2:$F$1001))))</f>
        <v/>
      </c>
      <c r="S847">
        <f>IF(I847=0,0,(MIN(MAX((K847+O847),0),L847)*W847+SUMPRODUCT((Calc!$A$2:$A$1001=A847)*Calc!$G$2:$G$1001*((((K847+O847)-(L847+Calc!$J$2:$J$1001))&gt;0)*(((K847+O847)-(L847+Calc!$J$2:$J$1001))&lt;Calc!$F$2:$F$1001)*((K847+O847)-(L847+Calc!$J$2:$J$1001))+(((K847+O847)-(L847+Calc!$J$2:$J$1001))&gt;=Calc!$F$2:$F$1001)*Calc!$F$2:$F$1001))))</f>
        <v/>
      </c>
      <c r="T847">
        <f>IF(AND(E847=1,B847="RETURN"),Transactions!E847*Transactions!G847,0)</f>
        <v/>
      </c>
      <c r="U847">
        <f>IF(AND(E847=1,B847="EXPENSE"),Transactions!J847,0)</f>
        <v/>
      </c>
      <c r="V847">
        <f>IF(AND(Transactions!A847&lt;&gt;"",E847=0),ROW(),"")</f>
        <v/>
      </c>
      <c r="W847">
        <f>IFERROR(VLOOKUP(A847,Opening!$A:$D,4,0),0)</f>
        <v/>
      </c>
    </row>
    <row r="848">
      <c r="A848">
        <f>IF(Transactions!D848="","",UPPER(TRIM(Transactions!D848)))</f>
        <v/>
      </c>
      <c r="B848">
        <f>IF(Transactions!C848="","",UPPER(TRIM(Transactions!C848)))</f>
        <v/>
      </c>
      <c r="C848">
        <f>IF(Transactions!B848="",0,YEAR(Transactions!B848)*100+MONTH(Transactions!B848))</f>
        <v/>
      </c>
      <c r="D848">
        <f>IF(Transactions!A848="",1,IF(COUNTIF(Transactions!$A$1:A847,Transactions!A848)&gt;0,1,0))</f>
        <v/>
      </c>
      <c r="E848">
        <f>IF(D848=1,0,IF(B848="RETURN",IF(COUNTIFS($A$1:A847,A848,$B$1:B847,"SALE",$E$1:E847,1)&gt;0,1,0),1))</f>
        <v/>
      </c>
      <c r="F848">
        <f>IF(E848=1,IF(B848="RECEIPT",Transactions!E848,IF(AND(B848="RETURN",LOWER(TRIM(Transactions!H848))="resellable"),Transactions!E848,0)),0)</f>
        <v/>
      </c>
      <c r="G848">
        <f>IF(F848&gt;0,IF(B848="RECEIPT",Transactions!F848,IF(_xlfn.MAXIFS($H$2:H848,$A$2:A848,A848)&gt;0,INDEX(Transactions!$F:$F,_xlfn.MAXIFS($H$2:H848,$A$2:A848,A848)),W848)),0)</f>
        <v/>
      </c>
      <c r="H848">
        <f>IF(AND(E848=1,B848="RECEIPT"),ROW(),0)</f>
        <v/>
      </c>
      <c r="I848">
        <f>IF(E848=1,IF(OR(B848="SALE",B848="WRITEOFF"),Transactions!E848,0),0)</f>
        <v/>
      </c>
      <c r="J848">
        <f>SUMIFS($F$1:F847,$A$1:A847,A848)</f>
        <v/>
      </c>
      <c r="K848">
        <f>SUMIFS($I$1:I847,$A$1:A847,A848)</f>
        <v/>
      </c>
      <c r="L848">
        <f>IFERROR(VLOOKUP(A848,Opening!$A:$C,3,0),0)</f>
        <v/>
      </c>
      <c r="M848">
        <f>IF(I848=0,0,MAX(0,MIN(INDEX(Month!H$2:H$13,MATCH($A848,Month!$A$2:$A$13,0))-K848,I848)))</f>
        <v/>
      </c>
      <c r="N848">
        <f>IF(I848=0,0,MAX(0,MIN(INDEX(Month!I$2:I$13,MATCH($A848,Month!$A$2:$A$13,0))-K848,I848)))</f>
        <v/>
      </c>
      <c r="O848">
        <f>IF(I848=0,0,MAX(0,MIN(INDEX(Month!J$2:J$13,MATCH($A848,Month!$A$2:$A$13,0))-K848,I848)))</f>
        <v/>
      </c>
      <c r="P848">
        <f>IF(I848=0,0,(MIN(MAX(K848,0),L848)*W848+SUMPRODUCT((Calc!$A$2:$A$1001=A848)*Calc!$G$2:$G$1001*(((K848-(L848+Calc!$J$2:$J$1001))&gt;0)*((K848-(L848+Calc!$J$2:$J$1001))&lt;Calc!$F$2:$F$1001)*(K848-(L848+Calc!$J$2:$J$1001))+((K848-(L848+Calc!$J$2:$J$1001))&gt;=Calc!$F$2:$F$1001)*Calc!$F$2:$F$1001))))</f>
        <v/>
      </c>
      <c r="Q848">
        <f>IF(I848=0,0,(MIN(MAX((K848+M848),0),L848)*W848+SUMPRODUCT((Calc!$A$2:$A$1001=A848)*Calc!$G$2:$G$1001*((((K848+M848)-(L848+Calc!$J$2:$J$1001))&gt;0)*(((K848+M848)-(L848+Calc!$J$2:$J$1001))&lt;Calc!$F$2:$F$1001)*((K848+M848)-(L848+Calc!$J$2:$J$1001))+(((K848+M848)-(L848+Calc!$J$2:$J$1001))&gt;=Calc!$F$2:$F$1001)*Calc!$F$2:$F$1001))))</f>
        <v/>
      </c>
      <c r="R848">
        <f>IF(I848=0,0,(MIN(MAX((K848+N848),0),L848)*W848+SUMPRODUCT((Calc!$A$2:$A$1001=A848)*Calc!$G$2:$G$1001*((((K848+N848)-(L848+Calc!$J$2:$J$1001))&gt;0)*(((K848+N848)-(L848+Calc!$J$2:$J$1001))&lt;Calc!$F$2:$F$1001)*((K848+N848)-(L848+Calc!$J$2:$J$1001))+(((K848+N848)-(L848+Calc!$J$2:$J$1001))&gt;=Calc!$F$2:$F$1001)*Calc!$F$2:$F$1001))))</f>
        <v/>
      </c>
      <c r="S848">
        <f>IF(I848=0,0,(MIN(MAX((K848+O848),0),L848)*W848+SUMPRODUCT((Calc!$A$2:$A$1001=A848)*Calc!$G$2:$G$1001*((((K848+O848)-(L848+Calc!$J$2:$J$1001))&gt;0)*(((K848+O848)-(L848+Calc!$J$2:$J$1001))&lt;Calc!$F$2:$F$1001)*((K848+O848)-(L848+Calc!$J$2:$J$1001))+(((K848+O848)-(L848+Calc!$J$2:$J$1001))&gt;=Calc!$F$2:$F$1001)*Calc!$F$2:$F$1001))))</f>
        <v/>
      </c>
      <c r="T848">
        <f>IF(AND(E848=1,B848="RETURN"),Transactions!E848*Transactions!G848,0)</f>
        <v/>
      </c>
      <c r="U848">
        <f>IF(AND(E848=1,B848="EXPENSE"),Transactions!J848,0)</f>
        <v/>
      </c>
      <c r="V848">
        <f>IF(AND(Transactions!A848&lt;&gt;"",E848=0),ROW(),"")</f>
        <v/>
      </c>
      <c r="W848">
        <f>IFERROR(VLOOKUP(A848,Opening!$A:$D,4,0),0)</f>
        <v/>
      </c>
    </row>
    <row r="849">
      <c r="A849">
        <f>IF(Transactions!D849="","",UPPER(TRIM(Transactions!D849)))</f>
        <v/>
      </c>
      <c r="B849">
        <f>IF(Transactions!C849="","",UPPER(TRIM(Transactions!C849)))</f>
        <v/>
      </c>
      <c r="C849">
        <f>IF(Transactions!B849="",0,YEAR(Transactions!B849)*100+MONTH(Transactions!B849))</f>
        <v/>
      </c>
      <c r="D849">
        <f>IF(Transactions!A849="",1,IF(COUNTIF(Transactions!$A$1:A848,Transactions!A849)&gt;0,1,0))</f>
        <v/>
      </c>
      <c r="E849">
        <f>IF(D849=1,0,IF(B849="RETURN",IF(COUNTIFS($A$1:A848,A849,$B$1:B848,"SALE",$E$1:E848,1)&gt;0,1,0),1))</f>
        <v/>
      </c>
      <c r="F849">
        <f>IF(E849=1,IF(B849="RECEIPT",Transactions!E849,IF(AND(B849="RETURN",LOWER(TRIM(Transactions!H849))="resellable"),Transactions!E849,0)),0)</f>
        <v/>
      </c>
      <c r="G849">
        <f>IF(F849&gt;0,IF(B849="RECEIPT",Transactions!F849,IF(_xlfn.MAXIFS($H$2:H849,$A$2:A849,A849)&gt;0,INDEX(Transactions!$F:$F,_xlfn.MAXIFS($H$2:H849,$A$2:A849,A849)),W849)),0)</f>
        <v/>
      </c>
      <c r="H849">
        <f>IF(AND(E849=1,B849="RECEIPT"),ROW(),0)</f>
        <v/>
      </c>
      <c r="I849">
        <f>IF(E849=1,IF(OR(B849="SALE",B849="WRITEOFF"),Transactions!E849,0),0)</f>
        <v/>
      </c>
      <c r="J849">
        <f>SUMIFS($F$1:F848,$A$1:A848,A849)</f>
        <v/>
      </c>
      <c r="K849">
        <f>SUMIFS($I$1:I848,$A$1:A848,A849)</f>
        <v/>
      </c>
      <c r="L849">
        <f>IFERROR(VLOOKUP(A849,Opening!$A:$C,3,0),0)</f>
        <v/>
      </c>
      <c r="M849">
        <f>IF(I849=0,0,MAX(0,MIN(INDEX(Month!H$2:H$13,MATCH($A849,Month!$A$2:$A$13,0))-K849,I849)))</f>
        <v/>
      </c>
      <c r="N849">
        <f>IF(I849=0,0,MAX(0,MIN(INDEX(Month!I$2:I$13,MATCH($A849,Month!$A$2:$A$13,0))-K849,I849)))</f>
        <v/>
      </c>
      <c r="O849">
        <f>IF(I849=0,0,MAX(0,MIN(INDEX(Month!J$2:J$13,MATCH($A849,Month!$A$2:$A$13,0))-K849,I849)))</f>
        <v/>
      </c>
      <c r="P849">
        <f>IF(I849=0,0,(MIN(MAX(K849,0),L849)*W849+SUMPRODUCT((Calc!$A$2:$A$1001=A849)*Calc!$G$2:$G$1001*(((K849-(L849+Calc!$J$2:$J$1001))&gt;0)*((K849-(L849+Calc!$J$2:$J$1001))&lt;Calc!$F$2:$F$1001)*(K849-(L849+Calc!$J$2:$J$1001))+((K849-(L849+Calc!$J$2:$J$1001))&gt;=Calc!$F$2:$F$1001)*Calc!$F$2:$F$1001))))</f>
        <v/>
      </c>
      <c r="Q849">
        <f>IF(I849=0,0,(MIN(MAX((K849+M849),0),L849)*W849+SUMPRODUCT((Calc!$A$2:$A$1001=A849)*Calc!$G$2:$G$1001*((((K849+M849)-(L849+Calc!$J$2:$J$1001))&gt;0)*(((K849+M849)-(L849+Calc!$J$2:$J$1001))&lt;Calc!$F$2:$F$1001)*((K849+M849)-(L849+Calc!$J$2:$J$1001))+(((K849+M849)-(L849+Calc!$J$2:$J$1001))&gt;=Calc!$F$2:$F$1001)*Calc!$F$2:$F$1001))))</f>
        <v/>
      </c>
      <c r="R849">
        <f>IF(I849=0,0,(MIN(MAX((K849+N849),0),L849)*W849+SUMPRODUCT((Calc!$A$2:$A$1001=A849)*Calc!$G$2:$G$1001*((((K849+N849)-(L849+Calc!$J$2:$J$1001))&gt;0)*(((K849+N849)-(L849+Calc!$J$2:$J$1001))&lt;Calc!$F$2:$F$1001)*((K849+N849)-(L849+Calc!$J$2:$J$1001))+(((K849+N849)-(L849+Calc!$J$2:$J$1001))&gt;=Calc!$F$2:$F$1001)*Calc!$F$2:$F$1001))))</f>
        <v/>
      </c>
      <c r="S849">
        <f>IF(I849=0,0,(MIN(MAX((K849+O849),0),L849)*W849+SUMPRODUCT((Calc!$A$2:$A$1001=A849)*Calc!$G$2:$G$1001*((((K849+O849)-(L849+Calc!$J$2:$J$1001))&gt;0)*(((K849+O849)-(L849+Calc!$J$2:$J$1001))&lt;Calc!$F$2:$F$1001)*((K849+O849)-(L849+Calc!$J$2:$J$1001))+(((K849+O849)-(L849+Calc!$J$2:$J$1001))&gt;=Calc!$F$2:$F$1001)*Calc!$F$2:$F$1001))))</f>
        <v/>
      </c>
      <c r="T849">
        <f>IF(AND(E849=1,B849="RETURN"),Transactions!E849*Transactions!G849,0)</f>
        <v/>
      </c>
      <c r="U849">
        <f>IF(AND(E849=1,B849="EXPENSE"),Transactions!J849,0)</f>
        <v/>
      </c>
      <c r="V849">
        <f>IF(AND(Transactions!A849&lt;&gt;"",E849=0),ROW(),"")</f>
        <v/>
      </c>
      <c r="W849">
        <f>IFERROR(VLOOKUP(A849,Opening!$A:$D,4,0),0)</f>
        <v/>
      </c>
    </row>
    <row r="850">
      <c r="A850">
        <f>IF(Transactions!D850="","",UPPER(TRIM(Transactions!D850)))</f>
        <v/>
      </c>
      <c r="B850">
        <f>IF(Transactions!C850="","",UPPER(TRIM(Transactions!C850)))</f>
        <v/>
      </c>
      <c r="C850">
        <f>IF(Transactions!B850="",0,YEAR(Transactions!B850)*100+MONTH(Transactions!B850))</f>
        <v/>
      </c>
      <c r="D850">
        <f>IF(Transactions!A850="",1,IF(COUNTIF(Transactions!$A$1:A849,Transactions!A850)&gt;0,1,0))</f>
        <v/>
      </c>
      <c r="E850">
        <f>IF(D850=1,0,IF(B850="RETURN",IF(COUNTIFS($A$1:A849,A850,$B$1:B849,"SALE",$E$1:E849,1)&gt;0,1,0),1))</f>
        <v/>
      </c>
      <c r="F850">
        <f>IF(E850=1,IF(B850="RECEIPT",Transactions!E850,IF(AND(B850="RETURN",LOWER(TRIM(Transactions!H850))="resellable"),Transactions!E850,0)),0)</f>
        <v/>
      </c>
      <c r="G850">
        <f>IF(F850&gt;0,IF(B850="RECEIPT",Transactions!F850,IF(_xlfn.MAXIFS($H$2:H850,$A$2:A850,A850)&gt;0,INDEX(Transactions!$F:$F,_xlfn.MAXIFS($H$2:H850,$A$2:A850,A850)),W850)),0)</f>
        <v/>
      </c>
      <c r="H850">
        <f>IF(AND(E850=1,B850="RECEIPT"),ROW(),0)</f>
        <v/>
      </c>
      <c r="I850">
        <f>IF(E850=1,IF(OR(B850="SALE",B850="WRITEOFF"),Transactions!E850,0),0)</f>
        <v/>
      </c>
      <c r="J850">
        <f>SUMIFS($F$1:F849,$A$1:A849,A850)</f>
        <v/>
      </c>
      <c r="K850">
        <f>SUMIFS($I$1:I849,$A$1:A849,A850)</f>
        <v/>
      </c>
      <c r="L850">
        <f>IFERROR(VLOOKUP(A850,Opening!$A:$C,3,0),0)</f>
        <v/>
      </c>
      <c r="M850">
        <f>IF(I850=0,0,MAX(0,MIN(INDEX(Month!H$2:H$13,MATCH($A850,Month!$A$2:$A$13,0))-K850,I850)))</f>
        <v/>
      </c>
      <c r="N850">
        <f>IF(I850=0,0,MAX(0,MIN(INDEX(Month!I$2:I$13,MATCH($A850,Month!$A$2:$A$13,0))-K850,I850)))</f>
        <v/>
      </c>
      <c r="O850">
        <f>IF(I850=0,0,MAX(0,MIN(INDEX(Month!J$2:J$13,MATCH($A850,Month!$A$2:$A$13,0))-K850,I850)))</f>
        <v/>
      </c>
      <c r="P850">
        <f>IF(I850=0,0,(MIN(MAX(K850,0),L850)*W850+SUMPRODUCT((Calc!$A$2:$A$1001=A850)*Calc!$G$2:$G$1001*(((K850-(L850+Calc!$J$2:$J$1001))&gt;0)*((K850-(L850+Calc!$J$2:$J$1001))&lt;Calc!$F$2:$F$1001)*(K850-(L850+Calc!$J$2:$J$1001))+((K850-(L850+Calc!$J$2:$J$1001))&gt;=Calc!$F$2:$F$1001)*Calc!$F$2:$F$1001))))</f>
        <v/>
      </c>
      <c r="Q850">
        <f>IF(I850=0,0,(MIN(MAX((K850+M850),0),L850)*W850+SUMPRODUCT((Calc!$A$2:$A$1001=A850)*Calc!$G$2:$G$1001*((((K850+M850)-(L850+Calc!$J$2:$J$1001))&gt;0)*(((K850+M850)-(L850+Calc!$J$2:$J$1001))&lt;Calc!$F$2:$F$1001)*((K850+M850)-(L850+Calc!$J$2:$J$1001))+(((K850+M850)-(L850+Calc!$J$2:$J$1001))&gt;=Calc!$F$2:$F$1001)*Calc!$F$2:$F$1001))))</f>
        <v/>
      </c>
      <c r="R850">
        <f>IF(I850=0,0,(MIN(MAX((K850+N850),0),L850)*W850+SUMPRODUCT((Calc!$A$2:$A$1001=A850)*Calc!$G$2:$G$1001*((((K850+N850)-(L850+Calc!$J$2:$J$1001))&gt;0)*(((K850+N850)-(L850+Calc!$J$2:$J$1001))&lt;Calc!$F$2:$F$1001)*((K850+N850)-(L850+Calc!$J$2:$J$1001))+(((K850+N850)-(L850+Calc!$J$2:$J$1001))&gt;=Calc!$F$2:$F$1001)*Calc!$F$2:$F$1001))))</f>
        <v/>
      </c>
      <c r="S850">
        <f>IF(I850=0,0,(MIN(MAX((K850+O850),0),L850)*W850+SUMPRODUCT((Calc!$A$2:$A$1001=A850)*Calc!$G$2:$G$1001*((((K850+O850)-(L850+Calc!$J$2:$J$1001))&gt;0)*(((K850+O850)-(L850+Calc!$J$2:$J$1001))&lt;Calc!$F$2:$F$1001)*((K850+O850)-(L850+Calc!$J$2:$J$1001))+(((K850+O850)-(L850+Calc!$J$2:$J$1001))&gt;=Calc!$F$2:$F$1001)*Calc!$F$2:$F$1001))))</f>
        <v/>
      </c>
      <c r="T850">
        <f>IF(AND(E850=1,B850="RETURN"),Transactions!E850*Transactions!G850,0)</f>
        <v/>
      </c>
      <c r="U850">
        <f>IF(AND(E850=1,B850="EXPENSE"),Transactions!J850,0)</f>
        <v/>
      </c>
      <c r="V850">
        <f>IF(AND(Transactions!A850&lt;&gt;"",E850=0),ROW(),"")</f>
        <v/>
      </c>
      <c r="W850">
        <f>IFERROR(VLOOKUP(A850,Opening!$A:$D,4,0),0)</f>
        <v/>
      </c>
    </row>
    <row r="851">
      <c r="A851">
        <f>IF(Transactions!D851="","",UPPER(TRIM(Transactions!D851)))</f>
        <v/>
      </c>
      <c r="B851">
        <f>IF(Transactions!C851="","",UPPER(TRIM(Transactions!C851)))</f>
        <v/>
      </c>
      <c r="C851">
        <f>IF(Transactions!B851="",0,YEAR(Transactions!B851)*100+MONTH(Transactions!B851))</f>
        <v/>
      </c>
      <c r="D851">
        <f>IF(Transactions!A851="",1,IF(COUNTIF(Transactions!$A$1:A850,Transactions!A851)&gt;0,1,0))</f>
        <v/>
      </c>
      <c r="E851">
        <f>IF(D851=1,0,IF(B851="RETURN",IF(COUNTIFS($A$1:A850,A851,$B$1:B850,"SALE",$E$1:E850,1)&gt;0,1,0),1))</f>
        <v/>
      </c>
      <c r="F851">
        <f>IF(E851=1,IF(B851="RECEIPT",Transactions!E851,IF(AND(B851="RETURN",LOWER(TRIM(Transactions!H851))="resellable"),Transactions!E851,0)),0)</f>
        <v/>
      </c>
      <c r="G851">
        <f>IF(F851&gt;0,IF(B851="RECEIPT",Transactions!F851,IF(_xlfn.MAXIFS($H$2:H851,$A$2:A851,A851)&gt;0,INDEX(Transactions!$F:$F,_xlfn.MAXIFS($H$2:H851,$A$2:A851,A851)),W851)),0)</f>
        <v/>
      </c>
      <c r="H851">
        <f>IF(AND(E851=1,B851="RECEIPT"),ROW(),0)</f>
        <v/>
      </c>
      <c r="I851">
        <f>IF(E851=1,IF(OR(B851="SALE",B851="WRITEOFF"),Transactions!E851,0),0)</f>
        <v/>
      </c>
      <c r="J851">
        <f>SUMIFS($F$1:F850,$A$1:A850,A851)</f>
        <v/>
      </c>
      <c r="K851">
        <f>SUMIFS($I$1:I850,$A$1:A850,A851)</f>
        <v/>
      </c>
      <c r="L851">
        <f>IFERROR(VLOOKUP(A851,Opening!$A:$C,3,0),0)</f>
        <v/>
      </c>
      <c r="M851">
        <f>IF(I851=0,0,MAX(0,MIN(INDEX(Month!H$2:H$13,MATCH($A851,Month!$A$2:$A$13,0))-K851,I851)))</f>
        <v/>
      </c>
      <c r="N851">
        <f>IF(I851=0,0,MAX(0,MIN(INDEX(Month!I$2:I$13,MATCH($A851,Month!$A$2:$A$13,0))-K851,I851)))</f>
        <v/>
      </c>
      <c r="O851">
        <f>IF(I851=0,0,MAX(0,MIN(INDEX(Month!J$2:J$13,MATCH($A851,Month!$A$2:$A$13,0))-K851,I851)))</f>
        <v/>
      </c>
      <c r="P851">
        <f>IF(I851=0,0,(MIN(MAX(K851,0),L851)*W851+SUMPRODUCT((Calc!$A$2:$A$1001=A851)*Calc!$G$2:$G$1001*(((K851-(L851+Calc!$J$2:$J$1001))&gt;0)*((K851-(L851+Calc!$J$2:$J$1001))&lt;Calc!$F$2:$F$1001)*(K851-(L851+Calc!$J$2:$J$1001))+((K851-(L851+Calc!$J$2:$J$1001))&gt;=Calc!$F$2:$F$1001)*Calc!$F$2:$F$1001))))</f>
        <v/>
      </c>
      <c r="Q851">
        <f>IF(I851=0,0,(MIN(MAX((K851+M851),0),L851)*W851+SUMPRODUCT((Calc!$A$2:$A$1001=A851)*Calc!$G$2:$G$1001*((((K851+M851)-(L851+Calc!$J$2:$J$1001))&gt;0)*(((K851+M851)-(L851+Calc!$J$2:$J$1001))&lt;Calc!$F$2:$F$1001)*((K851+M851)-(L851+Calc!$J$2:$J$1001))+(((K851+M851)-(L851+Calc!$J$2:$J$1001))&gt;=Calc!$F$2:$F$1001)*Calc!$F$2:$F$1001))))</f>
        <v/>
      </c>
      <c r="R851">
        <f>IF(I851=0,0,(MIN(MAX((K851+N851),0),L851)*W851+SUMPRODUCT((Calc!$A$2:$A$1001=A851)*Calc!$G$2:$G$1001*((((K851+N851)-(L851+Calc!$J$2:$J$1001))&gt;0)*(((K851+N851)-(L851+Calc!$J$2:$J$1001))&lt;Calc!$F$2:$F$1001)*((K851+N851)-(L851+Calc!$J$2:$J$1001))+(((K851+N851)-(L851+Calc!$J$2:$J$1001))&gt;=Calc!$F$2:$F$1001)*Calc!$F$2:$F$1001))))</f>
        <v/>
      </c>
      <c r="S851">
        <f>IF(I851=0,0,(MIN(MAX((K851+O851),0),L851)*W851+SUMPRODUCT((Calc!$A$2:$A$1001=A851)*Calc!$G$2:$G$1001*((((K851+O851)-(L851+Calc!$J$2:$J$1001))&gt;0)*(((K851+O851)-(L851+Calc!$J$2:$J$1001))&lt;Calc!$F$2:$F$1001)*((K851+O851)-(L851+Calc!$J$2:$J$1001))+(((K851+O851)-(L851+Calc!$J$2:$J$1001))&gt;=Calc!$F$2:$F$1001)*Calc!$F$2:$F$1001))))</f>
        <v/>
      </c>
      <c r="T851">
        <f>IF(AND(E851=1,B851="RETURN"),Transactions!E851*Transactions!G851,0)</f>
        <v/>
      </c>
      <c r="U851">
        <f>IF(AND(E851=1,B851="EXPENSE"),Transactions!J851,0)</f>
        <v/>
      </c>
      <c r="V851">
        <f>IF(AND(Transactions!A851&lt;&gt;"",E851=0),ROW(),"")</f>
        <v/>
      </c>
      <c r="W851">
        <f>IFERROR(VLOOKUP(A851,Opening!$A:$D,4,0),0)</f>
        <v/>
      </c>
    </row>
    <row r="852">
      <c r="A852">
        <f>IF(Transactions!D852="","",UPPER(TRIM(Transactions!D852)))</f>
        <v/>
      </c>
      <c r="B852">
        <f>IF(Transactions!C852="","",UPPER(TRIM(Transactions!C852)))</f>
        <v/>
      </c>
      <c r="C852">
        <f>IF(Transactions!B852="",0,YEAR(Transactions!B852)*100+MONTH(Transactions!B852))</f>
        <v/>
      </c>
      <c r="D852">
        <f>IF(Transactions!A852="",1,IF(COUNTIF(Transactions!$A$1:A851,Transactions!A852)&gt;0,1,0))</f>
        <v/>
      </c>
      <c r="E852">
        <f>IF(D852=1,0,IF(B852="RETURN",IF(COUNTIFS($A$1:A851,A852,$B$1:B851,"SALE",$E$1:E851,1)&gt;0,1,0),1))</f>
        <v/>
      </c>
      <c r="F852">
        <f>IF(E852=1,IF(B852="RECEIPT",Transactions!E852,IF(AND(B852="RETURN",LOWER(TRIM(Transactions!H852))="resellable"),Transactions!E852,0)),0)</f>
        <v/>
      </c>
      <c r="G852">
        <f>IF(F852&gt;0,IF(B852="RECEIPT",Transactions!F852,IF(_xlfn.MAXIFS($H$2:H852,$A$2:A852,A852)&gt;0,INDEX(Transactions!$F:$F,_xlfn.MAXIFS($H$2:H852,$A$2:A852,A852)),W852)),0)</f>
        <v/>
      </c>
      <c r="H852">
        <f>IF(AND(E852=1,B852="RECEIPT"),ROW(),0)</f>
        <v/>
      </c>
      <c r="I852">
        <f>IF(E852=1,IF(OR(B852="SALE",B852="WRITEOFF"),Transactions!E852,0),0)</f>
        <v/>
      </c>
      <c r="J852">
        <f>SUMIFS($F$1:F851,$A$1:A851,A852)</f>
        <v/>
      </c>
      <c r="K852">
        <f>SUMIFS($I$1:I851,$A$1:A851,A852)</f>
        <v/>
      </c>
      <c r="L852">
        <f>IFERROR(VLOOKUP(A852,Opening!$A:$C,3,0),0)</f>
        <v/>
      </c>
      <c r="M852">
        <f>IF(I852=0,0,MAX(0,MIN(INDEX(Month!H$2:H$13,MATCH($A852,Month!$A$2:$A$13,0))-K852,I852)))</f>
        <v/>
      </c>
      <c r="N852">
        <f>IF(I852=0,0,MAX(0,MIN(INDEX(Month!I$2:I$13,MATCH($A852,Month!$A$2:$A$13,0))-K852,I852)))</f>
        <v/>
      </c>
      <c r="O852">
        <f>IF(I852=0,0,MAX(0,MIN(INDEX(Month!J$2:J$13,MATCH($A852,Month!$A$2:$A$13,0))-K852,I852)))</f>
        <v/>
      </c>
      <c r="P852">
        <f>IF(I852=0,0,(MIN(MAX(K852,0),L852)*W852+SUMPRODUCT((Calc!$A$2:$A$1001=A852)*Calc!$G$2:$G$1001*(((K852-(L852+Calc!$J$2:$J$1001))&gt;0)*((K852-(L852+Calc!$J$2:$J$1001))&lt;Calc!$F$2:$F$1001)*(K852-(L852+Calc!$J$2:$J$1001))+((K852-(L852+Calc!$J$2:$J$1001))&gt;=Calc!$F$2:$F$1001)*Calc!$F$2:$F$1001))))</f>
        <v/>
      </c>
      <c r="Q852">
        <f>IF(I852=0,0,(MIN(MAX((K852+M852),0),L852)*W852+SUMPRODUCT((Calc!$A$2:$A$1001=A852)*Calc!$G$2:$G$1001*((((K852+M852)-(L852+Calc!$J$2:$J$1001))&gt;0)*(((K852+M852)-(L852+Calc!$J$2:$J$1001))&lt;Calc!$F$2:$F$1001)*((K852+M852)-(L852+Calc!$J$2:$J$1001))+(((K852+M852)-(L852+Calc!$J$2:$J$1001))&gt;=Calc!$F$2:$F$1001)*Calc!$F$2:$F$1001))))</f>
        <v/>
      </c>
      <c r="R852">
        <f>IF(I852=0,0,(MIN(MAX((K852+N852),0),L852)*W852+SUMPRODUCT((Calc!$A$2:$A$1001=A852)*Calc!$G$2:$G$1001*((((K852+N852)-(L852+Calc!$J$2:$J$1001))&gt;0)*(((K852+N852)-(L852+Calc!$J$2:$J$1001))&lt;Calc!$F$2:$F$1001)*((K852+N852)-(L852+Calc!$J$2:$J$1001))+(((K852+N852)-(L852+Calc!$J$2:$J$1001))&gt;=Calc!$F$2:$F$1001)*Calc!$F$2:$F$1001))))</f>
        <v/>
      </c>
      <c r="S852">
        <f>IF(I852=0,0,(MIN(MAX((K852+O852),0),L852)*W852+SUMPRODUCT((Calc!$A$2:$A$1001=A852)*Calc!$G$2:$G$1001*((((K852+O852)-(L852+Calc!$J$2:$J$1001))&gt;0)*(((K852+O852)-(L852+Calc!$J$2:$J$1001))&lt;Calc!$F$2:$F$1001)*((K852+O852)-(L852+Calc!$J$2:$J$1001))+(((K852+O852)-(L852+Calc!$J$2:$J$1001))&gt;=Calc!$F$2:$F$1001)*Calc!$F$2:$F$1001))))</f>
        <v/>
      </c>
      <c r="T852">
        <f>IF(AND(E852=1,B852="RETURN"),Transactions!E852*Transactions!G852,0)</f>
        <v/>
      </c>
      <c r="U852">
        <f>IF(AND(E852=1,B852="EXPENSE"),Transactions!J852,0)</f>
        <v/>
      </c>
      <c r="V852">
        <f>IF(AND(Transactions!A852&lt;&gt;"",E852=0),ROW(),"")</f>
        <v/>
      </c>
      <c r="W852">
        <f>IFERROR(VLOOKUP(A852,Opening!$A:$D,4,0),0)</f>
        <v/>
      </c>
    </row>
    <row r="853">
      <c r="A853">
        <f>IF(Transactions!D853="","",UPPER(TRIM(Transactions!D853)))</f>
        <v/>
      </c>
      <c r="B853">
        <f>IF(Transactions!C853="","",UPPER(TRIM(Transactions!C853)))</f>
        <v/>
      </c>
      <c r="C853">
        <f>IF(Transactions!B853="",0,YEAR(Transactions!B853)*100+MONTH(Transactions!B853))</f>
        <v/>
      </c>
      <c r="D853">
        <f>IF(Transactions!A853="",1,IF(COUNTIF(Transactions!$A$1:A852,Transactions!A853)&gt;0,1,0))</f>
        <v/>
      </c>
      <c r="E853">
        <f>IF(D853=1,0,IF(B853="RETURN",IF(COUNTIFS($A$1:A852,A853,$B$1:B852,"SALE",$E$1:E852,1)&gt;0,1,0),1))</f>
        <v/>
      </c>
      <c r="F853">
        <f>IF(E853=1,IF(B853="RECEIPT",Transactions!E853,IF(AND(B853="RETURN",LOWER(TRIM(Transactions!H853))="resellable"),Transactions!E853,0)),0)</f>
        <v/>
      </c>
      <c r="G853">
        <f>IF(F853&gt;0,IF(B853="RECEIPT",Transactions!F853,IF(_xlfn.MAXIFS($H$2:H853,$A$2:A853,A853)&gt;0,INDEX(Transactions!$F:$F,_xlfn.MAXIFS($H$2:H853,$A$2:A853,A853)),W853)),0)</f>
        <v/>
      </c>
      <c r="H853">
        <f>IF(AND(E853=1,B853="RECEIPT"),ROW(),0)</f>
        <v/>
      </c>
      <c r="I853">
        <f>IF(E853=1,IF(OR(B853="SALE",B853="WRITEOFF"),Transactions!E853,0),0)</f>
        <v/>
      </c>
      <c r="J853">
        <f>SUMIFS($F$1:F852,$A$1:A852,A853)</f>
        <v/>
      </c>
      <c r="K853">
        <f>SUMIFS($I$1:I852,$A$1:A852,A853)</f>
        <v/>
      </c>
      <c r="L853">
        <f>IFERROR(VLOOKUP(A853,Opening!$A:$C,3,0),0)</f>
        <v/>
      </c>
      <c r="M853">
        <f>IF(I853=0,0,MAX(0,MIN(INDEX(Month!H$2:H$13,MATCH($A853,Month!$A$2:$A$13,0))-K853,I853)))</f>
        <v/>
      </c>
      <c r="N853">
        <f>IF(I853=0,0,MAX(0,MIN(INDEX(Month!I$2:I$13,MATCH($A853,Month!$A$2:$A$13,0))-K853,I853)))</f>
        <v/>
      </c>
      <c r="O853">
        <f>IF(I853=0,0,MAX(0,MIN(INDEX(Month!J$2:J$13,MATCH($A853,Month!$A$2:$A$13,0))-K853,I853)))</f>
        <v/>
      </c>
      <c r="P853">
        <f>IF(I853=0,0,(MIN(MAX(K853,0),L853)*W853+SUMPRODUCT((Calc!$A$2:$A$1001=A853)*Calc!$G$2:$G$1001*(((K853-(L853+Calc!$J$2:$J$1001))&gt;0)*((K853-(L853+Calc!$J$2:$J$1001))&lt;Calc!$F$2:$F$1001)*(K853-(L853+Calc!$J$2:$J$1001))+((K853-(L853+Calc!$J$2:$J$1001))&gt;=Calc!$F$2:$F$1001)*Calc!$F$2:$F$1001))))</f>
        <v/>
      </c>
      <c r="Q853">
        <f>IF(I853=0,0,(MIN(MAX((K853+M853),0),L853)*W853+SUMPRODUCT((Calc!$A$2:$A$1001=A853)*Calc!$G$2:$G$1001*((((K853+M853)-(L853+Calc!$J$2:$J$1001))&gt;0)*(((K853+M853)-(L853+Calc!$J$2:$J$1001))&lt;Calc!$F$2:$F$1001)*((K853+M853)-(L853+Calc!$J$2:$J$1001))+(((K853+M853)-(L853+Calc!$J$2:$J$1001))&gt;=Calc!$F$2:$F$1001)*Calc!$F$2:$F$1001))))</f>
        <v/>
      </c>
      <c r="R853">
        <f>IF(I853=0,0,(MIN(MAX((K853+N853),0),L853)*W853+SUMPRODUCT((Calc!$A$2:$A$1001=A853)*Calc!$G$2:$G$1001*((((K853+N853)-(L853+Calc!$J$2:$J$1001))&gt;0)*(((K853+N853)-(L853+Calc!$J$2:$J$1001))&lt;Calc!$F$2:$F$1001)*((K853+N853)-(L853+Calc!$J$2:$J$1001))+(((K853+N853)-(L853+Calc!$J$2:$J$1001))&gt;=Calc!$F$2:$F$1001)*Calc!$F$2:$F$1001))))</f>
        <v/>
      </c>
      <c r="S853">
        <f>IF(I853=0,0,(MIN(MAX((K853+O853),0),L853)*W853+SUMPRODUCT((Calc!$A$2:$A$1001=A853)*Calc!$G$2:$G$1001*((((K853+O853)-(L853+Calc!$J$2:$J$1001))&gt;0)*(((K853+O853)-(L853+Calc!$J$2:$J$1001))&lt;Calc!$F$2:$F$1001)*((K853+O853)-(L853+Calc!$J$2:$J$1001))+(((K853+O853)-(L853+Calc!$J$2:$J$1001))&gt;=Calc!$F$2:$F$1001)*Calc!$F$2:$F$1001))))</f>
        <v/>
      </c>
      <c r="T853">
        <f>IF(AND(E853=1,B853="RETURN"),Transactions!E853*Transactions!G853,0)</f>
        <v/>
      </c>
      <c r="U853">
        <f>IF(AND(E853=1,B853="EXPENSE"),Transactions!J853,0)</f>
        <v/>
      </c>
      <c r="V853">
        <f>IF(AND(Transactions!A853&lt;&gt;"",E853=0),ROW(),"")</f>
        <v/>
      </c>
      <c r="W853">
        <f>IFERROR(VLOOKUP(A853,Opening!$A:$D,4,0),0)</f>
        <v/>
      </c>
    </row>
    <row r="854">
      <c r="A854">
        <f>IF(Transactions!D854="","",UPPER(TRIM(Transactions!D854)))</f>
        <v/>
      </c>
      <c r="B854">
        <f>IF(Transactions!C854="","",UPPER(TRIM(Transactions!C854)))</f>
        <v/>
      </c>
      <c r="C854">
        <f>IF(Transactions!B854="",0,YEAR(Transactions!B854)*100+MONTH(Transactions!B854))</f>
        <v/>
      </c>
      <c r="D854">
        <f>IF(Transactions!A854="",1,IF(COUNTIF(Transactions!$A$1:A853,Transactions!A854)&gt;0,1,0))</f>
        <v/>
      </c>
      <c r="E854">
        <f>IF(D854=1,0,IF(B854="RETURN",IF(COUNTIFS($A$1:A853,A854,$B$1:B853,"SALE",$E$1:E853,1)&gt;0,1,0),1))</f>
        <v/>
      </c>
      <c r="F854">
        <f>IF(E854=1,IF(B854="RECEIPT",Transactions!E854,IF(AND(B854="RETURN",LOWER(TRIM(Transactions!H854))="resellable"),Transactions!E854,0)),0)</f>
        <v/>
      </c>
      <c r="G854">
        <f>IF(F854&gt;0,IF(B854="RECEIPT",Transactions!F854,IF(_xlfn.MAXIFS($H$2:H854,$A$2:A854,A854)&gt;0,INDEX(Transactions!$F:$F,_xlfn.MAXIFS($H$2:H854,$A$2:A854,A854)),W854)),0)</f>
        <v/>
      </c>
      <c r="H854">
        <f>IF(AND(E854=1,B854="RECEIPT"),ROW(),0)</f>
        <v/>
      </c>
      <c r="I854">
        <f>IF(E854=1,IF(OR(B854="SALE",B854="WRITEOFF"),Transactions!E854,0),0)</f>
        <v/>
      </c>
      <c r="J854">
        <f>SUMIFS($F$1:F853,$A$1:A853,A854)</f>
        <v/>
      </c>
      <c r="K854">
        <f>SUMIFS($I$1:I853,$A$1:A853,A854)</f>
        <v/>
      </c>
      <c r="L854">
        <f>IFERROR(VLOOKUP(A854,Opening!$A:$C,3,0),0)</f>
        <v/>
      </c>
      <c r="M854">
        <f>IF(I854=0,0,MAX(0,MIN(INDEX(Month!H$2:H$13,MATCH($A854,Month!$A$2:$A$13,0))-K854,I854)))</f>
        <v/>
      </c>
      <c r="N854">
        <f>IF(I854=0,0,MAX(0,MIN(INDEX(Month!I$2:I$13,MATCH($A854,Month!$A$2:$A$13,0))-K854,I854)))</f>
        <v/>
      </c>
      <c r="O854">
        <f>IF(I854=0,0,MAX(0,MIN(INDEX(Month!J$2:J$13,MATCH($A854,Month!$A$2:$A$13,0))-K854,I854)))</f>
        <v/>
      </c>
      <c r="P854">
        <f>IF(I854=0,0,(MIN(MAX(K854,0),L854)*W854+SUMPRODUCT((Calc!$A$2:$A$1001=A854)*Calc!$G$2:$G$1001*(((K854-(L854+Calc!$J$2:$J$1001))&gt;0)*((K854-(L854+Calc!$J$2:$J$1001))&lt;Calc!$F$2:$F$1001)*(K854-(L854+Calc!$J$2:$J$1001))+((K854-(L854+Calc!$J$2:$J$1001))&gt;=Calc!$F$2:$F$1001)*Calc!$F$2:$F$1001))))</f>
        <v/>
      </c>
      <c r="Q854">
        <f>IF(I854=0,0,(MIN(MAX((K854+M854),0),L854)*W854+SUMPRODUCT((Calc!$A$2:$A$1001=A854)*Calc!$G$2:$G$1001*((((K854+M854)-(L854+Calc!$J$2:$J$1001))&gt;0)*(((K854+M854)-(L854+Calc!$J$2:$J$1001))&lt;Calc!$F$2:$F$1001)*((K854+M854)-(L854+Calc!$J$2:$J$1001))+(((K854+M854)-(L854+Calc!$J$2:$J$1001))&gt;=Calc!$F$2:$F$1001)*Calc!$F$2:$F$1001))))</f>
        <v/>
      </c>
      <c r="R854">
        <f>IF(I854=0,0,(MIN(MAX((K854+N854),0),L854)*W854+SUMPRODUCT((Calc!$A$2:$A$1001=A854)*Calc!$G$2:$G$1001*((((K854+N854)-(L854+Calc!$J$2:$J$1001))&gt;0)*(((K854+N854)-(L854+Calc!$J$2:$J$1001))&lt;Calc!$F$2:$F$1001)*((K854+N854)-(L854+Calc!$J$2:$J$1001))+(((K854+N854)-(L854+Calc!$J$2:$J$1001))&gt;=Calc!$F$2:$F$1001)*Calc!$F$2:$F$1001))))</f>
        <v/>
      </c>
      <c r="S854">
        <f>IF(I854=0,0,(MIN(MAX((K854+O854),0),L854)*W854+SUMPRODUCT((Calc!$A$2:$A$1001=A854)*Calc!$G$2:$G$1001*((((K854+O854)-(L854+Calc!$J$2:$J$1001))&gt;0)*(((K854+O854)-(L854+Calc!$J$2:$J$1001))&lt;Calc!$F$2:$F$1001)*((K854+O854)-(L854+Calc!$J$2:$J$1001))+(((K854+O854)-(L854+Calc!$J$2:$J$1001))&gt;=Calc!$F$2:$F$1001)*Calc!$F$2:$F$1001))))</f>
        <v/>
      </c>
      <c r="T854">
        <f>IF(AND(E854=1,B854="RETURN"),Transactions!E854*Transactions!G854,0)</f>
        <v/>
      </c>
      <c r="U854">
        <f>IF(AND(E854=1,B854="EXPENSE"),Transactions!J854,0)</f>
        <v/>
      </c>
      <c r="V854">
        <f>IF(AND(Transactions!A854&lt;&gt;"",E854=0),ROW(),"")</f>
        <v/>
      </c>
      <c r="W854">
        <f>IFERROR(VLOOKUP(A854,Opening!$A:$D,4,0),0)</f>
        <v/>
      </c>
    </row>
    <row r="855">
      <c r="A855">
        <f>IF(Transactions!D855="","",UPPER(TRIM(Transactions!D855)))</f>
        <v/>
      </c>
      <c r="B855">
        <f>IF(Transactions!C855="","",UPPER(TRIM(Transactions!C855)))</f>
        <v/>
      </c>
      <c r="C855">
        <f>IF(Transactions!B855="",0,YEAR(Transactions!B855)*100+MONTH(Transactions!B855))</f>
        <v/>
      </c>
      <c r="D855">
        <f>IF(Transactions!A855="",1,IF(COUNTIF(Transactions!$A$1:A854,Transactions!A855)&gt;0,1,0))</f>
        <v/>
      </c>
      <c r="E855">
        <f>IF(D855=1,0,IF(B855="RETURN",IF(COUNTIFS($A$1:A854,A855,$B$1:B854,"SALE",$E$1:E854,1)&gt;0,1,0),1))</f>
        <v/>
      </c>
      <c r="F855">
        <f>IF(E855=1,IF(B855="RECEIPT",Transactions!E855,IF(AND(B855="RETURN",LOWER(TRIM(Transactions!H855))="resellable"),Transactions!E855,0)),0)</f>
        <v/>
      </c>
      <c r="G855">
        <f>IF(F855&gt;0,IF(B855="RECEIPT",Transactions!F855,IF(_xlfn.MAXIFS($H$2:H855,$A$2:A855,A855)&gt;0,INDEX(Transactions!$F:$F,_xlfn.MAXIFS($H$2:H855,$A$2:A855,A855)),W855)),0)</f>
        <v/>
      </c>
      <c r="H855">
        <f>IF(AND(E855=1,B855="RECEIPT"),ROW(),0)</f>
        <v/>
      </c>
      <c r="I855">
        <f>IF(E855=1,IF(OR(B855="SALE",B855="WRITEOFF"),Transactions!E855,0),0)</f>
        <v/>
      </c>
      <c r="J855">
        <f>SUMIFS($F$1:F854,$A$1:A854,A855)</f>
        <v/>
      </c>
      <c r="K855">
        <f>SUMIFS($I$1:I854,$A$1:A854,A855)</f>
        <v/>
      </c>
      <c r="L855">
        <f>IFERROR(VLOOKUP(A855,Opening!$A:$C,3,0),0)</f>
        <v/>
      </c>
      <c r="M855">
        <f>IF(I855=0,0,MAX(0,MIN(INDEX(Month!H$2:H$13,MATCH($A855,Month!$A$2:$A$13,0))-K855,I855)))</f>
        <v/>
      </c>
      <c r="N855">
        <f>IF(I855=0,0,MAX(0,MIN(INDEX(Month!I$2:I$13,MATCH($A855,Month!$A$2:$A$13,0))-K855,I855)))</f>
        <v/>
      </c>
      <c r="O855">
        <f>IF(I855=0,0,MAX(0,MIN(INDEX(Month!J$2:J$13,MATCH($A855,Month!$A$2:$A$13,0))-K855,I855)))</f>
        <v/>
      </c>
      <c r="P855">
        <f>IF(I855=0,0,(MIN(MAX(K855,0),L855)*W855+SUMPRODUCT((Calc!$A$2:$A$1001=A855)*Calc!$G$2:$G$1001*(((K855-(L855+Calc!$J$2:$J$1001))&gt;0)*((K855-(L855+Calc!$J$2:$J$1001))&lt;Calc!$F$2:$F$1001)*(K855-(L855+Calc!$J$2:$J$1001))+((K855-(L855+Calc!$J$2:$J$1001))&gt;=Calc!$F$2:$F$1001)*Calc!$F$2:$F$1001))))</f>
        <v/>
      </c>
      <c r="Q855">
        <f>IF(I855=0,0,(MIN(MAX((K855+M855),0),L855)*W855+SUMPRODUCT((Calc!$A$2:$A$1001=A855)*Calc!$G$2:$G$1001*((((K855+M855)-(L855+Calc!$J$2:$J$1001))&gt;0)*(((K855+M855)-(L855+Calc!$J$2:$J$1001))&lt;Calc!$F$2:$F$1001)*((K855+M855)-(L855+Calc!$J$2:$J$1001))+(((K855+M855)-(L855+Calc!$J$2:$J$1001))&gt;=Calc!$F$2:$F$1001)*Calc!$F$2:$F$1001))))</f>
        <v/>
      </c>
      <c r="R855">
        <f>IF(I855=0,0,(MIN(MAX((K855+N855),0),L855)*W855+SUMPRODUCT((Calc!$A$2:$A$1001=A855)*Calc!$G$2:$G$1001*((((K855+N855)-(L855+Calc!$J$2:$J$1001))&gt;0)*(((K855+N855)-(L855+Calc!$J$2:$J$1001))&lt;Calc!$F$2:$F$1001)*((K855+N855)-(L855+Calc!$J$2:$J$1001))+(((K855+N855)-(L855+Calc!$J$2:$J$1001))&gt;=Calc!$F$2:$F$1001)*Calc!$F$2:$F$1001))))</f>
        <v/>
      </c>
      <c r="S855">
        <f>IF(I855=0,0,(MIN(MAX((K855+O855),0),L855)*W855+SUMPRODUCT((Calc!$A$2:$A$1001=A855)*Calc!$G$2:$G$1001*((((K855+O855)-(L855+Calc!$J$2:$J$1001))&gt;0)*(((K855+O855)-(L855+Calc!$J$2:$J$1001))&lt;Calc!$F$2:$F$1001)*((K855+O855)-(L855+Calc!$J$2:$J$1001))+(((K855+O855)-(L855+Calc!$J$2:$J$1001))&gt;=Calc!$F$2:$F$1001)*Calc!$F$2:$F$1001))))</f>
        <v/>
      </c>
      <c r="T855">
        <f>IF(AND(E855=1,B855="RETURN"),Transactions!E855*Transactions!G855,0)</f>
        <v/>
      </c>
      <c r="U855">
        <f>IF(AND(E855=1,B855="EXPENSE"),Transactions!J855,0)</f>
        <v/>
      </c>
      <c r="V855">
        <f>IF(AND(Transactions!A855&lt;&gt;"",E855=0),ROW(),"")</f>
        <v/>
      </c>
      <c r="W855">
        <f>IFERROR(VLOOKUP(A855,Opening!$A:$D,4,0),0)</f>
        <v/>
      </c>
    </row>
    <row r="856">
      <c r="A856">
        <f>IF(Transactions!D856="","",UPPER(TRIM(Transactions!D856)))</f>
        <v/>
      </c>
      <c r="B856">
        <f>IF(Transactions!C856="","",UPPER(TRIM(Transactions!C856)))</f>
        <v/>
      </c>
      <c r="C856">
        <f>IF(Transactions!B856="",0,YEAR(Transactions!B856)*100+MONTH(Transactions!B856))</f>
        <v/>
      </c>
      <c r="D856">
        <f>IF(Transactions!A856="",1,IF(COUNTIF(Transactions!$A$1:A855,Transactions!A856)&gt;0,1,0))</f>
        <v/>
      </c>
      <c r="E856">
        <f>IF(D856=1,0,IF(B856="RETURN",IF(COUNTIFS($A$1:A855,A856,$B$1:B855,"SALE",$E$1:E855,1)&gt;0,1,0),1))</f>
        <v/>
      </c>
      <c r="F856">
        <f>IF(E856=1,IF(B856="RECEIPT",Transactions!E856,IF(AND(B856="RETURN",LOWER(TRIM(Transactions!H856))="resellable"),Transactions!E856,0)),0)</f>
        <v/>
      </c>
      <c r="G856">
        <f>IF(F856&gt;0,IF(B856="RECEIPT",Transactions!F856,IF(_xlfn.MAXIFS($H$2:H856,$A$2:A856,A856)&gt;0,INDEX(Transactions!$F:$F,_xlfn.MAXIFS($H$2:H856,$A$2:A856,A856)),W856)),0)</f>
        <v/>
      </c>
      <c r="H856">
        <f>IF(AND(E856=1,B856="RECEIPT"),ROW(),0)</f>
        <v/>
      </c>
      <c r="I856">
        <f>IF(E856=1,IF(OR(B856="SALE",B856="WRITEOFF"),Transactions!E856,0),0)</f>
        <v/>
      </c>
      <c r="J856">
        <f>SUMIFS($F$1:F855,$A$1:A855,A856)</f>
        <v/>
      </c>
      <c r="K856">
        <f>SUMIFS($I$1:I855,$A$1:A855,A856)</f>
        <v/>
      </c>
      <c r="L856">
        <f>IFERROR(VLOOKUP(A856,Opening!$A:$C,3,0),0)</f>
        <v/>
      </c>
      <c r="M856">
        <f>IF(I856=0,0,MAX(0,MIN(INDEX(Month!H$2:H$13,MATCH($A856,Month!$A$2:$A$13,0))-K856,I856)))</f>
        <v/>
      </c>
      <c r="N856">
        <f>IF(I856=0,0,MAX(0,MIN(INDEX(Month!I$2:I$13,MATCH($A856,Month!$A$2:$A$13,0))-K856,I856)))</f>
        <v/>
      </c>
      <c r="O856">
        <f>IF(I856=0,0,MAX(0,MIN(INDEX(Month!J$2:J$13,MATCH($A856,Month!$A$2:$A$13,0))-K856,I856)))</f>
        <v/>
      </c>
      <c r="P856">
        <f>IF(I856=0,0,(MIN(MAX(K856,0),L856)*W856+SUMPRODUCT((Calc!$A$2:$A$1001=A856)*Calc!$G$2:$G$1001*(((K856-(L856+Calc!$J$2:$J$1001))&gt;0)*((K856-(L856+Calc!$J$2:$J$1001))&lt;Calc!$F$2:$F$1001)*(K856-(L856+Calc!$J$2:$J$1001))+((K856-(L856+Calc!$J$2:$J$1001))&gt;=Calc!$F$2:$F$1001)*Calc!$F$2:$F$1001))))</f>
        <v/>
      </c>
      <c r="Q856">
        <f>IF(I856=0,0,(MIN(MAX((K856+M856),0),L856)*W856+SUMPRODUCT((Calc!$A$2:$A$1001=A856)*Calc!$G$2:$G$1001*((((K856+M856)-(L856+Calc!$J$2:$J$1001))&gt;0)*(((K856+M856)-(L856+Calc!$J$2:$J$1001))&lt;Calc!$F$2:$F$1001)*((K856+M856)-(L856+Calc!$J$2:$J$1001))+(((K856+M856)-(L856+Calc!$J$2:$J$1001))&gt;=Calc!$F$2:$F$1001)*Calc!$F$2:$F$1001))))</f>
        <v/>
      </c>
      <c r="R856">
        <f>IF(I856=0,0,(MIN(MAX((K856+N856),0),L856)*W856+SUMPRODUCT((Calc!$A$2:$A$1001=A856)*Calc!$G$2:$G$1001*((((K856+N856)-(L856+Calc!$J$2:$J$1001))&gt;0)*(((K856+N856)-(L856+Calc!$J$2:$J$1001))&lt;Calc!$F$2:$F$1001)*((K856+N856)-(L856+Calc!$J$2:$J$1001))+(((K856+N856)-(L856+Calc!$J$2:$J$1001))&gt;=Calc!$F$2:$F$1001)*Calc!$F$2:$F$1001))))</f>
        <v/>
      </c>
      <c r="S856">
        <f>IF(I856=0,0,(MIN(MAX((K856+O856),0),L856)*W856+SUMPRODUCT((Calc!$A$2:$A$1001=A856)*Calc!$G$2:$G$1001*((((K856+O856)-(L856+Calc!$J$2:$J$1001))&gt;0)*(((K856+O856)-(L856+Calc!$J$2:$J$1001))&lt;Calc!$F$2:$F$1001)*((K856+O856)-(L856+Calc!$J$2:$J$1001))+(((K856+O856)-(L856+Calc!$J$2:$J$1001))&gt;=Calc!$F$2:$F$1001)*Calc!$F$2:$F$1001))))</f>
        <v/>
      </c>
      <c r="T856">
        <f>IF(AND(E856=1,B856="RETURN"),Transactions!E856*Transactions!G856,0)</f>
        <v/>
      </c>
      <c r="U856">
        <f>IF(AND(E856=1,B856="EXPENSE"),Transactions!J856,0)</f>
        <v/>
      </c>
      <c r="V856">
        <f>IF(AND(Transactions!A856&lt;&gt;"",E856=0),ROW(),"")</f>
        <v/>
      </c>
      <c r="W856">
        <f>IFERROR(VLOOKUP(A856,Opening!$A:$D,4,0),0)</f>
        <v/>
      </c>
    </row>
    <row r="857">
      <c r="A857">
        <f>IF(Transactions!D857="","",UPPER(TRIM(Transactions!D857)))</f>
        <v/>
      </c>
      <c r="B857">
        <f>IF(Transactions!C857="","",UPPER(TRIM(Transactions!C857)))</f>
        <v/>
      </c>
      <c r="C857">
        <f>IF(Transactions!B857="",0,YEAR(Transactions!B857)*100+MONTH(Transactions!B857))</f>
        <v/>
      </c>
      <c r="D857">
        <f>IF(Transactions!A857="",1,IF(COUNTIF(Transactions!$A$1:A856,Transactions!A857)&gt;0,1,0))</f>
        <v/>
      </c>
      <c r="E857">
        <f>IF(D857=1,0,IF(B857="RETURN",IF(COUNTIFS($A$1:A856,A857,$B$1:B856,"SALE",$E$1:E856,1)&gt;0,1,0),1))</f>
        <v/>
      </c>
      <c r="F857">
        <f>IF(E857=1,IF(B857="RECEIPT",Transactions!E857,IF(AND(B857="RETURN",LOWER(TRIM(Transactions!H857))="resellable"),Transactions!E857,0)),0)</f>
        <v/>
      </c>
      <c r="G857">
        <f>IF(F857&gt;0,IF(B857="RECEIPT",Transactions!F857,IF(_xlfn.MAXIFS($H$2:H857,$A$2:A857,A857)&gt;0,INDEX(Transactions!$F:$F,_xlfn.MAXIFS($H$2:H857,$A$2:A857,A857)),W857)),0)</f>
        <v/>
      </c>
      <c r="H857">
        <f>IF(AND(E857=1,B857="RECEIPT"),ROW(),0)</f>
        <v/>
      </c>
      <c r="I857">
        <f>IF(E857=1,IF(OR(B857="SALE",B857="WRITEOFF"),Transactions!E857,0),0)</f>
        <v/>
      </c>
      <c r="J857">
        <f>SUMIFS($F$1:F856,$A$1:A856,A857)</f>
        <v/>
      </c>
      <c r="K857">
        <f>SUMIFS($I$1:I856,$A$1:A856,A857)</f>
        <v/>
      </c>
      <c r="L857">
        <f>IFERROR(VLOOKUP(A857,Opening!$A:$C,3,0),0)</f>
        <v/>
      </c>
      <c r="M857">
        <f>IF(I857=0,0,MAX(0,MIN(INDEX(Month!H$2:H$13,MATCH($A857,Month!$A$2:$A$13,0))-K857,I857)))</f>
        <v/>
      </c>
      <c r="N857">
        <f>IF(I857=0,0,MAX(0,MIN(INDEX(Month!I$2:I$13,MATCH($A857,Month!$A$2:$A$13,0))-K857,I857)))</f>
        <v/>
      </c>
      <c r="O857">
        <f>IF(I857=0,0,MAX(0,MIN(INDEX(Month!J$2:J$13,MATCH($A857,Month!$A$2:$A$13,0))-K857,I857)))</f>
        <v/>
      </c>
      <c r="P857">
        <f>IF(I857=0,0,(MIN(MAX(K857,0),L857)*W857+SUMPRODUCT((Calc!$A$2:$A$1001=A857)*Calc!$G$2:$G$1001*(((K857-(L857+Calc!$J$2:$J$1001))&gt;0)*((K857-(L857+Calc!$J$2:$J$1001))&lt;Calc!$F$2:$F$1001)*(K857-(L857+Calc!$J$2:$J$1001))+((K857-(L857+Calc!$J$2:$J$1001))&gt;=Calc!$F$2:$F$1001)*Calc!$F$2:$F$1001))))</f>
        <v/>
      </c>
      <c r="Q857">
        <f>IF(I857=0,0,(MIN(MAX((K857+M857),0),L857)*W857+SUMPRODUCT((Calc!$A$2:$A$1001=A857)*Calc!$G$2:$G$1001*((((K857+M857)-(L857+Calc!$J$2:$J$1001))&gt;0)*(((K857+M857)-(L857+Calc!$J$2:$J$1001))&lt;Calc!$F$2:$F$1001)*((K857+M857)-(L857+Calc!$J$2:$J$1001))+(((K857+M857)-(L857+Calc!$J$2:$J$1001))&gt;=Calc!$F$2:$F$1001)*Calc!$F$2:$F$1001))))</f>
        <v/>
      </c>
      <c r="R857">
        <f>IF(I857=0,0,(MIN(MAX((K857+N857),0),L857)*W857+SUMPRODUCT((Calc!$A$2:$A$1001=A857)*Calc!$G$2:$G$1001*((((K857+N857)-(L857+Calc!$J$2:$J$1001))&gt;0)*(((K857+N857)-(L857+Calc!$J$2:$J$1001))&lt;Calc!$F$2:$F$1001)*((K857+N857)-(L857+Calc!$J$2:$J$1001))+(((K857+N857)-(L857+Calc!$J$2:$J$1001))&gt;=Calc!$F$2:$F$1001)*Calc!$F$2:$F$1001))))</f>
        <v/>
      </c>
      <c r="S857">
        <f>IF(I857=0,0,(MIN(MAX((K857+O857),0),L857)*W857+SUMPRODUCT((Calc!$A$2:$A$1001=A857)*Calc!$G$2:$G$1001*((((K857+O857)-(L857+Calc!$J$2:$J$1001))&gt;0)*(((K857+O857)-(L857+Calc!$J$2:$J$1001))&lt;Calc!$F$2:$F$1001)*((K857+O857)-(L857+Calc!$J$2:$J$1001))+(((K857+O857)-(L857+Calc!$J$2:$J$1001))&gt;=Calc!$F$2:$F$1001)*Calc!$F$2:$F$1001))))</f>
        <v/>
      </c>
      <c r="T857">
        <f>IF(AND(E857=1,B857="RETURN"),Transactions!E857*Transactions!G857,0)</f>
        <v/>
      </c>
      <c r="U857">
        <f>IF(AND(E857=1,B857="EXPENSE"),Transactions!J857,0)</f>
        <v/>
      </c>
      <c r="V857">
        <f>IF(AND(Transactions!A857&lt;&gt;"",E857=0),ROW(),"")</f>
        <v/>
      </c>
      <c r="W857">
        <f>IFERROR(VLOOKUP(A857,Opening!$A:$D,4,0),0)</f>
        <v/>
      </c>
    </row>
    <row r="858">
      <c r="A858">
        <f>IF(Transactions!D858="","",UPPER(TRIM(Transactions!D858)))</f>
        <v/>
      </c>
      <c r="B858">
        <f>IF(Transactions!C858="","",UPPER(TRIM(Transactions!C858)))</f>
        <v/>
      </c>
      <c r="C858">
        <f>IF(Transactions!B858="",0,YEAR(Transactions!B858)*100+MONTH(Transactions!B858))</f>
        <v/>
      </c>
      <c r="D858">
        <f>IF(Transactions!A858="",1,IF(COUNTIF(Transactions!$A$1:A857,Transactions!A858)&gt;0,1,0))</f>
        <v/>
      </c>
      <c r="E858">
        <f>IF(D858=1,0,IF(B858="RETURN",IF(COUNTIFS($A$1:A857,A858,$B$1:B857,"SALE",$E$1:E857,1)&gt;0,1,0),1))</f>
        <v/>
      </c>
      <c r="F858">
        <f>IF(E858=1,IF(B858="RECEIPT",Transactions!E858,IF(AND(B858="RETURN",LOWER(TRIM(Transactions!H858))="resellable"),Transactions!E858,0)),0)</f>
        <v/>
      </c>
      <c r="G858">
        <f>IF(F858&gt;0,IF(B858="RECEIPT",Transactions!F858,IF(_xlfn.MAXIFS($H$2:H858,$A$2:A858,A858)&gt;0,INDEX(Transactions!$F:$F,_xlfn.MAXIFS($H$2:H858,$A$2:A858,A858)),W858)),0)</f>
        <v/>
      </c>
      <c r="H858">
        <f>IF(AND(E858=1,B858="RECEIPT"),ROW(),0)</f>
        <v/>
      </c>
      <c r="I858">
        <f>IF(E858=1,IF(OR(B858="SALE",B858="WRITEOFF"),Transactions!E858,0),0)</f>
        <v/>
      </c>
      <c r="J858">
        <f>SUMIFS($F$1:F857,$A$1:A857,A858)</f>
        <v/>
      </c>
      <c r="K858">
        <f>SUMIFS($I$1:I857,$A$1:A857,A858)</f>
        <v/>
      </c>
      <c r="L858">
        <f>IFERROR(VLOOKUP(A858,Opening!$A:$C,3,0),0)</f>
        <v/>
      </c>
      <c r="M858">
        <f>IF(I858=0,0,MAX(0,MIN(INDEX(Month!H$2:H$13,MATCH($A858,Month!$A$2:$A$13,0))-K858,I858)))</f>
        <v/>
      </c>
      <c r="N858">
        <f>IF(I858=0,0,MAX(0,MIN(INDEX(Month!I$2:I$13,MATCH($A858,Month!$A$2:$A$13,0))-K858,I858)))</f>
        <v/>
      </c>
      <c r="O858">
        <f>IF(I858=0,0,MAX(0,MIN(INDEX(Month!J$2:J$13,MATCH($A858,Month!$A$2:$A$13,0))-K858,I858)))</f>
        <v/>
      </c>
      <c r="P858">
        <f>IF(I858=0,0,(MIN(MAX(K858,0),L858)*W858+SUMPRODUCT((Calc!$A$2:$A$1001=A858)*Calc!$G$2:$G$1001*(((K858-(L858+Calc!$J$2:$J$1001))&gt;0)*((K858-(L858+Calc!$J$2:$J$1001))&lt;Calc!$F$2:$F$1001)*(K858-(L858+Calc!$J$2:$J$1001))+((K858-(L858+Calc!$J$2:$J$1001))&gt;=Calc!$F$2:$F$1001)*Calc!$F$2:$F$1001))))</f>
        <v/>
      </c>
      <c r="Q858">
        <f>IF(I858=0,0,(MIN(MAX((K858+M858),0),L858)*W858+SUMPRODUCT((Calc!$A$2:$A$1001=A858)*Calc!$G$2:$G$1001*((((K858+M858)-(L858+Calc!$J$2:$J$1001))&gt;0)*(((K858+M858)-(L858+Calc!$J$2:$J$1001))&lt;Calc!$F$2:$F$1001)*((K858+M858)-(L858+Calc!$J$2:$J$1001))+(((K858+M858)-(L858+Calc!$J$2:$J$1001))&gt;=Calc!$F$2:$F$1001)*Calc!$F$2:$F$1001))))</f>
        <v/>
      </c>
      <c r="R858">
        <f>IF(I858=0,0,(MIN(MAX((K858+N858),0),L858)*W858+SUMPRODUCT((Calc!$A$2:$A$1001=A858)*Calc!$G$2:$G$1001*((((K858+N858)-(L858+Calc!$J$2:$J$1001))&gt;0)*(((K858+N858)-(L858+Calc!$J$2:$J$1001))&lt;Calc!$F$2:$F$1001)*((K858+N858)-(L858+Calc!$J$2:$J$1001))+(((K858+N858)-(L858+Calc!$J$2:$J$1001))&gt;=Calc!$F$2:$F$1001)*Calc!$F$2:$F$1001))))</f>
        <v/>
      </c>
      <c r="S858">
        <f>IF(I858=0,0,(MIN(MAX((K858+O858),0),L858)*W858+SUMPRODUCT((Calc!$A$2:$A$1001=A858)*Calc!$G$2:$G$1001*((((K858+O858)-(L858+Calc!$J$2:$J$1001))&gt;0)*(((K858+O858)-(L858+Calc!$J$2:$J$1001))&lt;Calc!$F$2:$F$1001)*((K858+O858)-(L858+Calc!$J$2:$J$1001))+(((K858+O858)-(L858+Calc!$J$2:$J$1001))&gt;=Calc!$F$2:$F$1001)*Calc!$F$2:$F$1001))))</f>
        <v/>
      </c>
      <c r="T858">
        <f>IF(AND(E858=1,B858="RETURN"),Transactions!E858*Transactions!G858,0)</f>
        <v/>
      </c>
      <c r="U858">
        <f>IF(AND(E858=1,B858="EXPENSE"),Transactions!J858,0)</f>
        <v/>
      </c>
      <c r="V858">
        <f>IF(AND(Transactions!A858&lt;&gt;"",E858=0),ROW(),"")</f>
        <v/>
      </c>
      <c r="W858">
        <f>IFERROR(VLOOKUP(A858,Opening!$A:$D,4,0),0)</f>
        <v/>
      </c>
    </row>
    <row r="859">
      <c r="A859">
        <f>IF(Transactions!D859="","",UPPER(TRIM(Transactions!D859)))</f>
        <v/>
      </c>
      <c r="B859">
        <f>IF(Transactions!C859="","",UPPER(TRIM(Transactions!C859)))</f>
        <v/>
      </c>
      <c r="C859">
        <f>IF(Transactions!B859="",0,YEAR(Transactions!B859)*100+MONTH(Transactions!B859))</f>
        <v/>
      </c>
      <c r="D859">
        <f>IF(Transactions!A859="",1,IF(COUNTIF(Transactions!$A$1:A858,Transactions!A859)&gt;0,1,0))</f>
        <v/>
      </c>
      <c r="E859">
        <f>IF(D859=1,0,IF(B859="RETURN",IF(COUNTIFS($A$1:A858,A859,$B$1:B858,"SALE",$E$1:E858,1)&gt;0,1,0),1))</f>
        <v/>
      </c>
      <c r="F859">
        <f>IF(E859=1,IF(B859="RECEIPT",Transactions!E859,IF(AND(B859="RETURN",LOWER(TRIM(Transactions!H859))="resellable"),Transactions!E859,0)),0)</f>
        <v/>
      </c>
      <c r="G859">
        <f>IF(F859&gt;0,IF(B859="RECEIPT",Transactions!F859,IF(_xlfn.MAXIFS($H$2:H859,$A$2:A859,A859)&gt;0,INDEX(Transactions!$F:$F,_xlfn.MAXIFS($H$2:H859,$A$2:A859,A859)),W859)),0)</f>
        <v/>
      </c>
      <c r="H859">
        <f>IF(AND(E859=1,B859="RECEIPT"),ROW(),0)</f>
        <v/>
      </c>
      <c r="I859">
        <f>IF(E859=1,IF(OR(B859="SALE",B859="WRITEOFF"),Transactions!E859,0),0)</f>
        <v/>
      </c>
      <c r="J859">
        <f>SUMIFS($F$1:F858,$A$1:A858,A859)</f>
        <v/>
      </c>
      <c r="K859">
        <f>SUMIFS($I$1:I858,$A$1:A858,A859)</f>
        <v/>
      </c>
      <c r="L859">
        <f>IFERROR(VLOOKUP(A859,Opening!$A:$C,3,0),0)</f>
        <v/>
      </c>
      <c r="M859">
        <f>IF(I859=0,0,MAX(0,MIN(INDEX(Month!H$2:H$13,MATCH($A859,Month!$A$2:$A$13,0))-K859,I859)))</f>
        <v/>
      </c>
      <c r="N859">
        <f>IF(I859=0,0,MAX(0,MIN(INDEX(Month!I$2:I$13,MATCH($A859,Month!$A$2:$A$13,0))-K859,I859)))</f>
        <v/>
      </c>
      <c r="O859">
        <f>IF(I859=0,0,MAX(0,MIN(INDEX(Month!J$2:J$13,MATCH($A859,Month!$A$2:$A$13,0))-K859,I859)))</f>
        <v/>
      </c>
      <c r="P859">
        <f>IF(I859=0,0,(MIN(MAX(K859,0),L859)*W859+SUMPRODUCT((Calc!$A$2:$A$1001=A859)*Calc!$G$2:$G$1001*(((K859-(L859+Calc!$J$2:$J$1001))&gt;0)*((K859-(L859+Calc!$J$2:$J$1001))&lt;Calc!$F$2:$F$1001)*(K859-(L859+Calc!$J$2:$J$1001))+((K859-(L859+Calc!$J$2:$J$1001))&gt;=Calc!$F$2:$F$1001)*Calc!$F$2:$F$1001))))</f>
        <v/>
      </c>
      <c r="Q859">
        <f>IF(I859=0,0,(MIN(MAX((K859+M859),0),L859)*W859+SUMPRODUCT((Calc!$A$2:$A$1001=A859)*Calc!$G$2:$G$1001*((((K859+M859)-(L859+Calc!$J$2:$J$1001))&gt;0)*(((K859+M859)-(L859+Calc!$J$2:$J$1001))&lt;Calc!$F$2:$F$1001)*((K859+M859)-(L859+Calc!$J$2:$J$1001))+(((K859+M859)-(L859+Calc!$J$2:$J$1001))&gt;=Calc!$F$2:$F$1001)*Calc!$F$2:$F$1001))))</f>
        <v/>
      </c>
      <c r="R859">
        <f>IF(I859=0,0,(MIN(MAX((K859+N859),0),L859)*W859+SUMPRODUCT((Calc!$A$2:$A$1001=A859)*Calc!$G$2:$G$1001*((((K859+N859)-(L859+Calc!$J$2:$J$1001))&gt;0)*(((K859+N859)-(L859+Calc!$J$2:$J$1001))&lt;Calc!$F$2:$F$1001)*((K859+N859)-(L859+Calc!$J$2:$J$1001))+(((K859+N859)-(L859+Calc!$J$2:$J$1001))&gt;=Calc!$F$2:$F$1001)*Calc!$F$2:$F$1001))))</f>
        <v/>
      </c>
      <c r="S859">
        <f>IF(I859=0,0,(MIN(MAX((K859+O859),0),L859)*W859+SUMPRODUCT((Calc!$A$2:$A$1001=A859)*Calc!$G$2:$G$1001*((((K859+O859)-(L859+Calc!$J$2:$J$1001))&gt;0)*(((K859+O859)-(L859+Calc!$J$2:$J$1001))&lt;Calc!$F$2:$F$1001)*((K859+O859)-(L859+Calc!$J$2:$J$1001))+(((K859+O859)-(L859+Calc!$J$2:$J$1001))&gt;=Calc!$F$2:$F$1001)*Calc!$F$2:$F$1001))))</f>
        <v/>
      </c>
      <c r="T859">
        <f>IF(AND(E859=1,B859="RETURN"),Transactions!E859*Transactions!G859,0)</f>
        <v/>
      </c>
      <c r="U859">
        <f>IF(AND(E859=1,B859="EXPENSE"),Transactions!J859,0)</f>
        <v/>
      </c>
      <c r="V859">
        <f>IF(AND(Transactions!A859&lt;&gt;"",E859=0),ROW(),"")</f>
        <v/>
      </c>
      <c r="W859">
        <f>IFERROR(VLOOKUP(A859,Opening!$A:$D,4,0),0)</f>
        <v/>
      </c>
    </row>
    <row r="860">
      <c r="A860">
        <f>IF(Transactions!D860="","",UPPER(TRIM(Transactions!D860)))</f>
        <v/>
      </c>
      <c r="B860">
        <f>IF(Transactions!C860="","",UPPER(TRIM(Transactions!C860)))</f>
        <v/>
      </c>
      <c r="C860">
        <f>IF(Transactions!B860="",0,YEAR(Transactions!B860)*100+MONTH(Transactions!B860))</f>
        <v/>
      </c>
      <c r="D860">
        <f>IF(Transactions!A860="",1,IF(COUNTIF(Transactions!$A$1:A859,Transactions!A860)&gt;0,1,0))</f>
        <v/>
      </c>
      <c r="E860">
        <f>IF(D860=1,0,IF(B860="RETURN",IF(COUNTIFS($A$1:A859,A860,$B$1:B859,"SALE",$E$1:E859,1)&gt;0,1,0),1))</f>
        <v/>
      </c>
      <c r="F860">
        <f>IF(E860=1,IF(B860="RECEIPT",Transactions!E860,IF(AND(B860="RETURN",LOWER(TRIM(Transactions!H860))="resellable"),Transactions!E860,0)),0)</f>
        <v/>
      </c>
      <c r="G860">
        <f>IF(F860&gt;0,IF(B860="RECEIPT",Transactions!F860,IF(_xlfn.MAXIFS($H$2:H860,$A$2:A860,A860)&gt;0,INDEX(Transactions!$F:$F,_xlfn.MAXIFS($H$2:H860,$A$2:A860,A860)),W860)),0)</f>
        <v/>
      </c>
      <c r="H860">
        <f>IF(AND(E860=1,B860="RECEIPT"),ROW(),0)</f>
        <v/>
      </c>
      <c r="I860">
        <f>IF(E860=1,IF(OR(B860="SALE",B860="WRITEOFF"),Transactions!E860,0),0)</f>
        <v/>
      </c>
      <c r="J860">
        <f>SUMIFS($F$1:F859,$A$1:A859,A860)</f>
        <v/>
      </c>
      <c r="K860">
        <f>SUMIFS($I$1:I859,$A$1:A859,A860)</f>
        <v/>
      </c>
      <c r="L860">
        <f>IFERROR(VLOOKUP(A860,Opening!$A:$C,3,0),0)</f>
        <v/>
      </c>
      <c r="M860">
        <f>IF(I860=0,0,MAX(0,MIN(INDEX(Month!H$2:H$13,MATCH($A860,Month!$A$2:$A$13,0))-K860,I860)))</f>
        <v/>
      </c>
      <c r="N860">
        <f>IF(I860=0,0,MAX(0,MIN(INDEX(Month!I$2:I$13,MATCH($A860,Month!$A$2:$A$13,0))-K860,I860)))</f>
        <v/>
      </c>
      <c r="O860">
        <f>IF(I860=0,0,MAX(0,MIN(INDEX(Month!J$2:J$13,MATCH($A860,Month!$A$2:$A$13,0))-K860,I860)))</f>
        <v/>
      </c>
      <c r="P860">
        <f>IF(I860=0,0,(MIN(MAX(K860,0),L860)*W860+SUMPRODUCT((Calc!$A$2:$A$1001=A860)*Calc!$G$2:$G$1001*(((K860-(L860+Calc!$J$2:$J$1001))&gt;0)*((K860-(L860+Calc!$J$2:$J$1001))&lt;Calc!$F$2:$F$1001)*(K860-(L860+Calc!$J$2:$J$1001))+((K860-(L860+Calc!$J$2:$J$1001))&gt;=Calc!$F$2:$F$1001)*Calc!$F$2:$F$1001))))</f>
        <v/>
      </c>
      <c r="Q860">
        <f>IF(I860=0,0,(MIN(MAX((K860+M860),0),L860)*W860+SUMPRODUCT((Calc!$A$2:$A$1001=A860)*Calc!$G$2:$G$1001*((((K860+M860)-(L860+Calc!$J$2:$J$1001))&gt;0)*(((K860+M860)-(L860+Calc!$J$2:$J$1001))&lt;Calc!$F$2:$F$1001)*((K860+M860)-(L860+Calc!$J$2:$J$1001))+(((K860+M860)-(L860+Calc!$J$2:$J$1001))&gt;=Calc!$F$2:$F$1001)*Calc!$F$2:$F$1001))))</f>
        <v/>
      </c>
      <c r="R860">
        <f>IF(I860=0,0,(MIN(MAX((K860+N860),0),L860)*W860+SUMPRODUCT((Calc!$A$2:$A$1001=A860)*Calc!$G$2:$G$1001*((((K860+N860)-(L860+Calc!$J$2:$J$1001))&gt;0)*(((K860+N860)-(L860+Calc!$J$2:$J$1001))&lt;Calc!$F$2:$F$1001)*((K860+N860)-(L860+Calc!$J$2:$J$1001))+(((K860+N860)-(L860+Calc!$J$2:$J$1001))&gt;=Calc!$F$2:$F$1001)*Calc!$F$2:$F$1001))))</f>
        <v/>
      </c>
      <c r="S860">
        <f>IF(I860=0,0,(MIN(MAX((K860+O860),0),L860)*W860+SUMPRODUCT((Calc!$A$2:$A$1001=A860)*Calc!$G$2:$G$1001*((((K860+O860)-(L860+Calc!$J$2:$J$1001))&gt;0)*(((K860+O860)-(L860+Calc!$J$2:$J$1001))&lt;Calc!$F$2:$F$1001)*((K860+O860)-(L860+Calc!$J$2:$J$1001))+(((K860+O860)-(L860+Calc!$J$2:$J$1001))&gt;=Calc!$F$2:$F$1001)*Calc!$F$2:$F$1001))))</f>
        <v/>
      </c>
      <c r="T860">
        <f>IF(AND(E860=1,B860="RETURN"),Transactions!E860*Transactions!G860,0)</f>
        <v/>
      </c>
      <c r="U860">
        <f>IF(AND(E860=1,B860="EXPENSE"),Transactions!J860,0)</f>
        <v/>
      </c>
      <c r="V860">
        <f>IF(AND(Transactions!A860&lt;&gt;"",E860=0),ROW(),"")</f>
        <v/>
      </c>
      <c r="W860">
        <f>IFERROR(VLOOKUP(A860,Opening!$A:$D,4,0),0)</f>
        <v/>
      </c>
    </row>
    <row r="861">
      <c r="A861">
        <f>IF(Transactions!D861="","",UPPER(TRIM(Transactions!D861)))</f>
        <v/>
      </c>
      <c r="B861">
        <f>IF(Transactions!C861="","",UPPER(TRIM(Transactions!C861)))</f>
        <v/>
      </c>
      <c r="C861">
        <f>IF(Transactions!B861="",0,YEAR(Transactions!B861)*100+MONTH(Transactions!B861))</f>
        <v/>
      </c>
      <c r="D861">
        <f>IF(Transactions!A861="",1,IF(COUNTIF(Transactions!$A$1:A860,Transactions!A861)&gt;0,1,0))</f>
        <v/>
      </c>
      <c r="E861">
        <f>IF(D861=1,0,IF(B861="RETURN",IF(COUNTIFS($A$1:A860,A861,$B$1:B860,"SALE",$E$1:E860,1)&gt;0,1,0),1))</f>
        <v/>
      </c>
      <c r="F861">
        <f>IF(E861=1,IF(B861="RECEIPT",Transactions!E861,IF(AND(B861="RETURN",LOWER(TRIM(Transactions!H861))="resellable"),Transactions!E861,0)),0)</f>
        <v/>
      </c>
      <c r="G861">
        <f>IF(F861&gt;0,IF(B861="RECEIPT",Transactions!F861,IF(_xlfn.MAXIFS($H$2:H861,$A$2:A861,A861)&gt;0,INDEX(Transactions!$F:$F,_xlfn.MAXIFS($H$2:H861,$A$2:A861,A861)),W861)),0)</f>
        <v/>
      </c>
      <c r="H861">
        <f>IF(AND(E861=1,B861="RECEIPT"),ROW(),0)</f>
        <v/>
      </c>
      <c r="I861">
        <f>IF(E861=1,IF(OR(B861="SALE",B861="WRITEOFF"),Transactions!E861,0),0)</f>
        <v/>
      </c>
      <c r="J861">
        <f>SUMIFS($F$1:F860,$A$1:A860,A861)</f>
        <v/>
      </c>
      <c r="K861">
        <f>SUMIFS($I$1:I860,$A$1:A860,A861)</f>
        <v/>
      </c>
      <c r="L861">
        <f>IFERROR(VLOOKUP(A861,Opening!$A:$C,3,0),0)</f>
        <v/>
      </c>
      <c r="M861">
        <f>IF(I861=0,0,MAX(0,MIN(INDEX(Month!H$2:H$13,MATCH($A861,Month!$A$2:$A$13,0))-K861,I861)))</f>
        <v/>
      </c>
      <c r="N861">
        <f>IF(I861=0,0,MAX(0,MIN(INDEX(Month!I$2:I$13,MATCH($A861,Month!$A$2:$A$13,0))-K861,I861)))</f>
        <v/>
      </c>
      <c r="O861">
        <f>IF(I861=0,0,MAX(0,MIN(INDEX(Month!J$2:J$13,MATCH($A861,Month!$A$2:$A$13,0))-K861,I861)))</f>
        <v/>
      </c>
      <c r="P861">
        <f>IF(I861=0,0,(MIN(MAX(K861,0),L861)*W861+SUMPRODUCT((Calc!$A$2:$A$1001=A861)*Calc!$G$2:$G$1001*(((K861-(L861+Calc!$J$2:$J$1001))&gt;0)*((K861-(L861+Calc!$J$2:$J$1001))&lt;Calc!$F$2:$F$1001)*(K861-(L861+Calc!$J$2:$J$1001))+((K861-(L861+Calc!$J$2:$J$1001))&gt;=Calc!$F$2:$F$1001)*Calc!$F$2:$F$1001))))</f>
        <v/>
      </c>
      <c r="Q861">
        <f>IF(I861=0,0,(MIN(MAX((K861+M861),0),L861)*W861+SUMPRODUCT((Calc!$A$2:$A$1001=A861)*Calc!$G$2:$G$1001*((((K861+M861)-(L861+Calc!$J$2:$J$1001))&gt;0)*(((K861+M861)-(L861+Calc!$J$2:$J$1001))&lt;Calc!$F$2:$F$1001)*((K861+M861)-(L861+Calc!$J$2:$J$1001))+(((K861+M861)-(L861+Calc!$J$2:$J$1001))&gt;=Calc!$F$2:$F$1001)*Calc!$F$2:$F$1001))))</f>
        <v/>
      </c>
      <c r="R861">
        <f>IF(I861=0,0,(MIN(MAX((K861+N861),0),L861)*W861+SUMPRODUCT((Calc!$A$2:$A$1001=A861)*Calc!$G$2:$G$1001*((((K861+N861)-(L861+Calc!$J$2:$J$1001))&gt;0)*(((K861+N861)-(L861+Calc!$J$2:$J$1001))&lt;Calc!$F$2:$F$1001)*((K861+N861)-(L861+Calc!$J$2:$J$1001))+(((K861+N861)-(L861+Calc!$J$2:$J$1001))&gt;=Calc!$F$2:$F$1001)*Calc!$F$2:$F$1001))))</f>
        <v/>
      </c>
      <c r="S861">
        <f>IF(I861=0,0,(MIN(MAX((K861+O861),0),L861)*W861+SUMPRODUCT((Calc!$A$2:$A$1001=A861)*Calc!$G$2:$G$1001*((((K861+O861)-(L861+Calc!$J$2:$J$1001))&gt;0)*(((K861+O861)-(L861+Calc!$J$2:$J$1001))&lt;Calc!$F$2:$F$1001)*((K861+O861)-(L861+Calc!$J$2:$J$1001))+(((K861+O861)-(L861+Calc!$J$2:$J$1001))&gt;=Calc!$F$2:$F$1001)*Calc!$F$2:$F$1001))))</f>
        <v/>
      </c>
      <c r="T861">
        <f>IF(AND(E861=1,B861="RETURN"),Transactions!E861*Transactions!G861,0)</f>
        <v/>
      </c>
      <c r="U861">
        <f>IF(AND(E861=1,B861="EXPENSE"),Transactions!J861,0)</f>
        <v/>
      </c>
      <c r="V861">
        <f>IF(AND(Transactions!A861&lt;&gt;"",E861=0),ROW(),"")</f>
        <v/>
      </c>
      <c r="W861">
        <f>IFERROR(VLOOKUP(A861,Opening!$A:$D,4,0),0)</f>
        <v/>
      </c>
    </row>
    <row r="862">
      <c r="A862">
        <f>IF(Transactions!D862="","",UPPER(TRIM(Transactions!D862)))</f>
        <v/>
      </c>
      <c r="B862">
        <f>IF(Transactions!C862="","",UPPER(TRIM(Transactions!C862)))</f>
        <v/>
      </c>
      <c r="C862">
        <f>IF(Transactions!B862="",0,YEAR(Transactions!B862)*100+MONTH(Transactions!B862))</f>
        <v/>
      </c>
      <c r="D862">
        <f>IF(Transactions!A862="",1,IF(COUNTIF(Transactions!$A$1:A861,Transactions!A862)&gt;0,1,0))</f>
        <v/>
      </c>
      <c r="E862">
        <f>IF(D862=1,0,IF(B862="RETURN",IF(COUNTIFS($A$1:A861,A862,$B$1:B861,"SALE",$E$1:E861,1)&gt;0,1,0),1))</f>
        <v/>
      </c>
      <c r="F862">
        <f>IF(E862=1,IF(B862="RECEIPT",Transactions!E862,IF(AND(B862="RETURN",LOWER(TRIM(Transactions!H862))="resellable"),Transactions!E862,0)),0)</f>
        <v/>
      </c>
      <c r="G862">
        <f>IF(F862&gt;0,IF(B862="RECEIPT",Transactions!F862,IF(_xlfn.MAXIFS($H$2:H862,$A$2:A862,A862)&gt;0,INDEX(Transactions!$F:$F,_xlfn.MAXIFS($H$2:H862,$A$2:A862,A862)),W862)),0)</f>
        <v/>
      </c>
      <c r="H862">
        <f>IF(AND(E862=1,B862="RECEIPT"),ROW(),0)</f>
        <v/>
      </c>
      <c r="I862">
        <f>IF(E862=1,IF(OR(B862="SALE",B862="WRITEOFF"),Transactions!E862,0),0)</f>
        <v/>
      </c>
      <c r="J862">
        <f>SUMIFS($F$1:F861,$A$1:A861,A862)</f>
        <v/>
      </c>
      <c r="K862">
        <f>SUMIFS($I$1:I861,$A$1:A861,A862)</f>
        <v/>
      </c>
      <c r="L862">
        <f>IFERROR(VLOOKUP(A862,Opening!$A:$C,3,0),0)</f>
        <v/>
      </c>
      <c r="M862">
        <f>IF(I862=0,0,MAX(0,MIN(INDEX(Month!H$2:H$13,MATCH($A862,Month!$A$2:$A$13,0))-K862,I862)))</f>
        <v/>
      </c>
      <c r="N862">
        <f>IF(I862=0,0,MAX(0,MIN(INDEX(Month!I$2:I$13,MATCH($A862,Month!$A$2:$A$13,0))-K862,I862)))</f>
        <v/>
      </c>
      <c r="O862">
        <f>IF(I862=0,0,MAX(0,MIN(INDEX(Month!J$2:J$13,MATCH($A862,Month!$A$2:$A$13,0))-K862,I862)))</f>
        <v/>
      </c>
      <c r="P862">
        <f>IF(I862=0,0,(MIN(MAX(K862,0),L862)*W862+SUMPRODUCT((Calc!$A$2:$A$1001=A862)*Calc!$G$2:$G$1001*(((K862-(L862+Calc!$J$2:$J$1001))&gt;0)*((K862-(L862+Calc!$J$2:$J$1001))&lt;Calc!$F$2:$F$1001)*(K862-(L862+Calc!$J$2:$J$1001))+((K862-(L862+Calc!$J$2:$J$1001))&gt;=Calc!$F$2:$F$1001)*Calc!$F$2:$F$1001))))</f>
        <v/>
      </c>
      <c r="Q862">
        <f>IF(I862=0,0,(MIN(MAX((K862+M862),0),L862)*W862+SUMPRODUCT((Calc!$A$2:$A$1001=A862)*Calc!$G$2:$G$1001*((((K862+M862)-(L862+Calc!$J$2:$J$1001))&gt;0)*(((K862+M862)-(L862+Calc!$J$2:$J$1001))&lt;Calc!$F$2:$F$1001)*((K862+M862)-(L862+Calc!$J$2:$J$1001))+(((K862+M862)-(L862+Calc!$J$2:$J$1001))&gt;=Calc!$F$2:$F$1001)*Calc!$F$2:$F$1001))))</f>
        <v/>
      </c>
      <c r="R862">
        <f>IF(I862=0,0,(MIN(MAX((K862+N862),0),L862)*W862+SUMPRODUCT((Calc!$A$2:$A$1001=A862)*Calc!$G$2:$G$1001*((((K862+N862)-(L862+Calc!$J$2:$J$1001))&gt;0)*(((K862+N862)-(L862+Calc!$J$2:$J$1001))&lt;Calc!$F$2:$F$1001)*((K862+N862)-(L862+Calc!$J$2:$J$1001))+(((K862+N862)-(L862+Calc!$J$2:$J$1001))&gt;=Calc!$F$2:$F$1001)*Calc!$F$2:$F$1001))))</f>
        <v/>
      </c>
      <c r="S862">
        <f>IF(I862=0,0,(MIN(MAX((K862+O862),0),L862)*W862+SUMPRODUCT((Calc!$A$2:$A$1001=A862)*Calc!$G$2:$G$1001*((((K862+O862)-(L862+Calc!$J$2:$J$1001))&gt;0)*(((K862+O862)-(L862+Calc!$J$2:$J$1001))&lt;Calc!$F$2:$F$1001)*((K862+O862)-(L862+Calc!$J$2:$J$1001))+(((K862+O862)-(L862+Calc!$J$2:$J$1001))&gt;=Calc!$F$2:$F$1001)*Calc!$F$2:$F$1001))))</f>
        <v/>
      </c>
      <c r="T862">
        <f>IF(AND(E862=1,B862="RETURN"),Transactions!E862*Transactions!G862,0)</f>
        <v/>
      </c>
      <c r="U862">
        <f>IF(AND(E862=1,B862="EXPENSE"),Transactions!J862,0)</f>
        <v/>
      </c>
      <c r="V862">
        <f>IF(AND(Transactions!A862&lt;&gt;"",E862=0),ROW(),"")</f>
        <v/>
      </c>
      <c r="W862">
        <f>IFERROR(VLOOKUP(A862,Opening!$A:$D,4,0),0)</f>
        <v/>
      </c>
    </row>
    <row r="863">
      <c r="A863">
        <f>IF(Transactions!D863="","",UPPER(TRIM(Transactions!D863)))</f>
        <v/>
      </c>
      <c r="B863">
        <f>IF(Transactions!C863="","",UPPER(TRIM(Transactions!C863)))</f>
        <v/>
      </c>
      <c r="C863">
        <f>IF(Transactions!B863="",0,YEAR(Transactions!B863)*100+MONTH(Transactions!B863))</f>
        <v/>
      </c>
      <c r="D863">
        <f>IF(Transactions!A863="",1,IF(COUNTIF(Transactions!$A$1:A862,Transactions!A863)&gt;0,1,0))</f>
        <v/>
      </c>
      <c r="E863">
        <f>IF(D863=1,0,IF(B863="RETURN",IF(COUNTIFS($A$1:A862,A863,$B$1:B862,"SALE",$E$1:E862,1)&gt;0,1,0),1))</f>
        <v/>
      </c>
      <c r="F863">
        <f>IF(E863=1,IF(B863="RECEIPT",Transactions!E863,IF(AND(B863="RETURN",LOWER(TRIM(Transactions!H863))="resellable"),Transactions!E863,0)),0)</f>
        <v/>
      </c>
      <c r="G863">
        <f>IF(F863&gt;0,IF(B863="RECEIPT",Transactions!F863,IF(_xlfn.MAXIFS($H$2:H863,$A$2:A863,A863)&gt;0,INDEX(Transactions!$F:$F,_xlfn.MAXIFS($H$2:H863,$A$2:A863,A863)),W863)),0)</f>
        <v/>
      </c>
      <c r="H863">
        <f>IF(AND(E863=1,B863="RECEIPT"),ROW(),0)</f>
        <v/>
      </c>
      <c r="I863">
        <f>IF(E863=1,IF(OR(B863="SALE",B863="WRITEOFF"),Transactions!E863,0),0)</f>
        <v/>
      </c>
      <c r="J863">
        <f>SUMIFS($F$1:F862,$A$1:A862,A863)</f>
        <v/>
      </c>
      <c r="K863">
        <f>SUMIFS($I$1:I862,$A$1:A862,A863)</f>
        <v/>
      </c>
      <c r="L863">
        <f>IFERROR(VLOOKUP(A863,Opening!$A:$C,3,0),0)</f>
        <v/>
      </c>
      <c r="M863">
        <f>IF(I863=0,0,MAX(0,MIN(INDEX(Month!H$2:H$13,MATCH($A863,Month!$A$2:$A$13,0))-K863,I863)))</f>
        <v/>
      </c>
      <c r="N863">
        <f>IF(I863=0,0,MAX(0,MIN(INDEX(Month!I$2:I$13,MATCH($A863,Month!$A$2:$A$13,0))-K863,I863)))</f>
        <v/>
      </c>
      <c r="O863">
        <f>IF(I863=0,0,MAX(0,MIN(INDEX(Month!J$2:J$13,MATCH($A863,Month!$A$2:$A$13,0))-K863,I863)))</f>
        <v/>
      </c>
      <c r="P863">
        <f>IF(I863=0,0,(MIN(MAX(K863,0),L863)*W863+SUMPRODUCT((Calc!$A$2:$A$1001=A863)*Calc!$G$2:$G$1001*(((K863-(L863+Calc!$J$2:$J$1001))&gt;0)*((K863-(L863+Calc!$J$2:$J$1001))&lt;Calc!$F$2:$F$1001)*(K863-(L863+Calc!$J$2:$J$1001))+((K863-(L863+Calc!$J$2:$J$1001))&gt;=Calc!$F$2:$F$1001)*Calc!$F$2:$F$1001))))</f>
        <v/>
      </c>
      <c r="Q863">
        <f>IF(I863=0,0,(MIN(MAX((K863+M863),0),L863)*W863+SUMPRODUCT((Calc!$A$2:$A$1001=A863)*Calc!$G$2:$G$1001*((((K863+M863)-(L863+Calc!$J$2:$J$1001))&gt;0)*(((K863+M863)-(L863+Calc!$J$2:$J$1001))&lt;Calc!$F$2:$F$1001)*((K863+M863)-(L863+Calc!$J$2:$J$1001))+(((K863+M863)-(L863+Calc!$J$2:$J$1001))&gt;=Calc!$F$2:$F$1001)*Calc!$F$2:$F$1001))))</f>
        <v/>
      </c>
      <c r="R863">
        <f>IF(I863=0,0,(MIN(MAX((K863+N863),0),L863)*W863+SUMPRODUCT((Calc!$A$2:$A$1001=A863)*Calc!$G$2:$G$1001*((((K863+N863)-(L863+Calc!$J$2:$J$1001))&gt;0)*(((K863+N863)-(L863+Calc!$J$2:$J$1001))&lt;Calc!$F$2:$F$1001)*((K863+N863)-(L863+Calc!$J$2:$J$1001))+(((K863+N863)-(L863+Calc!$J$2:$J$1001))&gt;=Calc!$F$2:$F$1001)*Calc!$F$2:$F$1001))))</f>
        <v/>
      </c>
      <c r="S863">
        <f>IF(I863=0,0,(MIN(MAX((K863+O863),0),L863)*W863+SUMPRODUCT((Calc!$A$2:$A$1001=A863)*Calc!$G$2:$G$1001*((((K863+O863)-(L863+Calc!$J$2:$J$1001))&gt;0)*(((K863+O863)-(L863+Calc!$J$2:$J$1001))&lt;Calc!$F$2:$F$1001)*((K863+O863)-(L863+Calc!$J$2:$J$1001))+(((K863+O863)-(L863+Calc!$J$2:$J$1001))&gt;=Calc!$F$2:$F$1001)*Calc!$F$2:$F$1001))))</f>
        <v/>
      </c>
      <c r="T863">
        <f>IF(AND(E863=1,B863="RETURN"),Transactions!E863*Transactions!G863,0)</f>
        <v/>
      </c>
      <c r="U863">
        <f>IF(AND(E863=1,B863="EXPENSE"),Transactions!J863,0)</f>
        <v/>
      </c>
      <c r="V863">
        <f>IF(AND(Transactions!A863&lt;&gt;"",E863=0),ROW(),"")</f>
        <v/>
      </c>
      <c r="W863">
        <f>IFERROR(VLOOKUP(A863,Opening!$A:$D,4,0),0)</f>
        <v/>
      </c>
    </row>
    <row r="864">
      <c r="A864">
        <f>IF(Transactions!D864="","",UPPER(TRIM(Transactions!D864)))</f>
        <v/>
      </c>
      <c r="B864">
        <f>IF(Transactions!C864="","",UPPER(TRIM(Transactions!C864)))</f>
        <v/>
      </c>
      <c r="C864">
        <f>IF(Transactions!B864="",0,YEAR(Transactions!B864)*100+MONTH(Transactions!B864))</f>
        <v/>
      </c>
      <c r="D864">
        <f>IF(Transactions!A864="",1,IF(COUNTIF(Transactions!$A$1:A863,Transactions!A864)&gt;0,1,0))</f>
        <v/>
      </c>
      <c r="E864">
        <f>IF(D864=1,0,IF(B864="RETURN",IF(COUNTIFS($A$1:A863,A864,$B$1:B863,"SALE",$E$1:E863,1)&gt;0,1,0),1))</f>
        <v/>
      </c>
      <c r="F864">
        <f>IF(E864=1,IF(B864="RECEIPT",Transactions!E864,IF(AND(B864="RETURN",LOWER(TRIM(Transactions!H864))="resellable"),Transactions!E864,0)),0)</f>
        <v/>
      </c>
      <c r="G864">
        <f>IF(F864&gt;0,IF(B864="RECEIPT",Transactions!F864,IF(_xlfn.MAXIFS($H$2:H864,$A$2:A864,A864)&gt;0,INDEX(Transactions!$F:$F,_xlfn.MAXIFS($H$2:H864,$A$2:A864,A864)),W864)),0)</f>
        <v/>
      </c>
      <c r="H864">
        <f>IF(AND(E864=1,B864="RECEIPT"),ROW(),0)</f>
        <v/>
      </c>
      <c r="I864">
        <f>IF(E864=1,IF(OR(B864="SALE",B864="WRITEOFF"),Transactions!E864,0),0)</f>
        <v/>
      </c>
      <c r="J864">
        <f>SUMIFS($F$1:F863,$A$1:A863,A864)</f>
        <v/>
      </c>
      <c r="K864">
        <f>SUMIFS($I$1:I863,$A$1:A863,A864)</f>
        <v/>
      </c>
      <c r="L864">
        <f>IFERROR(VLOOKUP(A864,Opening!$A:$C,3,0),0)</f>
        <v/>
      </c>
      <c r="M864">
        <f>IF(I864=0,0,MAX(0,MIN(INDEX(Month!H$2:H$13,MATCH($A864,Month!$A$2:$A$13,0))-K864,I864)))</f>
        <v/>
      </c>
      <c r="N864">
        <f>IF(I864=0,0,MAX(0,MIN(INDEX(Month!I$2:I$13,MATCH($A864,Month!$A$2:$A$13,0))-K864,I864)))</f>
        <v/>
      </c>
      <c r="O864">
        <f>IF(I864=0,0,MAX(0,MIN(INDEX(Month!J$2:J$13,MATCH($A864,Month!$A$2:$A$13,0))-K864,I864)))</f>
        <v/>
      </c>
      <c r="P864">
        <f>IF(I864=0,0,(MIN(MAX(K864,0),L864)*W864+SUMPRODUCT((Calc!$A$2:$A$1001=A864)*Calc!$G$2:$G$1001*(((K864-(L864+Calc!$J$2:$J$1001))&gt;0)*((K864-(L864+Calc!$J$2:$J$1001))&lt;Calc!$F$2:$F$1001)*(K864-(L864+Calc!$J$2:$J$1001))+((K864-(L864+Calc!$J$2:$J$1001))&gt;=Calc!$F$2:$F$1001)*Calc!$F$2:$F$1001))))</f>
        <v/>
      </c>
      <c r="Q864">
        <f>IF(I864=0,0,(MIN(MAX((K864+M864),0),L864)*W864+SUMPRODUCT((Calc!$A$2:$A$1001=A864)*Calc!$G$2:$G$1001*((((K864+M864)-(L864+Calc!$J$2:$J$1001))&gt;0)*(((K864+M864)-(L864+Calc!$J$2:$J$1001))&lt;Calc!$F$2:$F$1001)*((K864+M864)-(L864+Calc!$J$2:$J$1001))+(((K864+M864)-(L864+Calc!$J$2:$J$1001))&gt;=Calc!$F$2:$F$1001)*Calc!$F$2:$F$1001))))</f>
        <v/>
      </c>
      <c r="R864">
        <f>IF(I864=0,0,(MIN(MAX((K864+N864),0),L864)*W864+SUMPRODUCT((Calc!$A$2:$A$1001=A864)*Calc!$G$2:$G$1001*((((K864+N864)-(L864+Calc!$J$2:$J$1001))&gt;0)*(((K864+N864)-(L864+Calc!$J$2:$J$1001))&lt;Calc!$F$2:$F$1001)*((K864+N864)-(L864+Calc!$J$2:$J$1001))+(((K864+N864)-(L864+Calc!$J$2:$J$1001))&gt;=Calc!$F$2:$F$1001)*Calc!$F$2:$F$1001))))</f>
        <v/>
      </c>
      <c r="S864">
        <f>IF(I864=0,0,(MIN(MAX((K864+O864),0),L864)*W864+SUMPRODUCT((Calc!$A$2:$A$1001=A864)*Calc!$G$2:$G$1001*((((K864+O864)-(L864+Calc!$J$2:$J$1001))&gt;0)*(((K864+O864)-(L864+Calc!$J$2:$J$1001))&lt;Calc!$F$2:$F$1001)*((K864+O864)-(L864+Calc!$J$2:$J$1001))+(((K864+O864)-(L864+Calc!$J$2:$J$1001))&gt;=Calc!$F$2:$F$1001)*Calc!$F$2:$F$1001))))</f>
        <v/>
      </c>
      <c r="T864">
        <f>IF(AND(E864=1,B864="RETURN"),Transactions!E864*Transactions!G864,0)</f>
        <v/>
      </c>
      <c r="U864">
        <f>IF(AND(E864=1,B864="EXPENSE"),Transactions!J864,0)</f>
        <v/>
      </c>
      <c r="V864">
        <f>IF(AND(Transactions!A864&lt;&gt;"",E864=0),ROW(),"")</f>
        <v/>
      </c>
      <c r="W864">
        <f>IFERROR(VLOOKUP(A864,Opening!$A:$D,4,0),0)</f>
        <v/>
      </c>
    </row>
    <row r="865">
      <c r="A865">
        <f>IF(Transactions!D865="","",UPPER(TRIM(Transactions!D865)))</f>
        <v/>
      </c>
      <c r="B865">
        <f>IF(Transactions!C865="","",UPPER(TRIM(Transactions!C865)))</f>
        <v/>
      </c>
      <c r="C865">
        <f>IF(Transactions!B865="",0,YEAR(Transactions!B865)*100+MONTH(Transactions!B865))</f>
        <v/>
      </c>
      <c r="D865">
        <f>IF(Transactions!A865="",1,IF(COUNTIF(Transactions!$A$1:A864,Transactions!A865)&gt;0,1,0))</f>
        <v/>
      </c>
      <c r="E865">
        <f>IF(D865=1,0,IF(B865="RETURN",IF(COUNTIFS($A$1:A864,A865,$B$1:B864,"SALE",$E$1:E864,1)&gt;0,1,0),1))</f>
        <v/>
      </c>
      <c r="F865">
        <f>IF(E865=1,IF(B865="RECEIPT",Transactions!E865,IF(AND(B865="RETURN",LOWER(TRIM(Transactions!H865))="resellable"),Transactions!E865,0)),0)</f>
        <v/>
      </c>
      <c r="G865">
        <f>IF(F865&gt;0,IF(B865="RECEIPT",Transactions!F865,IF(_xlfn.MAXIFS($H$2:H865,$A$2:A865,A865)&gt;0,INDEX(Transactions!$F:$F,_xlfn.MAXIFS($H$2:H865,$A$2:A865,A865)),W865)),0)</f>
        <v/>
      </c>
      <c r="H865">
        <f>IF(AND(E865=1,B865="RECEIPT"),ROW(),0)</f>
        <v/>
      </c>
      <c r="I865">
        <f>IF(E865=1,IF(OR(B865="SALE",B865="WRITEOFF"),Transactions!E865,0),0)</f>
        <v/>
      </c>
      <c r="J865">
        <f>SUMIFS($F$1:F864,$A$1:A864,A865)</f>
        <v/>
      </c>
      <c r="K865">
        <f>SUMIFS($I$1:I864,$A$1:A864,A865)</f>
        <v/>
      </c>
      <c r="L865">
        <f>IFERROR(VLOOKUP(A865,Opening!$A:$C,3,0),0)</f>
        <v/>
      </c>
      <c r="M865">
        <f>IF(I865=0,0,MAX(0,MIN(INDEX(Month!H$2:H$13,MATCH($A865,Month!$A$2:$A$13,0))-K865,I865)))</f>
        <v/>
      </c>
      <c r="N865">
        <f>IF(I865=0,0,MAX(0,MIN(INDEX(Month!I$2:I$13,MATCH($A865,Month!$A$2:$A$13,0))-K865,I865)))</f>
        <v/>
      </c>
      <c r="O865">
        <f>IF(I865=0,0,MAX(0,MIN(INDEX(Month!J$2:J$13,MATCH($A865,Month!$A$2:$A$13,0))-K865,I865)))</f>
        <v/>
      </c>
      <c r="P865">
        <f>IF(I865=0,0,(MIN(MAX(K865,0),L865)*W865+SUMPRODUCT((Calc!$A$2:$A$1001=A865)*Calc!$G$2:$G$1001*(((K865-(L865+Calc!$J$2:$J$1001))&gt;0)*((K865-(L865+Calc!$J$2:$J$1001))&lt;Calc!$F$2:$F$1001)*(K865-(L865+Calc!$J$2:$J$1001))+((K865-(L865+Calc!$J$2:$J$1001))&gt;=Calc!$F$2:$F$1001)*Calc!$F$2:$F$1001))))</f>
        <v/>
      </c>
      <c r="Q865">
        <f>IF(I865=0,0,(MIN(MAX((K865+M865),0),L865)*W865+SUMPRODUCT((Calc!$A$2:$A$1001=A865)*Calc!$G$2:$G$1001*((((K865+M865)-(L865+Calc!$J$2:$J$1001))&gt;0)*(((K865+M865)-(L865+Calc!$J$2:$J$1001))&lt;Calc!$F$2:$F$1001)*((K865+M865)-(L865+Calc!$J$2:$J$1001))+(((K865+M865)-(L865+Calc!$J$2:$J$1001))&gt;=Calc!$F$2:$F$1001)*Calc!$F$2:$F$1001))))</f>
        <v/>
      </c>
      <c r="R865">
        <f>IF(I865=0,0,(MIN(MAX((K865+N865),0),L865)*W865+SUMPRODUCT((Calc!$A$2:$A$1001=A865)*Calc!$G$2:$G$1001*((((K865+N865)-(L865+Calc!$J$2:$J$1001))&gt;0)*(((K865+N865)-(L865+Calc!$J$2:$J$1001))&lt;Calc!$F$2:$F$1001)*((K865+N865)-(L865+Calc!$J$2:$J$1001))+(((K865+N865)-(L865+Calc!$J$2:$J$1001))&gt;=Calc!$F$2:$F$1001)*Calc!$F$2:$F$1001))))</f>
        <v/>
      </c>
      <c r="S865">
        <f>IF(I865=0,0,(MIN(MAX((K865+O865),0),L865)*W865+SUMPRODUCT((Calc!$A$2:$A$1001=A865)*Calc!$G$2:$G$1001*((((K865+O865)-(L865+Calc!$J$2:$J$1001))&gt;0)*(((K865+O865)-(L865+Calc!$J$2:$J$1001))&lt;Calc!$F$2:$F$1001)*((K865+O865)-(L865+Calc!$J$2:$J$1001))+(((K865+O865)-(L865+Calc!$J$2:$J$1001))&gt;=Calc!$F$2:$F$1001)*Calc!$F$2:$F$1001))))</f>
        <v/>
      </c>
      <c r="T865">
        <f>IF(AND(E865=1,B865="RETURN"),Transactions!E865*Transactions!G865,0)</f>
        <v/>
      </c>
      <c r="U865">
        <f>IF(AND(E865=1,B865="EXPENSE"),Transactions!J865,0)</f>
        <v/>
      </c>
      <c r="V865">
        <f>IF(AND(Transactions!A865&lt;&gt;"",E865=0),ROW(),"")</f>
        <v/>
      </c>
      <c r="W865">
        <f>IFERROR(VLOOKUP(A865,Opening!$A:$D,4,0),0)</f>
        <v/>
      </c>
    </row>
    <row r="866">
      <c r="A866">
        <f>IF(Transactions!D866="","",UPPER(TRIM(Transactions!D866)))</f>
        <v/>
      </c>
      <c r="B866">
        <f>IF(Transactions!C866="","",UPPER(TRIM(Transactions!C866)))</f>
        <v/>
      </c>
      <c r="C866">
        <f>IF(Transactions!B866="",0,YEAR(Transactions!B866)*100+MONTH(Transactions!B866))</f>
        <v/>
      </c>
      <c r="D866">
        <f>IF(Transactions!A866="",1,IF(COUNTIF(Transactions!$A$1:A865,Transactions!A866)&gt;0,1,0))</f>
        <v/>
      </c>
      <c r="E866">
        <f>IF(D866=1,0,IF(B866="RETURN",IF(COUNTIFS($A$1:A865,A866,$B$1:B865,"SALE",$E$1:E865,1)&gt;0,1,0),1))</f>
        <v/>
      </c>
      <c r="F866">
        <f>IF(E866=1,IF(B866="RECEIPT",Transactions!E866,IF(AND(B866="RETURN",LOWER(TRIM(Transactions!H866))="resellable"),Transactions!E866,0)),0)</f>
        <v/>
      </c>
      <c r="G866">
        <f>IF(F866&gt;0,IF(B866="RECEIPT",Transactions!F866,IF(_xlfn.MAXIFS($H$2:H866,$A$2:A866,A866)&gt;0,INDEX(Transactions!$F:$F,_xlfn.MAXIFS($H$2:H866,$A$2:A866,A866)),W866)),0)</f>
        <v/>
      </c>
      <c r="H866">
        <f>IF(AND(E866=1,B866="RECEIPT"),ROW(),0)</f>
        <v/>
      </c>
      <c r="I866">
        <f>IF(E866=1,IF(OR(B866="SALE",B866="WRITEOFF"),Transactions!E866,0),0)</f>
        <v/>
      </c>
      <c r="J866">
        <f>SUMIFS($F$1:F865,$A$1:A865,A866)</f>
        <v/>
      </c>
      <c r="K866">
        <f>SUMIFS($I$1:I865,$A$1:A865,A866)</f>
        <v/>
      </c>
      <c r="L866">
        <f>IFERROR(VLOOKUP(A866,Opening!$A:$C,3,0),0)</f>
        <v/>
      </c>
      <c r="M866">
        <f>IF(I866=0,0,MAX(0,MIN(INDEX(Month!H$2:H$13,MATCH($A866,Month!$A$2:$A$13,0))-K866,I866)))</f>
        <v/>
      </c>
      <c r="N866">
        <f>IF(I866=0,0,MAX(0,MIN(INDEX(Month!I$2:I$13,MATCH($A866,Month!$A$2:$A$13,0))-K866,I866)))</f>
        <v/>
      </c>
      <c r="O866">
        <f>IF(I866=0,0,MAX(0,MIN(INDEX(Month!J$2:J$13,MATCH($A866,Month!$A$2:$A$13,0))-K866,I866)))</f>
        <v/>
      </c>
      <c r="P866">
        <f>IF(I866=0,0,(MIN(MAX(K866,0),L866)*W866+SUMPRODUCT((Calc!$A$2:$A$1001=A866)*Calc!$G$2:$G$1001*(((K866-(L866+Calc!$J$2:$J$1001))&gt;0)*((K866-(L866+Calc!$J$2:$J$1001))&lt;Calc!$F$2:$F$1001)*(K866-(L866+Calc!$J$2:$J$1001))+((K866-(L866+Calc!$J$2:$J$1001))&gt;=Calc!$F$2:$F$1001)*Calc!$F$2:$F$1001))))</f>
        <v/>
      </c>
      <c r="Q866">
        <f>IF(I866=0,0,(MIN(MAX((K866+M866),0),L866)*W866+SUMPRODUCT((Calc!$A$2:$A$1001=A866)*Calc!$G$2:$G$1001*((((K866+M866)-(L866+Calc!$J$2:$J$1001))&gt;0)*(((K866+M866)-(L866+Calc!$J$2:$J$1001))&lt;Calc!$F$2:$F$1001)*((K866+M866)-(L866+Calc!$J$2:$J$1001))+(((K866+M866)-(L866+Calc!$J$2:$J$1001))&gt;=Calc!$F$2:$F$1001)*Calc!$F$2:$F$1001))))</f>
        <v/>
      </c>
      <c r="R866">
        <f>IF(I866=0,0,(MIN(MAX((K866+N866),0),L866)*W866+SUMPRODUCT((Calc!$A$2:$A$1001=A866)*Calc!$G$2:$G$1001*((((K866+N866)-(L866+Calc!$J$2:$J$1001))&gt;0)*(((K866+N866)-(L866+Calc!$J$2:$J$1001))&lt;Calc!$F$2:$F$1001)*((K866+N866)-(L866+Calc!$J$2:$J$1001))+(((K866+N866)-(L866+Calc!$J$2:$J$1001))&gt;=Calc!$F$2:$F$1001)*Calc!$F$2:$F$1001))))</f>
        <v/>
      </c>
      <c r="S866">
        <f>IF(I866=0,0,(MIN(MAX((K866+O866),0),L866)*W866+SUMPRODUCT((Calc!$A$2:$A$1001=A866)*Calc!$G$2:$G$1001*((((K866+O866)-(L866+Calc!$J$2:$J$1001))&gt;0)*(((K866+O866)-(L866+Calc!$J$2:$J$1001))&lt;Calc!$F$2:$F$1001)*((K866+O866)-(L866+Calc!$J$2:$J$1001))+(((K866+O866)-(L866+Calc!$J$2:$J$1001))&gt;=Calc!$F$2:$F$1001)*Calc!$F$2:$F$1001))))</f>
        <v/>
      </c>
      <c r="T866">
        <f>IF(AND(E866=1,B866="RETURN"),Transactions!E866*Transactions!G866,0)</f>
        <v/>
      </c>
      <c r="U866">
        <f>IF(AND(E866=1,B866="EXPENSE"),Transactions!J866,0)</f>
        <v/>
      </c>
      <c r="V866">
        <f>IF(AND(Transactions!A866&lt;&gt;"",E866=0),ROW(),"")</f>
        <v/>
      </c>
      <c r="W866">
        <f>IFERROR(VLOOKUP(A866,Opening!$A:$D,4,0),0)</f>
        <v/>
      </c>
    </row>
    <row r="867">
      <c r="A867">
        <f>IF(Transactions!D867="","",UPPER(TRIM(Transactions!D867)))</f>
        <v/>
      </c>
      <c r="B867">
        <f>IF(Transactions!C867="","",UPPER(TRIM(Transactions!C867)))</f>
        <v/>
      </c>
      <c r="C867">
        <f>IF(Transactions!B867="",0,YEAR(Transactions!B867)*100+MONTH(Transactions!B867))</f>
        <v/>
      </c>
      <c r="D867">
        <f>IF(Transactions!A867="",1,IF(COUNTIF(Transactions!$A$1:A866,Transactions!A867)&gt;0,1,0))</f>
        <v/>
      </c>
      <c r="E867">
        <f>IF(D867=1,0,IF(B867="RETURN",IF(COUNTIFS($A$1:A866,A867,$B$1:B866,"SALE",$E$1:E866,1)&gt;0,1,0),1))</f>
        <v/>
      </c>
      <c r="F867">
        <f>IF(E867=1,IF(B867="RECEIPT",Transactions!E867,IF(AND(B867="RETURN",LOWER(TRIM(Transactions!H867))="resellable"),Transactions!E867,0)),0)</f>
        <v/>
      </c>
      <c r="G867">
        <f>IF(F867&gt;0,IF(B867="RECEIPT",Transactions!F867,IF(_xlfn.MAXIFS($H$2:H867,$A$2:A867,A867)&gt;0,INDEX(Transactions!$F:$F,_xlfn.MAXIFS($H$2:H867,$A$2:A867,A867)),W867)),0)</f>
        <v/>
      </c>
      <c r="H867">
        <f>IF(AND(E867=1,B867="RECEIPT"),ROW(),0)</f>
        <v/>
      </c>
      <c r="I867">
        <f>IF(E867=1,IF(OR(B867="SALE",B867="WRITEOFF"),Transactions!E867,0),0)</f>
        <v/>
      </c>
      <c r="J867">
        <f>SUMIFS($F$1:F866,$A$1:A866,A867)</f>
        <v/>
      </c>
      <c r="K867">
        <f>SUMIFS($I$1:I866,$A$1:A866,A867)</f>
        <v/>
      </c>
      <c r="L867">
        <f>IFERROR(VLOOKUP(A867,Opening!$A:$C,3,0),0)</f>
        <v/>
      </c>
      <c r="M867">
        <f>IF(I867=0,0,MAX(0,MIN(INDEX(Month!H$2:H$13,MATCH($A867,Month!$A$2:$A$13,0))-K867,I867)))</f>
        <v/>
      </c>
      <c r="N867">
        <f>IF(I867=0,0,MAX(0,MIN(INDEX(Month!I$2:I$13,MATCH($A867,Month!$A$2:$A$13,0))-K867,I867)))</f>
        <v/>
      </c>
      <c r="O867">
        <f>IF(I867=0,0,MAX(0,MIN(INDEX(Month!J$2:J$13,MATCH($A867,Month!$A$2:$A$13,0))-K867,I867)))</f>
        <v/>
      </c>
      <c r="P867">
        <f>IF(I867=0,0,(MIN(MAX(K867,0),L867)*W867+SUMPRODUCT((Calc!$A$2:$A$1001=A867)*Calc!$G$2:$G$1001*(((K867-(L867+Calc!$J$2:$J$1001))&gt;0)*((K867-(L867+Calc!$J$2:$J$1001))&lt;Calc!$F$2:$F$1001)*(K867-(L867+Calc!$J$2:$J$1001))+((K867-(L867+Calc!$J$2:$J$1001))&gt;=Calc!$F$2:$F$1001)*Calc!$F$2:$F$1001))))</f>
        <v/>
      </c>
      <c r="Q867">
        <f>IF(I867=0,0,(MIN(MAX((K867+M867),0),L867)*W867+SUMPRODUCT((Calc!$A$2:$A$1001=A867)*Calc!$G$2:$G$1001*((((K867+M867)-(L867+Calc!$J$2:$J$1001))&gt;0)*(((K867+M867)-(L867+Calc!$J$2:$J$1001))&lt;Calc!$F$2:$F$1001)*((K867+M867)-(L867+Calc!$J$2:$J$1001))+(((K867+M867)-(L867+Calc!$J$2:$J$1001))&gt;=Calc!$F$2:$F$1001)*Calc!$F$2:$F$1001))))</f>
        <v/>
      </c>
      <c r="R867">
        <f>IF(I867=0,0,(MIN(MAX((K867+N867),0),L867)*W867+SUMPRODUCT((Calc!$A$2:$A$1001=A867)*Calc!$G$2:$G$1001*((((K867+N867)-(L867+Calc!$J$2:$J$1001))&gt;0)*(((K867+N867)-(L867+Calc!$J$2:$J$1001))&lt;Calc!$F$2:$F$1001)*((K867+N867)-(L867+Calc!$J$2:$J$1001))+(((K867+N867)-(L867+Calc!$J$2:$J$1001))&gt;=Calc!$F$2:$F$1001)*Calc!$F$2:$F$1001))))</f>
        <v/>
      </c>
      <c r="S867">
        <f>IF(I867=0,0,(MIN(MAX((K867+O867),0),L867)*W867+SUMPRODUCT((Calc!$A$2:$A$1001=A867)*Calc!$G$2:$G$1001*((((K867+O867)-(L867+Calc!$J$2:$J$1001))&gt;0)*(((K867+O867)-(L867+Calc!$J$2:$J$1001))&lt;Calc!$F$2:$F$1001)*((K867+O867)-(L867+Calc!$J$2:$J$1001))+(((K867+O867)-(L867+Calc!$J$2:$J$1001))&gt;=Calc!$F$2:$F$1001)*Calc!$F$2:$F$1001))))</f>
        <v/>
      </c>
      <c r="T867">
        <f>IF(AND(E867=1,B867="RETURN"),Transactions!E867*Transactions!G867,0)</f>
        <v/>
      </c>
      <c r="U867">
        <f>IF(AND(E867=1,B867="EXPENSE"),Transactions!J867,0)</f>
        <v/>
      </c>
      <c r="V867">
        <f>IF(AND(Transactions!A867&lt;&gt;"",E867=0),ROW(),"")</f>
        <v/>
      </c>
      <c r="W867">
        <f>IFERROR(VLOOKUP(A867,Opening!$A:$D,4,0),0)</f>
        <v/>
      </c>
    </row>
    <row r="868">
      <c r="A868">
        <f>IF(Transactions!D868="","",UPPER(TRIM(Transactions!D868)))</f>
        <v/>
      </c>
      <c r="B868">
        <f>IF(Transactions!C868="","",UPPER(TRIM(Transactions!C868)))</f>
        <v/>
      </c>
      <c r="C868">
        <f>IF(Transactions!B868="",0,YEAR(Transactions!B868)*100+MONTH(Transactions!B868))</f>
        <v/>
      </c>
      <c r="D868">
        <f>IF(Transactions!A868="",1,IF(COUNTIF(Transactions!$A$1:A867,Transactions!A868)&gt;0,1,0))</f>
        <v/>
      </c>
      <c r="E868">
        <f>IF(D868=1,0,IF(B868="RETURN",IF(COUNTIFS($A$1:A867,A868,$B$1:B867,"SALE",$E$1:E867,1)&gt;0,1,0),1))</f>
        <v/>
      </c>
      <c r="F868">
        <f>IF(E868=1,IF(B868="RECEIPT",Transactions!E868,IF(AND(B868="RETURN",LOWER(TRIM(Transactions!H868))="resellable"),Transactions!E868,0)),0)</f>
        <v/>
      </c>
      <c r="G868">
        <f>IF(F868&gt;0,IF(B868="RECEIPT",Transactions!F868,IF(_xlfn.MAXIFS($H$2:H868,$A$2:A868,A868)&gt;0,INDEX(Transactions!$F:$F,_xlfn.MAXIFS($H$2:H868,$A$2:A868,A868)),W868)),0)</f>
        <v/>
      </c>
      <c r="H868">
        <f>IF(AND(E868=1,B868="RECEIPT"),ROW(),0)</f>
        <v/>
      </c>
      <c r="I868">
        <f>IF(E868=1,IF(OR(B868="SALE",B868="WRITEOFF"),Transactions!E868,0),0)</f>
        <v/>
      </c>
      <c r="J868">
        <f>SUMIFS($F$1:F867,$A$1:A867,A868)</f>
        <v/>
      </c>
      <c r="K868">
        <f>SUMIFS($I$1:I867,$A$1:A867,A868)</f>
        <v/>
      </c>
      <c r="L868">
        <f>IFERROR(VLOOKUP(A868,Opening!$A:$C,3,0),0)</f>
        <v/>
      </c>
      <c r="M868">
        <f>IF(I868=0,0,MAX(0,MIN(INDEX(Month!H$2:H$13,MATCH($A868,Month!$A$2:$A$13,0))-K868,I868)))</f>
        <v/>
      </c>
      <c r="N868">
        <f>IF(I868=0,0,MAX(0,MIN(INDEX(Month!I$2:I$13,MATCH($A868,Month!$A$2:$A$13,0))-K868,I868)))</f>
        <v/>
      </c>
      <c r="O868">
        <f>IF(I868=0,0,MAX(0,MIN(INDEX(Month!J$2:J$13,MATCH($A868,Month!$A$2:$A$13,0))-K868,I868)))</f>
        <v/>
      </c>
      <c r="P868">
        <f>IF(I868=0,0,(MIN(MAX(K868,0),L868)*W868+SUMPRODUCT((Calc!$A$2:$A$1001=A868)*Calc!$G$2:$G$1001*(((K868-(L868+Calc!$J$2:$J$1001))&gt;0)*((K868-(L868+Calc!$J$2:$J$1001))&lt;Calc!$F$2:$F$1001)*(K868-(L868+Calc!$J$2:$J$1001))+((K868-(L868+Calc!$J$2:$J$1001))&gt;=Calc!$F$2:$F$1001)*Calc!$F$2:$F$1001))))</f>
        <v/>
      </c>
      <c r="Q868">
        <f>IF(I868=0,0,(MIN(MAX((K868+M868),0),L868)*W868+SUMPRODUCT((Calc!$A$2:$A$1001=A868)*Calc!$G$2:$G$1001*((((K868+M868)-(L868+Calc!$J$2:$J$1001))&gt;0)*(((K868+M868)-(L868+Calc!$J$2:$J$1001))&lt;Calc!$F$2:$F$1001)*((K868+M868)-(L868+Calc!$J$2:$J$1001))+(((K868+M868)-(L868+Calc!$J$2:$J$1001))&gt;=Calc!$F$2:$F$1001)*Calc!$F$2:$F$1001))))</f>
        <v/>
      </c>
      <c r="R868">
        <f>IF(I868=0,0,(MIN(MAX((K868+N868),0),L868)*W868+SUMPRODUCT((Calc!$A$2:$A$1001=A868)*Calc!$G$2:$G$1001*((((K868+N868)-(L868+Calc!$J$2:$J$1001))&gt;0)*(((K868+N868)-(L868+Calc!$J$2:$J$1001))&lt;Calc!$F$2:$F$1001)*((K868+N868)-(L868+Calc!$J$2:$J$1001))+(((K868+N868)-(L868+Calc!$J$2:$J$1001))&gt;=Calc!$F$2:$F$1001)*Calc!$F$2:$F$1001))))</f>
        <v/>
      </c>
      <c r="S868">
        <f>IF(I868=0,0,(MIN(MAX((K868+O868),0),L868)*W868+SUMPRODUCT((Calc!$A$2:$A$1001=A868)*Calc!$G$2:$G$1001*((((K868+O868)-(L868+Calc!$J$2:$J$1001))&gt;0)*(((K868+O868)-(L868+Calc!$J$2:$J$1001))&lt;Calc!$F$2:$F$1001)*((K868+O868)-(L868+Calc!$J$2:$J$1001))+(((K868+O868)-(L868+Calc!$J$2:$J$1001))&gt;=Calc!$F$2:$F$1001)*Calc!$F$2:$F$1001))))</f>
        <v/>
      </c>
      <c r="T868">
        <f>IF(AND(E868=1,B868="RETURN"),Transactions!E868*Transactions!G868,0)</f>
        <v/>
      </c>
      <c r="U868">
        <f>IF(AND(E868=1,B868="EXPENSE"),Transactions!J868,0)</f>
        <v/>
      </c>
      <c r="V868">
        <f>IF(AND(Transactions!A868&lt;&gt;"",E868=0),ROW(),"")</f>
        <v/>
      </c>
      <c r="W868">
        <f>IFERROR(VLOOKUP(A868,Opening!$A:$D,4,0),0)</f>
        <v/>
      </c>
    </row>
    <row r="869">
      <c r="A869">
        <f>IF(Transactions!D869="","",UPPER(TRIM(Transactions!D869)))</f>
        <v/>
      </c>
      <c r="B869">
        <f>IF(Transactions!C869="","",UPPER(TRIM(Transactions!C869)))</f>
        <v/>
      </c>
      <c r="C869">
        <f>IF(Transactions!B869="",0,YEAR(Transactions!B869)*100+MONTH(Transactions!B869))</f>
        <v/>
      </c>
      <c r="D869">
        <f>IF(Transactions!A869="",1,IF(COUNTIF(Transactions!$A$1:A868,Transactions!A869)&gt;0,1,0))</f>
        <v/>
      </c>
      <c r="E869">
        <f>IF(D869=1,0,IF(B869="RETURN",IF(COUNTIFS($A$1:A868,A869,$B$1:B868,"SALE",$E$1:E868,1)&gt;0,1,0),1))</f>
        <v/>
      </c>
      <c r="F869">
        <f>IF(E869=1,IF(B869="RECEIPT",Transactions!E869,IF(AND(B869="RETURN",LOWER(TRIM(Transactions!H869))="resellable"),Transactions!E869,0)),0)</f>
        <v/>
      </c>
      <c r="G869">
        <f>IF(F869&gt;0,IF(B869="RECEIPT",Transactions!F869,IF(_xlfn.MAXIFS($H$2:H869,$A$2:A869,A869)&gt;0,INDEX(Transactions!$F:$F,_xlfn.MAXIFS($H$2:H869,$A$2:A869,A869)),W869)),0)</f>
        <v/>
      </c>
      <c r="H869">
        <f>IF(AND(E869=1,B869="RECEIPT"),ROW(),0)</f>
        <v/>
      </c>
      <c r="I869">
        <f>IF(E869=1,IF(OR(B869="SALE",B869="WRITEOFF"),Transactions!E869,0),0)</f>
        <v/>
      </c>
      <c r="J869">
        <f>SUMIFS($F$1:F868,$A$1:A868,A869)</f>
        <v/>
      </c>
      <c r="K869">
        <f>SUMIFS($I$1:I868,$A$1:A868,A869)</f>
        <v/>
      </c>
      <c r="L869">
        <f>IFERROR(VLOOKUP(A869,Opening!$A:$C,3,0),0)</f>
        <v/>
      </c>
      <c r="M869">
        <f>IF(I869=0,0,MAX(0,MIN(INDEX(Month!H$2:H$13,MATCH($A869,Month!$A$2:$A$13,0))-K869,I869)))</f>
        <v/>
      </c>
      <c r="N869">
        <f>IF(I869=0,0,MAX(0,MIN(INDEX(Month!I$2:I$13,MATCH($A869,Month!$A$2:$A$13,0))-K869,I869)))</f>
        <v/>
      </c>
      <c r="O869">
        <f>IF(I869=0,0,MAX(0,MIN(INDEX(Month!J$2:J$13,MATCH($A869,Month!$A$2:$A$13,0))-K869,I869)))</f>
        <v/>
      </c>
      <c r="P869">
        <f>IF(I869=0,0,(MIN(MAX(K869,0),L869)*W869+SUMPRODUCT((Calc!$A$2:$A$1001=A869)*Calc!$G$2:$G$1001*(((K869-(L869+Calc!$J$2:$J$1001))&gt;0)*((K869-(L869+Calc!$J$2:$J$1001))&lt;Calc!$F$2:$F$1001)*(K869-(L869+Calc!$J$2:$J$1001))+((K869-(L869+Calc!$J$2:$J$1001))&gt;=Calc!$F$2:$F$1001)*Calc!$F$2:$F$1001))))</f>
        <v/>
      </c>
      <c r="Q869">
        <f>IF(I869=0,0,(MIN(MAX((K869+M869),0),L869)*W869+SUMPRODUCT((Calc!$A$2:$A$1001=A869)*Calc!$G$2:$G$1001*((((K869+M869)-(L869+Calc!$J$2:$J$1001))&gt;0)*(((K869+M869)-(L869+Calc!$J$2:$J$1001))&lt;Calc!$F$2:$F$1001)*((K869+M869)-(L869+Calc!$J$2:$J$1001))+(((K869+M869)-(L869+Calc!$J$2:$J$1001))&gt;=Calc!$F$2:$F$1001)*Calc!$F$2:$F$1001))))</f>
        <v/>
      </c>
      <c r="R869">
        <f>IF(I869=0,0,(MIN(MAX((K869+N869),0),L869)*W869+SUMPRODUCT((Calc!$A$2:$A$1001=A869)*Calc!$G$2:$G$1001*((((K869+N869)-(L869+Calc!$J$2:$J$1001))&gt;0)*(((K869+N869)-(L869+Calc!$J$2:$J$1001))&lt;Calc!$F$2:$F$1001)*((K869+N869)-(L869+Calc!$J$2:$J$1001))+(((K869+N869)-(L869+Calc!$J$2:$J$1001))&gt;=Calc!$F$2:$F$1001)*Calc!$F$2:$F$1001))))</f>
        <v/>
      </c>
      <c r="S869">
        <f>IF(I869=0,0,(MIN(MAX((K869+O869),0),L869)*W869+SUMPRODUCT((Calc!$A$2:$A$1001=A869)*Calc!$G$2:$G$1001*((((K869+O869)-(L869+Calc!$J$2:$J$1001))&gt;0)*(((K869+O869)-(L869+Calc!$J$2:$J$1001))&lt;Calc!$F$2:$F$1001)*((K869+O869)-(L869+Calc!$J$2:$J$1001))+(((K869+O869)-(L869+Calc!$J$2:$J$1001))&gt;=Calc!$F$2:$F$1001)*Calc!$F$2:$F$1001))))</f>
        <v/>
      </c>
      <c r="T869">
        <f>IF(AND(E869=1,B869="RETURN"),Transactions!E869*Transactions!G869,0)</f>
        <v/>
      </c>
      <c r="U869">
        <f>IF(AND(E869=1,B869="EXPENSE"),Transactions!J869,0)</f>
        <v/>
      </c>
      <c r="V869">
        <f>IF(AND(Transactions!A869&lt;&gt;"",E869=0),ROW(),"")</f>
        <v/>
      </c>
      <c r="W869">
        <f>IFERROR(VLOOKUP(A869,Opening!$A:$D,4,0),0)</f>
        <v/>
      </c>
    </row>
    <row r="870">
      <c r="A870">
        <f>IF(Transactions!D870="","",UPPER(TRIM(Transactions!D870)))</f>
        <v/>
      </c>
      <c r="B870">
        <f>IF(Transactions!C870="","",UPPER(TRIM(Transactions!C870)))</f>
        <v/>
      </c>
      <c r="C870">
        <f>IF(Transactions!B870="",0,YEAR(Transactions!B870)*100+MONTH(Transactions!B870))</f>
        <v/>
      </c>
      <c r="D870">
        <f>IF(Transactions!A870="",1,IF(COUNTIF(Transactions!$A$1:A869,Transactions!A870)&gt;0,1,0))</f>
        <v/>
      </c>
      <c r="E870">
        <f>IF(D870=1,0,IF(B870="RETURN",IF(COUNTIFS($A$1:A869,A870,$B$1:B869,"SALE",$E$1:E869,1)&gt;0,1,0),1))</f>
        <v/>
      </c>
      <c r="F870">
        <f>IF(E870=1,IF(B870="RECEIPT",Transactions!E870,IF(AND(B870="RETURN",LOWER(TRIM(Transactions!H870))="resellable"),Transactions!E870,0)),0)</f>
        <v/>
      </c>
      <c r="G870">
        <f>IF(F870&gt;0,IF(B870="RECEIPT",Transactions!F870,IF(_xlfn.MAXIFS($H$2:H870,$A$2:A870,A870)&gt;0,INDEX(Transactions!$F:$F,_xlfn.MAXIFS($H$2:H870,$A$2:A870,A870)),W870)),0)</f>
        <v/>
      </c>
      <c r="H870">
        <f>IF(AND(E870=1,B870="RECEIPT"),ROW(),0)</f>
        <v/>
      </c>
      <c r="I870">
        <f>IF(E870=1,IF(OR(B870="SALE",B870="WRITEOFF"),Transactions!E870,0),0)</f>
        <v/>
      </c>
      <c r="J870">
        <f>SUMIFS($F$1:F869,$A$1:A869,A870)</f>
        <v/>
      </c>
      <c r="K870">
        <f>SUMIFS($I$1:I869,$A$1:A869,A870)</f>
        <v/>
      </c>
      <c r="L870">
        <f>IFERROR(VLOOKUP(A870,Opening!$A:$C,3,0),0)</f>
        <v/>
      </c>
      <c r="M870">
        <f>IF(I870=0,0,MAX(0,MIN(INDEX(Month!H$2:H$13,MATCH($A870,Month!$A$2:$A$13,0))-K870,I870)))</f>
        <v/>
      </c>
      <c r="N870">
        <f>IF(I870=0,0,MAX(0,MIN(INDEX(Month!I$2:I$13,MATCH($A870,Month!$A$2:$A$13,0))-K870,I870)))</f>
        <v/>
      </c>
      <c r="O870">
        <f>IF(I870=0,0,MAX(0,MIN(INDEX(Month!J$2:J$13,MATCH($A870,Month!$A$2:$A$13,0))-K870,I870)))</f>
        <v/>
      </c>
      <c r="P870">
        <f>IF(I870=0,0,(MIN(MAX(K870,0),L870)*W870+SUMPRODUCT((Calc!$A$2:$A$1001=A870)*Calc!$G$2:$G$1001*(((K870-(L870+Calc!$J$2:$J$1001))&gt;0)*((K870-(L870+Calc!$J$2:$J$1001))&lt;Calc!$F$2:$F$1001)*(K870-(L870+Calc!$J$2:$J$1001))+((K870-(L870+Calc!$J$2:$J$1001))&gt;=Calc!$F$2:$F$1001)*Calc!$F$2:$F$1001))))</f>
        <v/>
      </c>
      <c r="Q870">
        <f>IF(I870=0,0,(MIN(MAX((K870+M870),0),L870)*W870+SUMPRODUCT((Calc!$A$2:$A$1001=A870)*Calc!$G$2:$G$1001*((((K870+M870)-(L870+Calc!$J$2:$J$1001))&gt;0)*(((K870+M870)-(L870+Calc!$J$2:$J$1001))&lt;Calc!$F$2:$F$1001)*((K870+M870)-(L870+Calc!$J$2:$J$1001))+(((K870+M870)-(L870+Calc!$J$2:$J$1001))&gt;=Calc!$F$2:$F$1001)*Calc!$F$2:$F$1001))))</f>
        <v/>
      </c>
      <c r="R870">
        <f>IF(I870=0,0,(MIN(MAX((K870+N870),0),L870)*W870+SUMPRODUCT((Calc!$A$2:$A$1001=A870)*Calc!$G$2:$G$1001*((((K870+N870)-(L870+Calc!$J$2:$J$1001))&gt;0)*(((K870+N870)-(L870+Calc!$J$2:$J$1001))&lt;Calc!$F$2:$F$1001)*((K870+N870)-(L870+Calc!$J$2:$J$1001))+(((K870+N870)-(L870+Calc!$J$2:$J$1001))&gt;=Calc!$F$2:$F$1001)*Calc!$F$2:$F$1001))))</f>
        <v/>
      </c>
      <c r="S870">
        <f>IF(I870=0,0,(MIN(MAX((K870+O870),0),L870)*W870+SUMPRODUCT((Calc!$A$2:$A$1001=A870)*Calc!$G$2:$G$1001*((((K870+O870)-(L870+Calc!$J$2:$J$1001))&gt;0)*(((K870+O870)-(L870+Calc!$J$2:$J$1001))&lt;Calc!$F$2:$F$1001)*((K870+O870)-(L870+Calc!$J$2:$J$1001))+(((K870+O870)-(L870+Calc!$J$2:$J$1001))&gt;=Calc!$F$2:$F$1001)*Calc!$F$2:$F$1001))))</f>
        <v/>
      </c>
      <c r="T870">
        <f>IF(AND(E870=1,B870="RETURN"),Transactions!E870*Transactions!G870,0)</f>
        <v/>
      </c>
      <c r="U870">
        <f>IF(AND(E870=1,B870="EXPENSE"),Transactions!J870,0)</f>
        <v/>
      </c>
      <c r="V870">
        <f>IF(AND(Transactions!A870&lt;&gt;"",E870=0),ROW(),"")</f>
        <v/>
      </c>
      <c r="W870">
        <f>IFERROR(VLOOKUP(A870,Opening!$A:$D,4,0),0)</f>
        <v/>
      </c>
    </row>
    <row r="871">
      <c r="A871">
        <f>IF(Transactions!D871="","",UPPER(TRIM(Transactions!D871)))</f>
        <v/>
      </c>
      <c r="B871">
        <f>IF(Transactions!C871="","",UPPER(TRIM(Transactions!C871)))</f>
        <v/>
      </c>
      <c r="C871">
        <f>IF(Transactions!B871="",0,YEAR(Transactions!B871)*100+MONTH(Transactions!B871))</f>
        <v/>
      </c>
      <c r="D871">
        <f>IF(Transactions!A871="",1,IF(COUNTIF(Transactions!$A$1:A870,Transactions!A871)&gt;0,1,0))</f>
        <v/>
      </c>
      <c r="E871">
        <f>IF(D871=1,0,IF(B871="RETURN",IF(COUNTIFS($A$1:A870,A871,$B$1:B870,"SALE",$E$1:E870,1)&gt;0,1,0),1))</f>
        <v/>
      </c>
      <c r="F871">
        <f>IF(E871=1,IF(B871="RECEIPT",Transactions!E871,IF(AND(B871="RETURN",LOWER(TRIM(Transactions!H871))="resellable"),Transactions!E871,0)),0)</f>
        <v/>
      </c>
      <c r="G871">
        <f>IF(F871&gt;0,IF(B871="RECEIPT",Transactions!F871,IF(_xlfn.MAXIFS($H$2:H871,$A$2:A871,A871)&gt;0,INDEX(Transactions!$F:$F,_xlfn.MAXIFS($H$2:H871,$A$2:A871,A871)),W871)),0)</f>
        <v/>
      </c>
      <c r="H871">
        <f>IF(AND(E871=1,B871="RECEIPT"),ROW(),0)</f>
        <v/>
      </c>
      <c r="I871">
        <f>IF(E871=1,IF(OR(B871="SALE",B871="WRITEOFF"),Transactions!E871,0),0)</f>
        <v/>
      </c>
      <c r="J871">
        <f>SUMIFS($F$1:F870,$A$1:A870,A871)</f>
        <v/>
      </c>
      <c r="K871">
        <f>SUMIFS($I$1:I870,$A$1:A870,A871)</f>
        <v/>
      </c>
      <c r="L871">
        <f>IFERROR(VLOOKUP(A871,Opening!$A:$C,3,0),0)</f>
        <v/>
      </c>
      <c r="M871">
        <f>IF(I871=0,0,MAX(0,MIN(INDEX(Month!H$2:H$13,MATCH($A871,Month!$A$2:$A$13,0))-K871,I871)))</f>
        <v/>
      </c>
      <c r="N871">
        <f>IF(I871=0,0,MAX(0,MIN(INDEX(Month!I$2:I$13,MATCH($A871,Month!$A$2:$A$13,0))-K871,I871)))</f>
        <v/>
      </c>
      <c r="O871">
        <f>IF(I871=0,0,MAX(0,MIN(INDEX(Month!J$2:J$13,MATCH($A871,Month!$A$2:$A$13,0))-K871,I871)))</f>
        <v/>
      </c>
      <c r="P871">
        <f>IF(I871=0,0,(MIN(MAX(K871,0),L871)*W871+SUMPRODUCT((Calc!$A$2:$A$1001=A871)*Calc!$G$2:$G$1001*(((K871-(L871+Calc!$J$2:$J$1001))&gt;0)*((K871-(L871+Calc!$J$2:$J$1001))&lt;Calc!$F$2:$F$1001)*(K871-(L871+Calc!$J$2:$J$1001))+((K871-(L871+Calc!$J$2:$J$1001))&gt;=Calc!$F$2:$F$1001)*Calc!$F$2:$F$1001))))</f>
        <v/>
      </c>
      <c r="Q871">
        <f>IF(I871=0,0,(MIN(MAX((K871+M871),0),L871)*W871+SUMPRODUCT((Calc!$A$2:$A$1001=A871)*Calc!$G$2:$G$1001*((((K871+M871)-(L871+Calc!$J$2:$J$1001))&gt;0)*(((K871+M871)-(L871+Calc!$J$2:$J$1001))&lt;Calc!$F$2:$F$1001)*((K871+M871)-(L871+Calc!$J$2:$J$1001))+(((K871+M871)-(L871+Calc!$J$2:$J$1001))&gt;=Calc!$F$2:$F$1001)*Calc!$F$2:$F$1001))))</f>
        <v/>
      </c>
      <c r="R871">
        <f>IF(I871=0,0,(MIN(MAX((K871+N871),0),L871)*W871+SUMPRODUCT((Calc!$A$2:$A$1001=A871)*Calc!$G$2:$G$1001*((((K871+N871)-(L871+Calc!$J$2:$J$1001))&gt;0)*(((K871+N871)-(L871+Calc!$J$2:$J$1001))&lt;Calc!$F$2:$F$1001)*((K871+N871)-(L871+Calc!$J$2:$J$1001))+(((K871+N871)-(L871+Calc!$J$2:$J$1001))&gt;=Calc!$F$2:$F$1001)*Calc!$F$2:$F$1001))))</f>
        <v/>
      </c>
      <c r="S871">
        <f>IF(I871=0,0,(MIN(MAX((K871+O871),0),L871)*W871+SUMPRODUCT((Calc!$A$2:$A$1001=A871)*Calc!$G$2:$G$1001*((((K871+O871)-(L871+Calc!$J$2:$J$1001))&gt;0)*(((K871+O871)-(L871+Calc!$J$2:$J$1001))&lt;Calc!$F$2:$F$1001)*((K871+O871)-(L871+Calc!$J$2:$J$1001))+(((K871+O871)-(L871+Calc!$J$2:$J$1001))&gt;=Calc!$F$2:$F$1001)*Calc!$F$2:$F$1001))))</f>
        <v/>
      </c>
      <c r="T871">
        <f>IF(AND(E871=1,B871="RETURN"),Transactions!E871*Transactions!G871,0)</f>
        <v/>
      </c>
      <c r="U871">
        <f>IF(AND(E871=1,B871="EXPENSE"),Transactions!J871,0)</f>
        <v/>
      </c>
      <c r="V871">
        <f>IF(AND(Transactions!A871&lt;&gt;"",E871=0),ROW(),"")</f>
        <v/>
      </c>
      <c r="W871">
        <f>IFERROR(VLOOKUP(A871,Opening!$A:$D,4,0),0)</f>
        <v/>
      </c>
    </row>
    <row r="872">
      <c r="A872">
        <f>IF(Transactions!D872="","",UPPER(TRIM(Transactions!D872)))</f>
        <v/>
      </c>
      <c r="B872">
        <f>IF(Transactions!C872="","",UPPER(TRIM(Transactions!C872)))</f>
        <v/>
      </c>
      <c r="C872">
        <f>IF(Transactions!B872="",0,YEAR(Transactions!B872)*100+MONTH(Transactions!B872))</f>
        <v/>
      </c>
      <c r="D872">
        <f>IF(Transactions!A872="",1,IF(COUNTIF(Transactions!$A$1:A871,Transactions!A872)&gt;0,1,0))</f>
        <v/>
      </c>
      <c r="E872">
        <f>IF(D872=1,0,IF(B872="RETURN",IF(COUNTIFS($A$1:A871,A872,$B$1:B871,"SALE",$E$1:E871,1)&gt;0,1,0),1))</f>
        <v/>
      </c>
      <c r="F872">
        <f>IF(E872=1,IF(B872="RECEIPT",Transactions!E872,IF(AND(B872="RETURN",LOWER(TRIM(Transactions!H872))="resellable"),Transactions!E872,0)),0)</f>
        <v/>
      </c>
      <c r="G872">
        <f>IF(F872&gt;0,IF(B872="RECEIPT",Transactions!F872,IF(_xlfn.MAXIFS($H$2:H872,$A$2:A872,A872)&gt;0,INDEX(Transactions!$F:$F,_xlfn.MAXIFS($H$2:H872,$A$2:A872,A872)),W872)),0)</f>
        <v/>
      </c>
      <c r="H872">
        <f>IF(AND(E872=1,B872="RECEIPT"),ROW(),0)</f>
        <v/>
      </c>
      <c r="I872">
        <f>IF(E872=1,IF(OR(B872="SALE",B872="WRITEOFF"),Transactions!E872,0),0)</f>
        <v/>
      </c>
      <c r="J872">
        <f>SUMIFS($F$1:F871,$A$1:A871,A872)</f>
        <v/>
      </c>
      <c r="K872">
        <f>SUMIFS($I$1:I871,$A$1:A871,A872)</f>
        <v/>
      </c>
      <c r="L872">
        <f>IFERROR(VLOOKUP(A872,Opening!$A:$C,3,0),0)</f>
        <v/>
      </c>
      <c r="M872">
        <f>IF(I872=0,0,MAX(0,MIN(INDEX(Month!H$2:H$13,MATCH($A872,Month!$A$2:$A$13,0))-K872,I872)))</f>
        <v/>
      </c>
      <c r="N872">
        <f>IF(I872=0,0,MAX(0,MIN(INDEX(Month!I$2:I$13,MATCH($A872,Month!$A$2:$A$13,0))-K872,I872)))</f>
        <v/>
      </c>
      <c r="O872">
        <f>IF(I872=0,0,MAX(0,MIN(INDEX(Month!J$2:J$13,MATCH($A872,Month!$A$2:$A$13,0))-K872,I872)))</f>
        <v/>
      </c>
      <c r="P872">
        <f>IF(I872=0,0,(MIN(MAX(K872,0),L872)*W872+SUMPRODUCT((Calc!$A$2:$A$1001=A872)*Calc!$G$2:$G$1001*(((K872-(L872+Calc!$J$2:$J$1001))&gt;0)*((K872-(L872+Calc!$J$2:$J$1001))&lt;Calc!$F$2:$F$1001)*(K872-(L872+Calc!$J$2:$J$1001))+((K872-(L872+Calc!$J$2:$J$1001))&gt;=Calc!$F$2:$F$1001)*Calc!$F$2:$F$1001))))</f>
        <v/>
      </c>
      <c r="Q872">
        <f>IF(I872=0,0,(MIN(MAX((K872+M872),0),L872)*W872+SUMPRODUCT((Calc!$A$2:$A$1001=A872)*Calc!$G$2:$G$1001*((((K872+M872)-(L872+Calc!$J$2:$J$1001))&gt;0)*(((K872+M872)-(L872+Calc!$J$2:$J$1001))&lt;Calc!$F$2:$F$1001)*((K872+M872)-(L872+Calc!$J$2:$J$1001))+(((K872+M872)-(L872+Calc!$J$2:$J$1001))&gt;=Calc!$F$2:$F$1001)*Calc!$F$2:$F$1001))))</f>
        <v/>
      </c>
      <c r="R872">
        <f>IF(I872=0,0,(MIN(MAX((K872+N872),0),L872)*W872+SUMPRODUCT((Calc!$A$2:$A$1001=A872)*Calc!$G$2:$G$1001*((((K872+N872)-(L872+Calc!$J$2:$J$1001))&gt;0)*(((K872+N872)-(L872+Calc!$J$2:$J$1001))&lt;Calc!$F$2:$F$1001)*((K872+N872)-(L872+Calc!$J$2:$J$1001))+(((K872+N872)-(L872+Calc!$J$2:$J$1001))&gt;=Calc!$F$2:$F$1001)*Calc!$F$2:$F$1001))))</f>
        <v/>
      </c>
      <c r="S872">
        <f>IF(I872=0,0,(MIN(MAX((K872+O872),0),L872)*W872+SUMPRODUCT((Calc!$A$2:$A$1001=A872)*Calc!$G$2:$G$1001*((((K872+O872)-(L872+Calc!$J$2:$J$1001))&gt;0)*(((K872+O872)-(L872+Calc!$J$2:$J$1001))&lt;Calc!$F$2:$F$1001)*((K872+O872)-(L872+Calc!$J$2:$J$1001))+(((K872+O872)-(L872+Calc!$J$2:$J$1001))&gt;=Calc!$F$2:$F$1001)*Calc!$F$2:$F$1001))))</f>
        <v/>
      </c>
      <c r="T872">
        <f>IF(AND(E872=1,B872="RETURN"),Transactions!E872*Transactions!G872,0)</f>
        <v/>
      </c>
      <c r="U872">
        <f>IF(AND(E872=1,B872="EXPENSE"),Transactions!J872,0)</f>
        <v/>
      </c>
      <c r="V872">
        <f>IF(AND(Transactions!A872&lt;&gt;"",E872=0),ROW(),"")</f>
        <v/>
      </c>
      <c r="W872">
        <f>IFERROR(VLOOKUP(A872,Opening!$A:$D,4,0),0)</f>
        <v/>
      </c>
    </row>
    <row r="873">
      <c r="A873">
        <f>IF(Transactions!D873="","",UPPER(TRIM(Transactions!D873)))</f>
        <v/>
      </c>
      <c r="B873">
        <f>IF(Transactions!C873="","",UPPER(TRIM(Transactions!C873)))</f>
        <v/>
      </c>
      <c r="C873">
        <f>IF(Transactions!B873="",0,YEAR(Transactions!B873)*100+MONTH(Transactions!B873))</f>
        <v/>
      </c>
      <c r="D873">
        <f>IF(Transactions!A873="",1,IF(COUNTIF(Transactions!$A$1:A872,Transactions!A873)&gt;0,1,0))</f>
        <v/>
      </c>
      <c r="E873">
        <f>IF(D873=1,0,IF(B873="RETURN",IF(COUNTIFS($A$1:A872,A873,$B$1:B872,"SALE",$E$1:E872,1)&gt;0,1,0),1))</f>
        <v/>
      </c>
      <c r="F873">
        <f>IF(E873=1,IF(B873="RECEIPT",Transactions!E873,IF(AND(B873="RETURN",LOWER(TRIM(Transactions!H873))="resellable"),Transactions!E873,0)),0)</f>
        <v/>
      </c>
      <c r="G873">
        <f>IF(F873&gt;0,IF(B873="RECEIPT",Transactions!F873,IF(_xlfn.MAXIFS($H$2:H873,$A$2:A873,A873)&gt;0,INDEX(Transactions!$F:$F,_xlfn.MAXIFS($H$2:H873,$A$2:A873,A873)),W873)),0)</f>
        <v/>
      </c>
      <c r="H873">
        <f>IF(AND(E873=1,B873="RECEIPT"),ROW(),0)</f>
        <v/>
      </c>
      <c r="I873">
        <f>IF(E873=1,IF(OR(B873="SALE",B873="WRITEOFF"),Transactions!E873,0),0)</f>
        <v/>
      </c>
      <c r="J873">
        <f>SUMIFS($F$1:F872,$A$1:A872,A873)</f>
        <v/>
      </c>
      <c r="K873">
        <f>SUMIFS($I$1:I872,$A$1:A872,A873)</f>
        <v/>
      </c>
      <c r="L873">
        <f>IFERROR(VLOOKUP(A873,Opening!$A:$C,3,0),0)</f>
        <v/>
      </c>
      <c r="M873">
        <f>IF(I873=0,0,MAX(0,MIN(INDEX(Month!H$2:H$13,MATCH($A873,Month!$A$2:$A$13,0))-K873,I873)))</f>
        <v/>
      </c>
      <c r="N873">
        <f>IF(I873=0,0,MAX(0,MIN(INDEX(Month!I$2:I$13,MATCH($A873,Month!$A$2:$A$13,0))-K873,I873)))</f>
        <v/>
      </c>
      <c r="O873">
        <f>IF(I873=0,0,MAX(0,MIN(INDEX(Month!J$2:J$13,MATCH($A873,Month!$A$2:$A$13,0))-K873,I873)))</f>
        <v/>
      </c>
      <c r="P873">
        <f>IF(I873=0,0,(MIN(MAX(K873,0),L873)*W873+SUMPRODUCT((Calc!$A$2:$A$1001=A873)*Calc!$G$2:$G$1001*(((K873-(L873+Calc!$J$2:$J$1001))&gt;0)*((K873-(L873+Calc!$J$2:$J$1001))&lt;Calc!$F$2:$F$1001)*(K873-(L873+Calc!$J$2:$J$1001))+((K873-(L873+Calc!$J$2:$J$1001))&gt;=Calc!$F$2:$F$1001)*Calc!$F$2:$F$1001))))</f>
        <v/>
      </c>
      <c r="Q873">
        <f>IF(I873=0,0,(MIN(MAX((K873+M873),0),L873)*W873+SUMPRODUCT((Calc!$A$2:$A$1001=A873)*Calc!$G$2:$G$1001*((((K873+M873)-(L873+Calc!$J$2:$J$1001))&gt;0)*(((K873+M873)-(L873+Calc!$J$2:$J$1001))&lt;Calc!$F$2:$F$1001)*((K873+M873)-(L873+Calc!$J$2:$J$1001))+(((K873+M873)-(L873+Calc!$J$2:$J$1001))&gt;=Calc!$F$2:$F$1001)*Calc!$F$2:$F$1001))))</f>
        <v/>
      </c>
      <c r="R873">
        <f>IF(I873=0,0,(MIN(MAX((K873+N873),0),L873)*W873+SUMPRODUCT((Calc!$A$2:$A$1001=A873)*Calc!$G$2:$G$1001*((((K873+N873)-(L873+Calc!$J$2:$J$1001))&gt;0)*(((K873+N873)-(L873+Calc!$J$2:$J$1001))&lt;Calc!$F$2:$F$1001)*((K873+N873)-(L873+Calc!$J$2:$J$1001))+(((K873+N873)-(L873+Calc!$J$2:$J$1001))&gt;=Calc!$F$2:$F$1001)*Calc!$F$2:$F$1001))))</f>
        <v/>
      </c>
      <c r="S873">
        <f>IF(I873=0,0,(MIN(MAX((K873+O873),0),L873)*W873+SUMPRODUCT((Calc!$A$2:$A$1001=A873)*Calc!$G$2:$G$1001*((((K873+O873)-(L873+Calc!$J$2:$J$1001))&gt;0)*(((K873+O873)-(L873+Calc!$J$2:$J$1001))&lt;Calc!$F$2:$F$1001)*((K873+O873)-(L873+Calc!$J$2:$J$1001))+(((K873+O873)-(L873+Calc!$J$2:$J$1001))&gt;=Calc!$F$2:$F$1001)*Calc!$F$2:$F$1001))))</f>
        <v/>
      </c>
      <c r="T873">
        <f>IF(AND(E873=1,B873="RETURN"),Transactions!E873*Transactions!G873,0)</f>
        <v/>
      </c>
      <c r="U873">
        <f>IF(AND(E873=1,B873="EXPENSE"),Transactions!J873,0)</f>
        <v/>
      </c>
      <c r="V873">
        <f>IF(AND(Transactions!A873&lt;&gt;"",E873=0),ROW(),"")</f>
        <v/>
      </c>
      <c r="W873">
        <f>IFERROR(VLOOKUP(A873,Opening!$A:$D,4,0),0)</f>
        <v/>
      </c>
    </row>
    <row r="874">
      <c r="A874">
        <f>IF(Transactions!D874="","",UPPER(TRIM(Transactions!D874)))</f>
        <v/>
      </c>
      <c r="B874">
        <f>IF(Transactions!C874="","",UPPER(TRIM(Transactions!C874)))</f>
        <v/>
      </c>
      <c r="C874">
        <f>IF(Transactions!B874="",0,YEAR(Transactions!B874)*100+MONTH(Transactions!B874))</f>
        <v/>
      </c>
      <c r="D874">
        <f>IF(Transactions!A874="",1,IF(COUNTIF(Transactions!$A$1:A873,Transactions!A874)&gt;0,1,0))</f>
        <v/>
      </c>
      <c r="E874">
        <f>IF(D874=1,0,IF(B874="RETURN",IF(COUNTIFS($A$1:A873,A874,$B$1:B873,"SALE",$E$1:E873,1)&gt;0,1,0),1))</f>
        <v/>
      </c>
      <c r="F874">
        <f>IF(E874=1,IF(B874="RECEIPT",Transactions!E874,IF(AND(B874="RETURN",LOWER(TRIM(Transactions!H874))="resellable"),Transactions!E874,0)),0)</f>
        <v/>
      </c>
      <c r="G874">
        <f>IF(F874&gt;0,IF(B874="RECEIPT",Transactions!F874,IF(_xlfn.MAXIFS($H$2:H874,$A$2:A874,A874)&gt;0,INDEX(Transactions!$F:$F,_xlfn.MAXIFS($H$2:H874,$A$2:A874,A874)),W874)),0)</f>
        <v/>
      </c>
      <c r="H874">
        <f>IF(AND(E874=1,B874="RECEIPT"),ROW(),0)</f>
        <v/>
      </c>
      <c r="I874">
        <f>IF(E874=1,IF(OR(B874="SALE",B874="WRITEOFF"),Transactions!E874,0),0)</f>
        <v/>
      </c>
      <c r="J874">
        <f>SUMIFS($F$1:F873,$A$1:A873,A874)</f>
        <v/>
      </c>
      <c r="K874">
        <f>SUMIFS($I$1:I873,$A$1:A873,A874)</f>
        <v/>
      </c>
      <c r="L874">
        <f>IFERROR(VLOOKUP(A874,Opening!$A:$C,3,0),0)</f>
        <v/>
      </c>
      <c r="M874">
        <f>IF(I874=0,0,MAX(0,MIN(INDEX(Month!H$2:H$13,MATCH($A874,Month!$A$2:$A$13,0))-K874,I874)))</f>
        <v/>
      </c>
      <c r="N874">
        <f>IF(I874=0,0,MAX(0,MIN(INDEX(Month!I$2:I$13,MATCH($A874,Month!$A$2:$A$13,0))-K874,I874)))</f>
        <v/>
      </c>
      <c r="O874">
        <f>IF(I874=0,0,MAX(0,MIN(INDEX(Month!J$2:J$13,MATCH($A874,Month!$A$2:$A$13,0))-K874,I874)))</f>
        <v/>
      </c>
      <c r="P874">
        <f>IF(I874=0,0,(MIN(MAX(K874,0),L874)*W874+SUMPRODUCT((Calc!$A$2:$A$1001=A874)*Calc!$G$2:$G$1001*(((K874-(L874+Calc!$J$2:$J$1001))&gt;0)*((K874-(L874+Calc!$J$2:$J$1001))&lt;Calc!$F$2:$F$1001)*(K874-(L874+Calc!$J$2:$J$1001))+((K874-(L874+Calc!$J$2:$J$1001))&gt;=Calc!$F$2:$F$1001)*Calc!$F$2:$F$1001))))</f>
        <v/>
      </c>
      <c r="Q874">
        <f>IF(I874=0,0,(MIN(MAX((K874+M874),0),L874)*W874+SUMPRODUCT((Calc!$A$2:$A$1001=A874)*Calc!$G$2:$G$1001*((((K874+M874)-(L874+Calc!$J$2:$J$1001))&gt;0)*(((K874+M874)-(L874+Calc!$J$2:$J$1001))&lt;Calc!$F$2:$F$1001)*((K874+M874)-(L874+Calc!$J$2:$J$1001))+(((K874+M874)-(L874+Calc!$J$2:$J$1001))&gt;=Calc!$F$2:$F$1001)*Calc!$F$2:$F$1001))))</f>
        <v/>
      </c>
      <c r="R874">
        <f>IF(I874=0,0,(MIN(MAX((K874+N874),0),L874)*W874+SUMPRODUCT((Calc!$A$2:$A$1001=A874)*Calc!$G$2:$G$1001*((((K874+N874)-(L874+Calc!$J$2:$J$1001))&gt;0)*(((K874+N874)-(L874+Calc!$J$2:$J$1001))&lt;Calc!$F$2:$F$1001)*((K874+N874)-(L874+Calc!$J$2:$J$1001))+(((K874+N874)-(L874+Calc!$J$2:$J$1001))&gt;=Calc!$F$2:$F$1001)*Calc!$F$2:$F$1001))))</f>
        <v/>
      </c>
      <c r="S874">
        <f>IF(I874=0,0,(MIN(MAX((K874+O874),0),L874)*W874+SUMPRODUCT((Calc!$A$2:$A$1001=A874)*Calc!$G$2:$G$1001*((((K874+O874)-(L874+Calc!$J$2:$J$1001))&gt;0)*(((K874+O874)-(L874+Calc!$J$2:$J$1001))&lt;Calc!$F$2:$F$1001)*((K874+O874)-(L874+Calc!$J$2:$J$1001))+(((K874+O874)-(L874+Calc!$J$2:$J$1001))&gt;=Calc!$F$2:$F$1001)*Calc!$F$2:$F$1001))))</f>
        <v/>
      </c>
      <c r="T874">
        <f>IF(AND(E874=1,B874="RETURN"),Transactions!E874*Transactions!G874,0)</f>
        <v/>
      </c>
      <c r="U874">
        <f>IF(AND(E874=1,B874="EXPENSE"),Transactions!J874,0)</f>
        <v/>
      </c>
      <c r="V874">
        <f>IF(AND(Transactions!A874&lt;&gt;"",E874=0),ROW(),"")</f>
        <v/>
      </c>
      <c r="W874">
        <f>IFERROR(VLOOKUP(A874,Opening!$A:$D,4,0),0)</f>
        <v/>
      </c>
    </row>
    <row r="875">
      <c r="A875">
        <f>IF(Transactions!D875="","",UPPER(TRIM(Transactions!D875)))</f>
        <v/>
      </c>
      <c r="B875">
        <f>IF(Transactions!C875="","",UPPER(TRIM(Transactions!C875)))</f>
        <v/>
      </c>
      <c r="C875">
        <f>IF(Transactions!B875="",0,YEAR(Transactions!B875)*100+MONTH(Transactions!B875))</f>
        <v/>
      </c>
      <c r="D875">
        <f>IF(Transactions!A875="",1,IF(COUNTIF(Transactions!$A$1:A874,Transactions!A875)&gt;0,1,0))</f>
        <v/>
      </c>
      <c r="E875">
        <f>IF(D875=1,0,IF(B875="RETURN",IF(COUNTIFS($A$1:A874,A875,$B$1:B874,"SALE",$E$1:E874,1)&gt;0,1,0),1))</f>
        <v/>
      </c>
      <c r="F875">
        <f>IF(E875=1,IF(B875="RECEIPT",Transactions!E875,IF(AND(B875="RETURN",LOWER(TRIM(Transactions!H875))="resellable"),Transactions!E875,0)),0)</f>
        <v/>
      </c>
      <c r="G875">
        <f>IF(F875&gt;0,IF(B875="RECEIPT",Transactions!F875,IF(_xlfn.MAXIFS($H$2:H875,$A$2:A875,A875)&gt;0,INDEX(Transactions!$F:$F,_xlfn.MAXIFS($H$2:H875,$A$2:A875,A875)),W875)),0)</f>
        <v/>
      </c>
      <c r="H875">
        <f>IF(AND(E875=1,B875="RECEIPT"),ROW(),0)</f>
        <v/>
      </c>
      <c r="I875">
        <f>IF(E875=1,IF(OR(B875="SALE",B875="WRITEOFF"),Transactions!E875,0),0)</f>
        <v/>
      </c>
      <c r="J875">
        <f>SUMIFS($F$1:F874,$A$1:A874,A875)</f>
        <v/>
      </c>
      <c r="K875">
        <f>SUMIFS($I$1:I874,$A$1:A874,A875)</f>
        <v/>
      </c>
      <c r="L875">
        <f>IFERROR(VLOOKUP(A875,Opening!$A:$C,3,0),0)</f>
        <v/>
      </c>
      <c r="M875">
        <f>IF(I875=0,0,MAX(0,MIN(INDEX(Month!H$2:H$13,MATCH($A875,Month!$A$2:$A$13,0))-K875,I875)))</f>
        <v/>
      </c>
      <c r="N875">
        <f>IF(I875=0,0,MAX(0,MIN(INDEX(Month!I$2:I$13,MATCH($A875,Month!$A$2:$A$13,0))-K875,I875)))</f>
        <v/>
      </c>
      <c r="O875">
        <f>IF(I875=0,0,MAX(0,MIN(INDEX(Month!J$2:J$13,MATCH($A875,Month!$A$2:$A$13,0))-K875,I875)))</f>
        <v/>
      </c>
      <c r="P875">
        <f>IF(I875=0,0,(MIN(MAX(K875,0),L875)*W875+SUMPRODUCT((Calc!$A$2:$A$1001=A875)*Calc!$G$2:$G$1001*(((K875-(L875+Calc!$J$2:$J$1001))&gt;0)*((K875-(L875+Calc!$J$2:$J$1001))&lt;Calc!$F$2:$F$1001)*(K875-(L875+Calc!$J$2:$J$1001))+((K875-(L875+Calc!$J$2:$J$1001))&gt;=Calc!$F$2:$F$1001)*Calc!$F$2:$F$1001))))</f>
        <v/>
      </c>
      <c r="Q875">
        <f>IF(I875=0,0,(MIN(MAX((K875+M875),0),L875)*W875+SUMPRODUCT((Calc!$A$2:$A$1001=A875)*Calc!$G$2:$G$1001*((((K875+M875)-(L875+Calc!$J$2:$J$1001))&gt;0)*(((K875+M875)-(L875+Calc!$J$2:$J$1001))&lt;Calc!$F$2:$F$1001)*((K875+M875)-(L875+Calc!$J$2:$J$1001))+(((K875+M875)-(L875+Calc!$J$2:$J$1001))&gt;=Calc!$F$2:$F$1001)*Calc!$F$2:$F$1001))))</f>
        <v/>
      </c>
      <c r="R875">
        <f>IF(I875=0,0,(MIN(MAX((K875+N875),0),L875)*W875+SUMPRODUCT((Calc!$A$2:$A$1001=A875)*Calc!$G$2:$G$1001*((((K875+N875)-(L875+Calc!$J$2:$J$1001))&gt;0)*(((K875+N875)-(L875+Calc!$J$2:$J$1001))&lt;Calc!$F$2:$F$1001)*((K875+N875)-(L875+Calc!$J$2:$J$1001))+(((K875+N875)-(L875+Calc!$J$2:$J$1001))&gt;=Calc!$F$2:$F$1001)*Calc!$F$2:$F$1001))))</f>
        <v/>
      </c>
      <c r="S875">
        <f>IF(I875=0,0,(MIN(MAX((K875+O875),0),L875)*W875+SUMPRODUCT((Calc!$A$2:$A$1001=A875)*Calc!$G$2:$G$1001*((((K875+O875)-(L875+Calc!$J$2:$J$1001))&gt;0)*(((K875+O875)-(L875+Calc!$J$2:$J$1001))&lt;Calc!$F$2:$F$1001)*((K875+O875)-(L875+Calc!$J$2:$J$1001))+(((K875+O875)-(L875+Calc!$J$2:$J$1001))&gt;=Calc!$F$2:$F$1001)*Calc!$F$2:$F$1001))))</f>
        <v/>
      </c>
      <c r="T875">
        <f>IF(AND(E875=1,B875="RETURN"),Transactions!E875*Transactions!G875,0)</f>
        <v/>
      </c>
      <c r="U875">
        <f>IF(AND(E875=1,B875="EXPENSE"),Transactions!J875,0)</f>
        <v/>
      </c>
      <c r="V875">
        <f>IF(AND(Transactions!A875&lt;&gt;"",E875=0),ROW(),"")</f>
        <v/>
      </c>
      <c r="W875">
        <f>IFERROR(VLOOKUP(A875,Opening!$A:$D,4,0),0)</f>
        <v/>
      </c>
    </row>
    <row r="876">
      <c r="A876">
        <f>IF(Transactions!D876="","",UPPER(TRIM(Transactions!D876)))</f>
        <v/>
      </c>
      <c r="B876">
        <f>IF(Transactions!C876="","",UPPER(TRIM(Transactions!C876)))</f>
        <v/>
      </c>
      <c r="C876">
        <f>IF(Transactions!B876="",0,YEAR(Transactions!B876)*100+MONTH(Transactions!B876))</f>
        <v/>
      </c>
      <c r="D876">
        <f>IF(Transactions!A876="",1,IF(COUNTIF(Transactions!$A$1:A875,Transactions!A876)&gt;0,1,0))</f>
        <v/>
      </c>
      <c r="E876">
        <f>IF(D876=1,0,IF(B876="RETURN",IF(COUNTIFS($A$1:A875,A876,$B$1:B875,"SALE",$E$1:E875,1)&gt;0,1,0),1))</f>
        <v/>
      </c>
      <c r="F876">
        <f>IF(E876=1,IF(B876="RECEIPT",Transactions!E876,IF(AND(B876="RETURN",LOWER(TRIM(Transactions!H876))="resellable"),Transactions!E876,0)),0)</f>
        <v/>
      </c>
      <c r="G876">
        <f>IF(F876&gt;0,IF(B876="RECEIPT",Transactions!F876,IF(_xlfn.MAXIFS($H$2:H876,$A$2:A876,A876)&gt;0,INDEX(Transactions!$F:$F,_xlfn.MAXIFS($H$2:H876,$A$2:A876,A876)),W876)),0)</f>
        <v/>
      </c>
      <c r="H876">
        <f>IF(AND(E876=1,B876="RECEIPT"),ROW(),0)</f>
        <v/>
      </c>
      <c r="I876">
        <f>IF(E876=1,IF(OR(B876="SALE",B876="WRITEOFF"),Transactions!E876,0),0)</f>
        <v/>
      </c>
      <c r="J876">
        <f>SUMIFS($F$1:F875,$A$1:A875,A876)</f>
        <v/>
      </c>
      <c r="K876">
        <f>SUMIFS($I$1:I875,$A$1:A875,A876)</f>
        <v/>
      </c>
      <c r="L876">
        <f>IFERROR(VLOOKUP(A876,Opening!$A:$C,3,0),0)</f>
        <v/>
      </c>
      <c r="M876">
        <f>IF(I876=0,0,MAX(0,MIN(INDEX(Month!H$2:H$13,MATCH($A876,Month!$A$2:$A$13,0))-K876,I876)))</f>
        <v/>
      </c>
      <c r="N876">
        <f>IF(I876=0,0,MAX(0,MIN(INDEX(Month!I$2:I$13,MATCH($A876,Month!$A$2:$A$13,0))-K876,I876)))</f>
        <v/>
      </c>
      <c r="O876">
        <f>IF(I876=0,0,MAX(0,MIN(INDEX(Month!J$2:J$13,MATCH($A876,Month!$A$2:$A$13,0))-K876,I876)))</f>
        <v/>
      </c>
      <c r="P876">
        <f>IF(I876=0,0,(MIN(MAX(K876,0),L876)*W876+SUMPRODUCT((Calc!$A$2:$A$1001=A876)*Calc!$G$2:$G$1001*(((K876-(L876+Calc!$J$2:$J$1001))&gt;0)*((K876-(L876+Calc!$J$2:$J$1001))&lt;Calc!$F$2:$F$1001)*(K876-(L876+Calc!$J$2:$J$1001))+((K876-(L876+Calc!$J$2:$J$1001))&gt;=Calc!$F$2:$F$1001)*Calc!$F$2:$F$1001))))</f>
        <v/>
      </c>
      <c r="Q876">
        <f>IF(I876=0,0,(MIN(MAX((K876+M876),0),L876)*W876+SUMPRODUCT((Calc!$A$2:$A$1001=A876)*Calc!$G$2:$G$1001*((((K876+M876)-(L876+Calc!$J$2:$J$1001))&gt;0)*(((K876+M876)-(L876+Calc!$J$2:$J$1001))&lt;Calc!$F$2:$F$1001)*((K876+M876)-(L876+Calc!$J$2:$J$1001))+(((K876+M876)-(L876+Calc!$J$2:$J$1001))&gt;=Calc!$F$2:$F$1001)*Calc!$F$2:$F$1001))))</f>
        <v/>
      </c>
      <c r="R876">
        <f>IF(I876=0,0,(MIN(MAX((K876+N876),0),L876)*W876+SUMPRODUCT((Calc!$A$2:$A$1001=A876)*Calc!$G$2:$G$1001*((((K876+N876)-(L876+Calc!$J$2:$J$1001))&gt;0)*(((K876+N876)-(L876+Calc!$J$2:$J$1001))&lt;Calc!$F$2:$F$1001)*((K876+N876)-(L876+Calc!$J$2:$J$1001))+(((K876+N876)-(L876+Calc!$J$2:$J$1001))&gt;=Calc!$F$2:$F$1001)*Calc!$F$2:$F$1001))))</f>
        <v/>
      </c>
      <c r="S876">
        <f>IF(I876=0,0,(MIN(MAX((K876+O876),0),L876)*W876+SUMPRODUCT((Calc!$A$2:$A$1001=A876)*Calc!$G$2:$G$1001*((((K876+O876)-(L876+Calc!$J$2:$J$1001))&gt;0)*(((K876+O876)-(L876+Calc!$J$2:$J$1001))&lt;Calc!$F$2:$F$1001)*((K876+O876)-(L876+Calc!$J$2:$J$1001))+(((K876+O876)-(L876+Calc!$J$2:$J$1001))&gt;=Calc!$F$2:$F$1001)*Calc!$F$2:$F$1001))))</f>
        <v/>
      </c>
      <c r="T876">
        <f>IF(AND(E876=1,B876="RETURN"),Transactions!E876*Transactions!G876,0)</f>
        <v/>
      </c>
      <c r="U876">
        <f>IF(AND(E876=1,B876="EXPENSE"),Transactions!J876,0)</f>
        <v/>
      </c>
      <c r="V876">
        <f>IF(AND(Transactions!A876&lt;&gt;"",E876=0),ROW(),"")</f>
        <v/>
      </c>
      <c r="W876">
        <f>IFERROR(VLOOKUP(A876,Opening!$A:$D,4,0),0)</f>
        <v/>
      </c>
    </row>
    <row r="877">
      <c r="A877">
        <f>IF(Transactions!D877="","",UPPER(TRIM(Transactions!D877)))</f>
        <v/>
      </c>
      <c r="B877">
        <f>IF(Transactions!C877="","",UPPER(TRIM(Transactions!C877)))</f>
        <v/>
      </c>
      <c r="C877">
        <f>IF(Transactions!B877="",0,YEAR(Transactions!B877)*100+MONTH(Transactions!B877))</f>
        <v/>
      </c>
      <c r="D877">
        <f>IF(Transactions!A877="",1,IF(COUNTIF(Transactions!$A$1:A876,Transactions!A877)&gt;0,1,0))</f>
        <v/>
      </c>
      <c r="E877">
        <f>IF(D877=1,0,IF(B877="RETURN",IF(COUNTIFS($A$1:A876,A877,$B$1:B876,"SALE",$E$1:E876,1)&gt;0,1,0),1))</f>
        <v/>
      </c>
      <c r="F877">
        <f>IF(E877=1,IF(B877="RECEIPT",Transactions!E877,IF(AND(B877="RETURN",LOWER(TRIM(Transactions!H877))="resellable"),Transactions!E877,0)),0)</f>
        <v/>
      </c>
      <c r="G877">
        <f>IF(F877&gt;0,IF(B877="RECEIPT",Transactions!F877,IF(_xlfn.MAXIFS($H$2:H877,$A$2:A877,A877)&gt;0,INDEX(Transactions!$F:$F,_xlfn.MAXIFS($H$2:H877,$A$2:A877,A877)),W877)),0)</f>
        <v/>
      </c>
      <c r="H877">
        <f>IF(AND(E877=1,B877="RECEIPT"),ROW(),0)</f>
        <v/>
      </c>
      <c r="I877">
        <f>IF(E877=1,IF(OR(B877="SALE",B877="WRITEOFF"),Transactions!E877,0),0)</f>
        <v/>
      </c>
      <c r="J877">
        <f>SUMIFS($F$1:F876,$A$1:A876,A877)</f>
        <v/>
      </c>
      <c r="K877">
        <f>SUMIFS($I$1:I876,$A$1:A876,A877)</f>
        <v/>
      </c>
      <c r="L877">
        <f>IFERROR(VLOOKUP(A877,Opening!$A:$C,3,0),0)</f>
        <v/>
      </c>
      <c r="M877">
        <f>IF(I877=0,0,MAX(0,MIN(INDEX(Month!H$2:H$13,MATCH($A877,Month!$A$2:$A$13,0))-K877,I877)))</f>
        <v/>
      </c>
      <c r="N877">
        <f>IF(I877=0,0,MAX(0,MIN(INDEX(Month!I$2:I$13,MATCH($A877,Month!$A$2:$A$13,0))-K877,I877)))</f>
        <v/>
      </c>
      <c r="O877">
        <f>IF(I877=0,0,MAX(0,MIN(INDEX(Month!J$2:J$13,MATCH($A877,Month!$A$2:$A$13,0))-K877,I877)))</f>
        <v/>
      </c>
      <c r="P877">
        <f>IF(I877=0,0,(MIN(MAX(K877,0),L877)*W877+SUMPRODUCT((Calc!$A$2:$A$1001=A877)*Calc!$G$2:$G$1001*(((K877-(L877+Calc!$J$2:$J$1001))&gt;0)*((K877-(L877+Calc!$J$2:$J$1001))&lt;Calc!$F$2:$F$1001)*(K877-(L877+Calc!$J$2:$J$1001))+((K877-(L877+Calc!$J$2:$J$1001))&gt;=Calc!$F$2:$F$1001)*Calc!$F$2:$F$1001))))</f>
        <v/>
      </c>
      <c r="Q877">
        <f>IF(I877=0,0,(MIN(MAX((K877+M877),0),L877)*W877+SUMPRODUCT((Calc!$A$2:$A$1001=A877)*Calc!$G$2:$G$1001*((((K877+M877)-(L877+Calc!$J$2:$J$1001))&gt;0)*(((K877+M877)-(L877+Calc!$J$2:$J$1001))&lt;Calc!$F$2:$F$1001)*((K877+M877)-(L877+Calc!$J$2:$J$1001))+(((K877+M877)-(L877+Calc!$J$2:$J$1001))&gt;=Calc!$F$2:$F$1001)*Calc!$F$2:$F$1001))))</f>
        <v/>
      </c>
      <c r="R877">
        <f>IF(I877=0,0,(MIN(MAX((K877+N877),0),L877)*W877+SUMPRODUCT((Calc!$A$2:$A$1001=A877)*Calc!$G$2:$G$1001*((((K877+N877)-(L877+Calc!$J$2:$J$1001))&gt;0)*(((K877+N877)-(L877+Calc!$J$2:$J$1001))&lt;Calc!$F$2:$F$1001)*((K877+N877)-(L877+Calc!$J$2:$J$1001))+(((K877+N877)-(L877+Calc!$J$2:$J$1001))&gt;=Calc!$F$2:$F$1001)*Calc!$F$2:$F$1001))))</f>
        <v/>
      </c>
      <c r="S877">
        <f>IF(I877=0,0,(MIN(MAX((K877+O877),0),L877)*W877+SUMPRODUCT((Calc!$A$2:$A$1001=A877)*Calc!$G$2:$G$1001*((((K877+O877)-(L877+Calc!$J$2:$J$1001))&gt;0)*(((K877+O877)-(L877+Calc!$J$2:$J$1001))&lt;Calc!$F$2:$F$1001)*((K877+O877)-(L877+Calc!$J$2:$J$1001))+(((K877+O877)-(L877+Calc!$J$2:$J$1001))&gt;=Calc!$F$2:$F$1001)*Calc!$F$2:$F$1001))))</f>
        <v/>
      </c>
      <c r="T877">
        <f>IF(AND(E877=1,B877="RETURN"),Transactions!E877*Transactions!G877,0)</f>
        <v/>
      </c>
      <c r="U877">
        <f>IF(AND(E877=1,B877="EXPENSE"),Transactions!J877,0)</f>
        <v/>
      </c>
      <c r="V877">
        <f>IF(AND(Transactions!A877&lt;&gt;"",E877=0),ROW(),"")</f>
        <v/>
      </c>
      <c r="W877">
        <f>IFERROR(VLOOKUP(A877,Opening!$A:$D,4,0),0)</f>
        <v/>
      </c>
    </row>
    <row r="878">
      <c r="A878">
        <f>IF(Transactions!D878="","",UPPER(TRIM(Transactions!D878)))</f>
        <v/>
      </c>
      <c r="B878">
        <f>IF(Transactions!C878="","",UPPER(TRIM(Transactions!C878)))</f>
        <v/>
      </c>
      <c r="C878">
        <f>IF(Transactions!B878="",0,YEAR(Transactions!B878)*100+MONTH(Transactions!B878))</f>
        <v/>
      </c>
      <c r="D878">
        <f>IF(Transactions!A878="",1,IF(COUNTIF(Transactions!$A$1:A877,Transactions!A878)&gt;0,1,0))</f>
        <v/>
      </c>
      <c r="E878">
        <f>IF(D878=1,0,IF(B878="RETURN",IF(COUNTIFS($A$1:A877,A878,$B$1:B877,"SALE",$E$1:E877,1)&gt;0,1,0),1))</f>
        <v/>
      </c>
      <c r="F878">
        <f>IF(E878=1,IF(B878="RECEIPT",Transactions!E878,IF(AND(B878="RETURN",LOWER(TRIM(Transactions!H878))="resellable"),Transactions!E878,0)),0)</f>
        <v/>
      </c>
      <c r="G878">
        <f>IF(F878&gt;0,IF(B878="RECEIPT",Transactions!F878,IF(_xlfn.MAXIFS($H$2:H878,$A$2:A878,A878)&gt;0,INDEX(Transactions!$F:$F,_xlfn.MAXIFS($H$2:H878,$A$2:A878,A878)),W878)),0)</f>
        <v/>
      </c>
      <c r="H878">
        <f>IF(AND(E878=1,B878="RECEIPT"),ROW(),0)</f>
        <v/>
      </c>
      <c r="I878">
        <f>IF(E878=1,IF(OR(B878="SALE",B878="WRITEOFF"),Transactions!E878,0),0)</f>
        <v/>
      </c>
      <c r="J878">
        <f>SUMIFS($F$1:F877,$A$1:A877,A878)</f>
        <v/>
      </c>
      <c r="K878">
        <f>SUMIFS($I$1:I877,$A$1:A877,A878)</f>
        <v/>
      </c>
      <c r="L878">
        <f>IFERROR(VLOOKUP(A878,Opening!$A:$C,3,0),0)</f>
        <v/>
      </c>
      <c r="M878">
        <f>IF(I878=0,0,MAX(0,MIN(INDEX(Month!H$2:H$13,MATCH($A878,Month!$A$2:$A$13,0))-K878,I878)))</f>
        <v/>
      </c>
      <c r="N878">
        <f>IF(I878=0,0,MAX(0,MIN(INDEX(Month!I$2:I$13,MATCH($A878,Month!$A$2:$A$13,0))-K878,I878)))</f>
        <v/>
      </c>
      <c r="O878">
        <f>IF(I878=0,0,MAX(0,MIN(INDEX(Month!J$2:J$13,MATCH($A878,Month!$A$2:$A$13,0))-K878,I878)))</f>
        <v/>
      </c>
      <c r="P878">
        <f>IF(I878=0,0,(MIN(MAX(K878,0),L878)*W878+SUMPRODUCT((Calc!$A$2:$A$1001=A878)*Calc!$G$2:$G$1001*(((K878-(L878+Calc!$J$2:$J$1001))&gt;0)*((K878-(L878+Calc!$J$2:$J$1001))&lt;Calc!$F$2:$F$1001)*(K878-(L878+Calc!$J$2:$J$1001))+((K878-(L878+Calc!$J$2:$J$1001))&gt;=Calc!$F$2:$F$1001)*Calc!$F$2:$F$1001))))</f>
        <v/>
      </c>
      <c r="Q878">
        <f>IF(I878=0,0,(MIN(MAX((K878+M878),0),L878)*W878+SUMPRODUCT((Calc!$A$2:$A$1001=A878)*Calc!$G$2:$G$1001*((((K878+M878)-(L878+Calc!$J$2:$J$1001))&gt;0)*(((K878+M878)-(L878+Calc!$J$2:$J$1001))&lt;Calc!$F$2:$F$1001)*((K878+M878)-(L878+Calc!$J$2:$J$1001))+(((K878+M878)-(L878+Calc!$J$2:$J$1001))&gt;=Calc!$F$2:$F$1001)*Calc!$F$2:$F$1001))))</f>
        <v/>
      </c>
      <c r="R878">
        <f>IF(I878=0,0,(MIN(MAX((K878+N878),0),L878)*W878+SUMPRODUCT((Calc!$A$2:$A$1001=A878)*Calc!$G$2:$G$1001*((((K878+N878)-(L878+Calc!$J$2:$J$1001))&gt;0)*(((K878+N878)-(L878+Calc!$J$2:$J$1001))&lt;Calc!$F$2:$F$1001)*((K878+N878)-(L878+Calc!$J$2:$J$1001))+(((K878+N878)-(L878+Calc!$J$2:$J$1001))&gt;=Calc!$F$2:$F$1001)*Calc!$F$2:$F$1001))))</f>
        <v/>
      </c>
      <c r="S878">
        <f>IF(I878=0,0,(MIN(MAX((K878+O878),0),L878)*W878+SUMPRODUCT((Calc!$A$2:$A$1001=A878)*Calc!$G$2:$G$1001*((((K878+O878)-(L878+Calc!$J$2:$J$1001))&gt;0)*(((K878+O878)-(L878+Calc!$J$2:$J$1001))&lt;Calc!$F$2:$F$1001)*((K878+O878)-(L878+Calc!$J$2:$J$1001))+(((K878+O878)-(L878+Calc!$J$2:$J$1001))&gt;=Calc!$F$2:$F$1001)*Calc!$F$2:$F$1001))))</f>
        <v/>
      </c>
      <c r="T878">
        <f>IF(AND(E878=1,B878="RETURN"),Transactions!E878*Transactions!G878,0)</f>
        <v/>
      </c>
      <c r="U878">
        <f>IF(AND(E878=1,B878="EXPENSE"),Transactions!J878,0)</f>
        <v/>
      </c>
      <c r="V878">
        <f>IF(AND(Transactions!A878&lt;&gt;"",E878=0),ROW(),"")</f>
        <v/>
      </c>
      <c r="W878">
        <f>IFERROR(VLOOKUP(A878,Opening!$A:$D,4,0),0)</f>
        <v/>
      </c>
    </row>
    <row r="879">
      <c r="A879">
        <f>IF(Transactions!D879="","",UPPER(TRIM(Transactions!D879)))</f>
        <v/>
      </c>
      <c r="B879">
        <f>IF(Transactions!C879="","",UPPER(TRIM(Transactions!C879)))</f>
        <v/>
      </c>
      <c r="C879">
        <f>IF(Transactions!B879="",0,YEAR(Transactions!B879)*100+MONTH(Transactions!B879))</f>
        <v/>
      </c>
      <c r="D879">
        <f>IF(Transactions!A879="",1,IF(COUNTIF(Transactions!$A$1:A878,Transactions!A879)&gt;0,1,0))</f>
        <v/>
      </c>
      <c r="E879">
        <f>IF(D879=1,0,IF(B879="RETURN",IF(COUNTIFS($A$1:A878,A879,$B$1:B878,"SALE",$E$1:E878,1)&gt;0,1,0),1))</f>
        <v/>
      </c>
      <c r="F879">
        <f>IF(E879=1,IF(B879="RECEIPT",Transactions!E879,IF(AND(B879="RETURN",LOWER(TRIM(Transactions!H879))="resellable"),Transactions!E879,0)),0)</f>
        <v/>
      </c>
      <c r="G879">
        <f>IF(F879&gt;0,IF(B879="RECEIPT",Transactions!F879,IF(_xlfn.MAXIFS($H$2:H879,$A$2:A879,A879)&gt;0,INDEX(Transactions!$F:$F,_xlfn.MAXIFS($H$2:H879,$A$2:A879,A879)),W879)),0)</f>
        <v/>
      </c>
      <c r="H879">
        <f>IF(AND(E879=1,B879="RECEIPT"),ROW(),0)</f>
        <v/>
      </c>
      <c r="I879">
        <f>IF(E879=1,IF(OR(B879="SALE",B879="WRITEOFF"),Transactions!E879,0),0)</f>
        <v/>
      </c>
      <c r="J879">
        <f>SUMIFS($F$1:F878,$A$1:A878,A879)</f>
        <v/>
      </c>
      <c r="K879">
        <f>SUMIFS($I$1:I878,$A$1:A878,A879)</f>
        <v/>
      </c>
      <c r="L879">
        <f>IFERROR(VLOOKUP(A879,Opening!$A:$C,3,0),0)</f>
        <v/>
      </c>
      <c r="M879">
        <f>IF(I879=0,0,MAX(0,MIN(INDEX(Month!H$2:H$13,MATCH($A879,Month!$A$2:$A$13,0))-K879,I879)))</f>
        <v/>
      </c>
      <c r="N879">
        <f>IF(I879=0,0,MAX(0,MIN(INDEX(Month!I$2:I$13,MATCH($A879,Month!$A$2:$A$13,0))-K879,I879)))</f>
        <v/>
      </c>
      <c r="O879">
        <f>IF(I879=0,0,MAX(0,MIN(INDEX(Month!J$2:J$13,MATCH($A879,Month!$A$2:$A$13,0))-K879,I879)))</f>
        <v/>
      </c>
      <c r="P879">
        <f>IF(I879=0,0,(MIN(MAX(K879,0),L879)*W879+SUMPRODUCT((Calc!$A$2:$A$1001=A879)*Calc!$G$2:$G$1001*(((K879-(L879+Calc!$J$2:$J$1001))&gt;0)*((K879-(L879+Calc!$J$2:$J$1001))&lt;Calc!$F$2:$F$1001)*(K879-(L879+Calc!$J$2:$J$1001))+((K879-(L879+Calc!$J$2:$J$1001))&gt;=Calc!$F$2:$F$1001)*Calc!$F$2:$F$1001))))</f>
        <v/>
      </c>
      <c r="Q879">
        <f>IF(I879=0,0,(MIN(MAX((K879+M879),0),L879)*W879+SUMPRODUCT((Calc!$A$2:$A$1001=A879)*Calc!$G$2:$G$1001*((((K879+M879)-(L879+Calc!$J$2:$J$1001))&gt;0)*(((K879+M879)-(L879+Calc!$J$2:$J$1001))&lt;Calc!$F$2:$F$1001)*((K879+M879)-(L879+Calc!$J$2:$J$1001))+(((K879+M879)-(L879+Calc!$J$2:$J$1001))&gt;=Calc!$F$2:$F$1001)*Calc!$F$2:$F$1001))))</f>
        <v/>
      </c>
      <c r="R879">
        <f>IF(I879=0,0,(MIN(MAX((K879+N879),0),L879)*W879+SUMPRODUCT((Calc!$A$2:$A$1001=A879)*Calc!$G$2:$G$1001*((((K879+N879)-(L879+Calc!$J$2:$J$1001))&gt;0)*(((K879+N879)-(L879+Calc!$J$2:$J$1001))&lt;Calc!$F$2:$F$1001)*((K879+N879)-(L879+Calc!$J$2:$J$1001))+(((K879+N879)-(L879+Calc!$J$2:$J$1001))&gt;=Calc!$F$2:$F$1001)*Calc!$F$2:$F$1001))))</f>
        <v/>
      </c>
      <c r="S879">
        <f>IF(I879=0,0,(MIN(MAX((K879+O879),0),L879)*W879+SUMPRODUCT((Calc!$A$2:$A$1001=A879)*Calc!$G$2:$G$1001*((((K879+O879)-(L879+Calc!$J$2:$J$1001))&gt;0)*(((K879+O879)-(L879+Calc!$J$2:$J$1001))&lt;Calc!$F$2:$F$1001)*((K879+O879)-(L879+Calc!$J$2:$J$1001))+(((K879+O879)-(L879+Calc!$J$2:$J$1001))&gt;=Calc!$F$2:$F$1001)*Calc!$F$2:$F$1001))))</f>
        <v/>
      </c>
      <c r="T879">
        <f>IF(AND(E879=1,B879="RETURN"),Transactions!E879*Transactions!G879,0)</f>
        <v/>
      </c>
      <c r="U879">
        <f>IF(AND(E879=1,B879="EXPENSE"),Transactions!J879,0)</f>
        <v/>
      </c>
      <c r="V879">
        <f>IF(AND(Transactions!A879&lt;&gt;"",E879=0),ROW(),"")</f>
        <v/>
      </c>
      <c r="W879">
        <f>IFERROR(VLOOKUP(A879,Opening!$A:$D,4,0),0)</f>
        <v/>
      </c>
    </row>
    <row r="880">
      <c r="A880">
        <f>IF(Transactions!D880="","",UPPER(TRIM(Transactions!D880)))</f>
        <v/>
      </c>
      <c r="B880">
        <f>IF(Transactions!C880="","",UPPER(TRIM(Transactions!C880)))</f>
        <v/>
      </c>
      <c r="C880">
        <f>IF(Transactions!B880="",0,YEAR(Transactions!B880)*100+MONTH(Transactions!B880))</f>
        <v/>
      </c>
      <c r="D880">
        <f>IF(Transactions!A880="",1,IF(COUNTIF(Transactions!$A$1:A879,Transactions!A880)&gt;0,1,0))</f>
        <v/>
      </c>
      <c r="E880">
        <f>IF(D880=1,0,IF(B880="RETURN",IF(COUNTIFS($A$1:A879,A880,$B$1:B879,"SALE",$E$1:E879,1)&gt;0,1,0),1))</f>
        <v/>
      </c>
      <c r="F880">
        <f>IF(E880=1,IF(B880="RECEIPT",Transactions!E880,IF(AND(B880="RETURN",LOWER(TRIM(Transactions!H880))="resellable"),Transactions!E880,0)),0)</f>
        <v/>
      </c>
      <c r="G880">
        <f>IF(F880&gt;0,IF(B880="RECEIPT",Transactions!F880,IF(_xlfn.MAXIFS($H$2:H880,$A$2:A880,A880)&gt;0,INDEX(Transactions!$F:$F,_xlfn.MAXIFS($H$2:H880,$A$2:A880,A880)),W880)),0)</f>
        <v/>
      </c>
      <c r="H880">
        <f>IF(AND(E880=1,B880="RECEIPT"),ROW(),0)</f>
        <v/>
      </c>
      <c r="I880">
        <f>IF(E880=1,IF(OR(B880="SALE",B880="WRITEOFF"),Transactions!E880,0),0)</f>
        <v/>
      </c>
      <c r="J880">
        <f>SUMIFS($F$1:F879,$A$1:A879,A880)</f>
        <v/>
      </c>
      <c r="K880">
        <f>SUMIFS($I$1:I879,$A$1:A879,A880)</f>
        <v/>
      </c>
      <c r="L880">
        <f>IFERROR(VLOOKUP(A880,Opening!$A:$C,3,0),0)</f>
        <v/>
      </c>
      <c r="M880">
        <f>IF(I880=0,0,MAX(0,MIN(INDEX(Month!H$2:H$13,MATCH($A880,Month!$A$2:$A$13,0))-K880,I880)))</f>
        <v/>
      </c>
      <c r="N880">
        <f>IF(I880=0,0,MAX(0,MIN(INDEX(Month!I$2:I$13,MATCH($A880,Month!$A$2:$A$13,0))-K880,I880)))</f>
        <v/>
      </c>
      <c r="O880">
        <f>IF(I880=0,0,MAX(0,MIN(INDEX(Month!J$2:J$13,MATCH($A880,Month!$A$2:$A$13,0))-K880,I880)))</f>
        <v/>
      </c>
      <c r="P880">
        <f>IF(I880=0,0,(MIN(MAX(K880,0),L880)*W880+SUMPRODUCT((Calc!$A$2:$A$1001=A880)*Calc!$G$2:$G$1001*(((K880-(L880+Calc!$J$2:$J$1001))&gt;0)*((K880-(L880+Calc!$J$2:$J$1001))&lt;Calc!$F$2:$F$1001)*(K880-(L880+Calc!$J$2:$J$1001))+((K880-(L880+Calc!$J$2:$J$1001))&gt;=Calc!$F$2:$F$1001)*Calc!$F$2:$F$1001))))</f>
        <v/>
      </c>
      <c r="Q880">
        <f>IF(I880=0,0,(MIN(MAX((K880+M880),0),L880)*W880+SUMPRODUCT((Calc!$A$2:$A$1001=A880)*Calc!$G$2:$G$1001*((((K880+M880)-(L880+Calc!$J$2:$J$1001))&gt;0)*(((K880+M880)-(L880+Calc!$J$2:$J$1001))&lt;Calc!$F$2:$F$1001)*((K880+M880)-(L880+Calc!$J$2:$J$1001))+(((K880+M880)-(L880+Calc!$J$2:$J$1001))&gt;=Calc!$F$2:$F$1001)*Calc!$F$2:$F$1001))))</f>
        <v/>
      </c>
      <c r="R880">
        <f>IF(I880=0,0,(MIN(MAX((K880+N880),0),L880)*W880+SUMPRODUCT((Calc!$A$2:$A$1001=A880)*Calc!$G$2:$G$1001*((((K880+N880)-(L880+Calc!$J$2:$J$1001))&gt;0)*(((K880+N880)-(L880+Calc!$J$2:$J$1001))&lt;Calc!$F$2:$F$1001)*((K880+N880)-(L880+Calc!$J$2:$J$1001))+(((K880+N880)-(L880+Calc!$J$2:$J$1001))&gt;=Calc!$F$2:$F$1001)*Calc!$F$2:$F$1001))))</f>
        <v/>
      </c>
      <c r="S880">
        <f>IF(I880=0,0,(MIN(MAX((K880+O880),0),L880)*W880+SUMPRODUCT((Calc!$A$2:$A$1001=A880)*Calc!$G$2:$G$1001*((((K880+O880)-(L880+Calc!$J$2:$J$1001))&gt;0)*(((K880+O880)-(L880+Calc!$J$2:$J$1001))&lt;Calc!$F$2:$F$1001)*((K880+O880)-(L880+Calc!$J$2:$J$1001))+(((K880+O880)-(L880+Calc!$J$2:$J$1001))&gt;=Calc!$F$2:$F$1001)*Calc!$F$2:$F$1001))))</f>
        <v/>
      </c>
      <c r="T880">
        <f>IF(AND(E880=1,B880="RETURN"),Transactions!E880*Transactions!G880,0)</f>
        <v/>
      </c>
      <c r="U880">
        <f>IF(AND(E880=1,B880="EXPENSE"),Transactions!J880,0)</f>
        <v/>
      </c>
      <c r="V880">
        <f>IF(AND(Transactions!A880&lt;&gt;"",E880=0),ROW(),"")</f>
        <v/>
      </c>
      <c r="W880">
        <f>IFERROR(VLOOKUP(A880,Opening!$A:$D,4,0),0)</f>
        <v/>
      </c>
    </row>
    <row r="881">
      <c r="A881">
        <f>IF(Transactions!D881="","",UPPER(TRIM(Transactions!D881)))</f>
        <v/>
      </c>
      <c r="B881">
        <f>IF(Transactions!C881="","",UPPER(TRIM(Transactions!C881)))</f>
        <v/>
      </c>
      <c r="C881">
        <f>IF(Transactions!B881="",0,YEAR(Transactions!B881)*100+MONTH(Transactions!B881))</f>
        <v/>
      </c>
      <c r="D881">
        <f>IF(Transactions!A881="",1,IF(COUNTIF(Transactions!$A$1:A880,Transactions!A881)&gt;0,1,0))</f>
        <v/>
      </c>
      <c r="E881">
        <f>IF(D881=1,0,IF(B881="RETURN",IF(COUNTIFS($A$1:A880,A881,$B$1:B880,"SALE",$E$1:E880,1)&gt;0,1,0),1))</f>
        <v/>
      </c>
      <c r="F881">
        <f>IF(E881=1,IF(B881="RECEIPT",Transactions!E881,IF(AND(B881="RETURN",LOWER(TRIM(Transactions!H881))="resellable"),Transactions!E881,0)),0)</f>
        <v/>
      </c>
      <c r="G881">
        <f>IF(F881&gt;0,IF(B881="RECEIPT",Transactions!F881,IF(_xlfn.MAXIFS($H$2:H881,$A$2:A881,A881)&gt;0,INDEX(Transactions!$F:$F,_xlfn.MAXIFS($H$2:H881,$A$2:A881,A881)),W881)),0)</f>
        <v/>
      </c>
      <c r="H881">
        <f>IF(AND(E881=1,B881="RECEIPT"),ROW(),0)</f>
        <v/>
      </c>
      <c r="I881">
        <f>IF(E881=1,IF(OR(B881="SALE",B881="WRITEOFF"),Transactions!E881,0),0)</f>
        <v/>
      </c>
      <c r="J881">
        <f>SUMIFS($F$1:F880,$A$1:A880,A881)</f>
        <v/>
      </c>
      <c r="K881">
        <f>SUMIFS($I$1:I880,$A$1:A880,A881)</f>
        <v/>
      </c>
      <c r="L881">
        <f>IFERROR(VLOOKUP(A881,Opening!$A:$C,3,0),0)</f>
        <v/>
      </c>
      <c r="M881">
        <f>IF(I881=0,0,MAX(0,MIN(INDEX(Month!H$2:H$13,MATCH($A881,Month!$A$2:$A$13,0))-K881,I881)))</f>
        <v/>
      </c>
      <c r="N881">
        <f>IF(I881=0,0,MAX(0,MIN(INDEX(Month!I$2:I$13,MATCH($A881,Month!$A$2:$A$13,0))-K881,I881)))</f>
        <v/>
      </c>
      <c r="O881">
        <f>IF(I881=0,0,MAX(0,MIN(INDEX(Month!J$2:J$13,MATCH($A881,Month!$A$2:$A$13,0))-K881,I881)))</f>
        <v/>
      </c>
      <c r="P881">
        <f>IF(I881=0,0,(MIN(MAX(K881,0),L881)*W881+SUMPRODUCT((Calc!$A$2:$A$1001=A881)*Calc!$G$2:$G$1001*(((K881-(L881+Calc!$J$2:$J$1001))&gt;0)*((K881-(L881+Calc!$J$2:$J$1001))&lt;Calc!$F$2:$F$1001)*(K881-(L881+Calc!$J$2:$J$1001))+((K881-(L881+Calc!$J$2:$J$1001))&gt;=Calc!$F$2:$F$1001)*Calc!$F$2:$F$1001))))</f>
        <v/>
      </c>
      <c r="Q881">
        <f>IF(I881=0,0,(MIN(MAX((K881+M881),0),L881)*W881+SUMPRODUCT((Calc!$A$2:$A$1001=A881)*Calc!$G$2:$G$1001*((((K881+M881)-(L881+Calc!$J$2:$J$1001))&gt;0)*(((K881+M881)-(L881+Calc!$J$2:$J$1001))&lt;Calc!$F$2:$F$1001)*((K881+M881)-(L881+Calc!$J$2:$J$1001))+(((K881+M881)-(L881+Calc!$J$2:$J$1001))&gt;=Calc!$F$2:$F$1001)*Calc!$F$2:$F$1001))))</f>
        <v/>
      </c>
      <c r="R881">
        <f>IF(I881=0,0,(MIN(MAX((K881+N881),0),L881)*W881+SUMPRODUCT((Calc!$A$2:$A$1001=A881)*Calc!$G$2:$G$1001*((((K881+N881)-(L881+Calc!$J$2:$J$1001))&gt;0)*(((K881+N881)-(L881+Calc!$J$2:$J$1001))&lt;Calc!$F$2:$F$1001)*((K881+N881)-(L881+Calc!$J$2:$J$1001))+(((K881+N881)-(L881+Calc!$J$2:$J$1001))&gt;=Calc!$F$2:$F$1001)*Calc!$F$2:$F$1001))))</f>
        <v/>
      </c>
      <c r="S881">
        <f>IF(I881=0,0,(MIN(MAX((K881+O881),0),L881)*W881+SUMPRODUCT((Calc!$A$2:$A$1001=A881)*Calc!$G$2:$G$1001*((((K881+O881)-(L881+Calc!$J$2:$J$1001))&gt;0)*(((K881+O881)-(L881+Calc!$J$2:$J$1001))&lt;Calc!$F$2:$F$1001)*((K881+O881)-(L881+Calc!$J$2:$J$1001))+(((K881+O881)-(L881+Calc!$J$2:$J$1001))&gt;=Calc!$F$2:$F$1001)*Calc!$F$2:$F$1001))))</f>
        <v/>
      </c>
      <c r="T881">
        <f>IF(AND(E881=1,B881="RETURN"),Transactions!E881*Transactions!G881,0)</f>
        <v/>
      </c>
      <c r="U881">
        <f>IF(AND(E881=1,B881="EXPENSE"),Transactions!J881,0)</f>
        <v/>
      </c>
      <c r="V881">
        <f>IF(AND(Transactions!A881&lt;&gt;"",E881=0),ROW(),"")</f>
        <v/>
      </c>
      <c r="W881">
        <f>IFERROR(VLOOKUP(A881,Opening!$A:$D,4,0),0)</f>
        <v/>
      </c>
    </row>
    <row r="882">
      <c r="A882">
        <f>IF(Transactions!D882="","",UPPER(TRIM(Transactions!D882)))</f>
        <v/>
      </c>
      <c r="B882">
        <f>IF(Transactions!C882="","",UPPER(TRIM(Transactions!C882)))</f>
        <v/>
      </c>
      <c r="C882">
        <f>IF(Transactions!B882="",0,YEAR(Transactions!B882)*100+MONTH(Transactions!B882))</f>
        <v/>
      </c>
      <c r="D882">
        <f>IF(Transactions!A882="",1,IF(COUNTIF(Transactions!$A$1:A881,Transactions!A882)&gt;0,1,0))</f>
        <v/>
      </c>
      <c r="E882">
        <f>IF(D882=1,0,IF(B882="RETURN",IF(COUNTIFS($A$1:A881,A882,$B$1:B881,"SALE",$E$1:E881,1)&gt;0,1,0),1))</f>
        <v/>
      </c>
      <c r="F882">
        <f>IF(E882=1,IF(B882="RECEIPT",Transactions!E882,IF(AND(B882="RETURN",LOWER(TRIM(Transactions!H882))="resellable"),Transactions!E882,0)),0)</f>
        <v/>
      </c>
      <c r="G882">
        <f>IF(F882&gt;0,IF(B882="RECEIPT",Transactions!F882,IF(_xlfn.MAXIFS($H$2:H882,$A$2:A882,A882)&gt;0,INDEX(Transactions!$F:$F,_xlfn.MAXIFS($H$2:H882,$A$2:A882,A882)),W882)),0)</f>
        <v/>
      </c>
      <c r="H882">
        <f>IF(AND(E882=1,B882="RECEIPT"),ROW(),0)</f>
        <v/>
      </c>
      <c r="I882">
        <f>IF(E882=1,IF(OR(B882="SALE",B882="WRITEOFF"),Transactions!E882,0),0)</f>
        <v/>
      </c>
      <c r="J882">
        <f>SUMIFS($F$1:F881,$A$1:A881,A882)</f>
        <v/>
      </c>
      <c r="K882">
        <f>SUMIFS($I$1:I881,$A$1:A881,A882)</f>
        <v/>
      </c>
      <c r="L882">
        <f>IFERROR(VLOOKUP(A882,Opening!$A:$C,3,0),0)</f>
        <v/>
      </c>
      <c r="M882">
        <f>IF(I882=0,0,MAX(0,MIN(INDEX(Month!H$2:H$13,MATCH($A882,Month!$A$2:$A$13,0))-K882,I882)))</f>
        <v/>
      </c>
      <c r="N882">
        <f>IF(I882=0,0,MAX(0,MIN(INDEX(Month!I$2:I$13,MATCH($A882,Month!$A$2:$A$13,0))-K882,I882)))</f>
        <v/>
      </c>
      <c r="O882">
        <f>IF(I882=0,0,MAX(0,MIN(INDEX(Month!J$2:J$13,MATCH($A882,Month!$A$2:$A$13,0))-K882,I882)))</f>
        <v/>
      </c>
      <c r="P882">
        <f>IF(I882=0,0,(MIN(MAX(K882,0),L882)*W882+SUMPRODUCT((Calc!$A$2:$A$1001=A882)*Calc!$G$2:$G$1001*(((K882-(L882+Calc!$J$2:$J$1001))&gt;0)*((K882-(L882+Calc!$J$2:$J$1001))&lt;Calc!$F$2:$F$1001)*(K882-(L882+Calc!$J$2:$J$1001))+((K882-(L882+Calc!$J$2:$J$1001))&gt;=Calc!$F$2:$F$1001)*Calc!$F$2:$F$1001))))</f>
        <v/>
      </c>
      <c r="Q882">
        <f>IF(I882=0,0,(MIN(MAX((K882+M882),0),L882)*W882+SUMPRODUCT((Calc!$A$2:$A$1001=A882)*Calc!$G$2:$G$1001*((((K882+M882)-(L882+Calc!$J$2:$J$1001))&gt;0)*(((K882+M882)-(L882+Calc!$J$2:$J$1001))&lt;Calc!$F$2:$F$1001)*((K882+M882)-(L882+Calc!$J$2:$J$1001))+(((K882+M882)-(L882+Calc!$J$2:$J$1001))&gt;=Calc!$F$2:$F$1001)*Calc!$F$2:$F$1001))))</f>
        <v/>
      </c>
      <c r="R882">
        <f>IF(I882=0,0,(MIN(MAX((K882+N882),0),L882)*W882+SUMPRODUCT((Calc!$A$2:$A$1001=A882)*Calc!$G$2:$G$1001*((((K882+N882)-(L882+Calc!$J$2:$J$1001))&gt;0)*(((K882+N882)-(L882+Calc!$J$2:$J$1001))&lt;Calc!$F$2:$F$1001)*((K882+N882)-(L882+Calc!$J$2:$J$1001))+(((K882+N882)-(L882+Calc!$J$2:$J$1001))&gt;=Calc!$F$2:$F$1001)*Calc!$F$2:$F$1001))))</f>
        <v/>
      </c>
      <c r="S882">
        <f>IF(I882=0,0,(MIN(MAX((K882+O882),0),L882)*W882+SUMPRODUCT((Calc!$A$2:$A$1001=A882)*Calc!$G$2:$G$1001*((((K882+O882)-(L882+Calc!$J$2:$J$1001))&gt;0)*(((K882+O882)-(L882+Calc!$J$2:$J$1001))&lt;Calc!$F$2:$F$1001)*((K882+O882)-(L882+Calc!$J$2:$J$1001))+(((K882+O882)-(L882+Calc!$J$2:$J$1001))&gt;=Calc!$F$2:$F$1001)*Calc!$F$2:$F$1001))))</f>
        <v/>
      </c>
      <c r="T882">
        <f>IF(AND(E882=1,B882="RETURN"),Transactions!E882*Transactions!G882,0)</f>
        <v/>
      </c>
      <c r="U882">
        <f>IF(AND(E882=1,B882="EXPENSE"),Transactions!J882,0)</f>
        <v/>
      </c>
      <c r="V882">
        <f>IF(AND(Transactions!A882&lt;&gt;"",E882=0),ROW(),"")</f>
        <v/>
      </c>
      <c r="W882">
        <f>IFERROR(VLOOKUP(A882,Opening!$A:$D,4,0),0)</f>
        <v/>
      </c>
    </row>
    <row r="883">
      <c r="A883">
        <f>IF(Transactions!D883="","",UPPER(TRIM(Transactions!D883)))</f>
        <v/>
      </c>
      <c r="B883">
        <f>IF(Transactions!C883="","",UPPER(TRIM(Transactions!C883)))</f>
        <v/>
      </c>
      <c r="C883">
        <f>IF(Transactions!B883="",0,YEAR(Transactions!B883)*100+MONTH(Transactions!B883))</f>
        <v/>
      </c>
      <c r="D883">
        <f>IF(Transactions!A883="",1,IF(COUNTIF(Transactions!$A$1:A882,Transactions!A883)&gt;0,1,0))</f>
        <v/>
      </c>
      <c r="E883">
        <f>IF(D883=1,0,IF(B883="RETURN",IF(COUNTIFS($A$1:A882,A883,$B$1:B882,"SALE",$E$1:E882,1)&gt;0,1,0),1))</f>
        <v/>
      </c>
      <c r="F883">
        <f>IF(E883=1,IF(B883="RECEIPT",Transactions!E883,IF(AND(B883="RETURN",LOWER(TRIM(Transactions!H883))="resellable"),Transactions!E883,0)),0)</f>
        <v/>
      </c>
      <c r="G883">
        <f>IF(F883&gt;0,IF(B883="RECEIPT",Transactions!F883,IF(_xlfn.MAXIFS($H$2:H883,$A$2:A883,A883)&gt;0,INDEX(Transactions!$F:$F,_xlfn.MAXIFS($H$2:H883,$A$2:A883,A883)),W883)),0)</f>
        <v/>
      </c>
      <c r="H883">
        <f>IF(AND(E883=1,B883="RECEIPT"),ROW(),0)</f>
        <v/>
      </c>
      <c r="I883">
        <f>IF(E883=1,IF(OR(B883="SALE",B883="WRITEOFF"),Transactions!E883,0),0)</f>
        <v/>
      </c>
      <c r="J883">
        <f>SUMIFS($F$1:F882,$A$1:A882,A883)</f>
        <v/>
      </c>
      <c r="K883">
        <f>SUMIFS($I$1:I882,$A$1:A882,A883)</f>
        <v/>
      </c>
      <c r="L883">
        <f>IFERROR(VLOOKUP(A883,Opening!$A:$C,3,0),0)</f>
        <v/>
      </c>
      <c r="M883">
        <f>IF(I883=0,0,MAX(0,MIN(INDEX(Month!H$2:H$13,MATCH($A883,Month!$A$2:$A$13,0))-K883,I883)))</f>
        <v/>
      </c>
      <c r="N883">
        <f>IF(I883=0,0,MAX(0,MIN(INDEX(Month!I$2:I$13,MATCH($A883,Month!$A$2:$A$13,0))-K883,I883)))</f>
        <v/>
      </c>
      <c r="O883">
        <f>IF(I883=0,0,MAX(0,MIN(INDEX(Month!J$2:J$13,MATCH($A883,Month!$A$2:$A$13,0))-K883,I883)))</f>
        <v/>
      </c>
      <c r="P883">
        <f>IF(I883=0,0,(MIN(MAX(K883,0),L883)*W883+SUMPRODUCT((Calc!$A$2:$A$1001=A883)*Calc!$G$2:$G$1001*(((K883-(L883+Calc!$J$2:$J$1001))&gt;0)*((K883-(L883+Calc!$J$2:$J$1001))&lt;Calc!$F$2:$F$1001)*(K883-(L883+Calc!$J$2:$J$1001))+((K883-(L883+Calc!$J$2:$J$1001))&gt;=Calc!$F$2:$F$1001)*Calc!$F$2:$F$1001))))</f>
        <v/>
      </c>
      <c r="Q883">
        <f>IF(I883=0,0,(MIN(MAX((K883+M883),0),L883)*W883+SUMPRODUCT((Calc!$A$2:$A$1001=A883)*Calc!$G$2:$G$1001*((((K883+M883)-(L883+Calc!$J$2:$J$1001))&gt;0)*(((K883+M883)-(L883+Calc!$J$2:$J$1001))&lt;Calc!$F$2:$F$1001)*((K883+M883)-(L883+Calc!$J$2:$J$1001))+(((K883+M883)-(L883+Calc!$J$2:$J$1001))&gt;=Calc!$F$2:$F$1001)*Calc!$F$2:$F$1001))))</f>
        <v/>
      </c>
      <c r="R883">
        <f>IF(I883=0,0,(MIN(MAX((K883+N883),0),L883)*W883+SUMPRODUCT((Calc!$A$2:$A$1001=A883)*Calc!$G$2:$G$1001*((((K883+N883)-(L883+Calc!$J$2:$J$1001))&gt;0)*(((K883+N883)-(L883+Calc!$J$2:$J$1001))&lt;Calc!$F$2:$F$1001)*((K883+N883)-(L883+Calc!$J$2:$J$1001))+(((K883+N883)-(L883+Calc!$J$2:$J$1001))&gt;=Calc!$F$2:$F$1001)*Calc!$F$2:$F$1001))))</f>
        <v/>
      </c>
      <c r="S883">
        <f>IF(I883=0,0,(MIN(MAX((K883+O883),0),L883)*W883+SUMPRODUCT((Calc!$A$2:$A$1001=A883)*Calc!$G$2:$G$1001*((((K883+O883)-(L883+Calc!$J$2:$J$1001))&gt;0)*(((K883+O883)-(L883+Calc!$J$2:$J$1001))&lt;Calc!$F$2:$F$1001)*((K883+O883)-(L883+Calc!$J$2:$J$1001))+(((K883+O883)-(L883+Calc!$J$2:$J$1001))&gt;=Calc!$F$2:$F$1001)*Calc!$F$2:$F$1001))))</f>
        <v/>
      </c>
      <c r="T883">
        <f>IF(AND(E883=1,B883="RETURN"),Transactions!E883*Transactions!G883,0)</f>
        <v/>
      </c>
      <c r="U883">
        <f>IF(AND(E883=1,B883="EXPENSE"),Transactions!J883,0)</f>
        <v/>
      </c>
      <c r="V883">
        <f>IF(AND(Transactions!A883&lt;&gt;"",E883=0),ROW(),"")</f>
        <v/>
      </c>
      <c r="W883">
        <f>IFERROR(VLOOKUP(A883,Opening!$A:$D,4,0),0)</f>
        <v/>
      </c>
    </row>
    <row r="884">
      <c r="A884">
        <f>IF(Transactions!D884="","",UPPER(TRIM(Transactions!D884)))</f>
        <v/>
      </c>
      <c r="B884">
        <f>IF(Transactions!C884="","",UPPER(TRIM(Transactions!C884)))</f>
        <v/>
      </c>
      <c r="C884">
        <f>IF(Transactions!B884="",0,YEAR(Transactions!B884)*100+MONTH(Transactions!B884))</f>
        <v/>
      </c>
      <c r="D884">
        <f>IF(Transactions!A884="",1,IF(COUNTIF(Transactions!$A$1:A883,Transactions!A884)&gt;0,1,0))</f>
        <v/>
      </c>
      <c r="E884">
        <f>IF(D884=1,0,IF(B884="RETURN",IF(COUNTIFS($A$1:A883,A884,$B$1:B883,"SALE",$E$1:E883,1)&gt;0,1,0),1))</f>
        <v/>
      </c>
      <c r="F884">
        <f>IF(E884=1,IF(B884="RECEIPT",Transactions!E884,IF(AND(B884="RETURN",LOWER(TRIM(Transactions!H884))="resellable"),Transactions!E884,0)),0)</f>
        <v/>
      </c>
      <c r="G884">
        <f>IF(F884&gt;0,IF(B884="RECEIPT",Transactions!F884,IF(_xlfn.MAXIFS($H$2:H884,$A$2:A884,A884)&gt;0,INDEX(Transactions!$F:$F,_xlfn.MAXIFS($H$2:H884,$A$2:A884,A884)),W884)),0)</f>
        <v/>
      </c>
      <c r="H884">
        <f>IF(AND(E884=1,B884="RECEIPT"),ROW(),0)</f>
        <v/>
      </c>
      <c r="I884">
        <f>IF(E884=1,IF(OR(B884="SALE",B884="WRITEOFF"),Transactions!E884,0),0)</f>
        <v/>
      </c>
      <c r="J884">
        <f>SUMIFS($F$1:F883,$A$1:A883,A884)</f>
        <v/>
      </c>
      <c r="K884">
        <f>SUMIFS($I$1:I883,$A$1:A883,A884)</f>
        <v/>
      </c>
      <c r="L884">
        <f>IFERROR(VLOOKUP(A884,Opening!$A:$C,3,0),0)</f>
        <v/>
      </c>
      <c r="M884">
        <f>IF(I884=0,0,MAX(0,MIN(INDEX(Month!H$2:H$13,MATCH($A884,Month!$A$2:$A$13,0))-K884,I884)))</f>
        <v/>
      </c>
      <c r="N884">
        <f>IF(I884=0,0,MAX(0,MIN(INDEX(Month!I$2:I$13,MATCH($A884,Month!$A$2:$A$13,0))-K884,I884)))</f>
        <v/>
      </c>
      <c r="O884">
        <f>IF(I884=0,0,MAX(0,MIN(INDEX(Month!J$2:J$13,MATCH($A884,Month!$A$2:$A$13,0))-K884,I884)))</f>
        <v/>
      </c>
      <c r="P884">
        <f>IF(I884=0,0,(MIN(MAX(K884,0),L884)*W884+SUMPRODUCT((Calc!$A$2:$A$1001=A884)*Calc!$G$2:$G$1001*(((K884-(L884+Calc!$J$2:$J$1001))&gt;0)*((K884-(L884+Calc!$J$2:$J$1001))&lt;Calc!$F$2:$F$1001)*(K884-(L884+Calc!$J$2:$J$1001))+((K884-(L884+Calc!$J$2:$J$1001))&gt;=Calc!$F$2:$F$1001)*Calc!$F$2:$F$1001))))</f>
        <v/>
      </c>
      <c r="Q884">
        <f>IF(I884=0,0,(MIN(MAX((K884+M884),0),L884)*W884+SUMPRODUCT((Calc!$A$2:$A$1001=A884)*Calc!$G$2:$G$1001*((((K884+M884)-(L884+Calc!$J$2:$J$1001))&gt;0)*(((K884+M884)-(L884+Calc!$J$2:$J$1001))&lt;Calc!$F$2:$F$1001)*((K884+M884)-(L884+Calc!$J$2:$J$1001))+(((K884+M884)-(L884+Calc!$J$2:$J$1001))&gt;=Calc!$F$2:$F$1001)*Calc!$F$2:$F$1001))))</f>
        <v/>
      </c>
      <c r="R884">
        <f>IF(I884=0,0,(MIN(MAX((K884+N884),0),L884)*W884+SUMPRODUCT((Calc!$A$2:$A$1001=A884)*Calc!$G$2:$G$1001*((((K884+N884)-(L884+Calc!$J$2:$J$1001))&gt;0)*(((K884+N884)-(L884+Calc!$J$2:$J$1001))&lt;Calc!$F$2:$F$1001)*((K884+N884)-(L884+Calc!$J$2:$J$1001))+(((K884+N884)-(L884+Calc!$J$2:$J$1001))&gt;=Calc!$F$2:$F$1001)*Calc!$F$2:$F$1001))))</f>
        <v/>
      </c>
      <c r="S884">
        <f>IF(I884=0,0,(MIN(MAX((K884+O884),0),L884)*W884+SUMPRODUCT((Calc!$A$2:$A$1001=A884)*Calc!$G$2:$G$1001*((((K884+O884)-(L884+Calc!$J$2:$J$1001))&gt;0)*(((K884+O884)-(L884+Calc!$J$2:$J$1001))&lt;Calc!$F$2:$F$1001)*((K884+O884)-(L884+Calc!$J$2:$J$1001))+(((K884+O884)-(L884+Calc!$J$2:$J$1001))&gt;=Calc!$F$2:$F$1001)*Calc!$F$2:$F$1001))))</f>
        <v/>
      </c>
      <c r="T884">
        <f>IF(AND(E884=1,B884="RETURN"),Transactions!E884*Transactions!G884,0)</f>
        <v/>
      </c>
      <c r="U884">
        <f>IF(AND(E884=1,B884="EXPENSE"),Transactions!J884,0)</f>
        <v/>
      </c>
      <c r="V884">
        <f>IF(AND(Transactions!A884&lt;&gt;"",E884=0),ROW(),"")</f>
        <v/>
      </c>
      <c r="W884">
        <f>IFERROR(VLOOKUP(A884,Opening!$A:$D,4,0),0)</f>
        <v/>
      </c>
    </row>
    <row r="885">
      <c r="A885">
        <f>IF(Transactions!D885="","",UPPER(TRIM(Transactions!D885)))</f>
        <v/>
      </c>
      <c r="B885">
        <f>IF(Transactions!C885="","",UPPER(TRIM(Transactions!C885)))</f>
        <v/>
      </c>
      <c r="C885">
        <f>IF(Transactions!B885="",0,YEAR(Transactions!B885)*100+MONTH(Transactions!B885))</f>
        <v/>
      </c>
      <c r="D885">
        <f>IF(Transactions!A885="",1,IF(COUNTIF(Transactions!$A$1:A884,Transactions!A885)&gt;0,1,0))</f>
        <v/>
      </c>
      <c r="E885">
        <f>IF(D885=1,0,IF(B885="RETURN",IF(COUNTIFS($A$1:A884,A885,$B$1:B884,"SALE",$E$1:E884,1)&gt;0,1,0),1))</f>
        <v/>
      </c>
      <c r="F885">
        <f>IF(E885=1,IF(B885="RECEIPT",Transactions!E885,IF(AND(B885="RETURN",LOWER(TRIM(Transactions!H885))="resellable"),Transactions!E885,0)),0)</f>
        <v/>
      </c>
      <c r="G885">
        <f>IF(F885&gt;0,IF(B885="RECEIPT",Transactions!F885,IF(_xlfn.MAXIFS($H$2:H885,$A$2:A885,A885)&gt;0,INDEX(Transactions!$F:$F,_xlfn.MAXIFS($H$2:H885,$A$2:A885,A885)),W885)),0)</f>
        <v/>
      </c>
      <c r="H885">
        <f>IF(AND(E885=1,B885="RECEIPT"),ROW(),0)</f>
        <v/>
      </c>
      <c r="I885">
        <f>IF(E885=1,IF(OR(B885="SALE",B885="WRITEOFF"),Transactions!E885,0),0)</f>
        <v/>
      </c>
      <c r="J885">
        <f>SUMIFS($F$1:F884,$A$1:A884,A885)</f>
        <v/>
      </c>
      <c r="K885">
        <f>SUMIFS($I$1:I884,$A$1:A884,A885)</f>
        <v/>
      </c>
      <c r="L885">
        <f>IFERROR(VLOOKUP(A885,Opening!$A:$C,3,0),0)</f>
        <v/>
      </c>
      <c r="M885">
        <f>IF(I885=0,0,MAX(0,MIN(INDEX(Month!H$2:H$13,MATCH($A885,Month!$A$2:$A$13,0))-K885,I885)))</f>
        <v/>
      </c>
      <c r="N885">
        <f>IF(I885=0,0,MAX(0,MIN(INDEX(Month!I$2:I$13,MATCH($A885,Month!$A$2:$A$13,0))-K885,I885)))</f>
        <v/>
      </c>
      <c r="O885">
        <f>IF(I885=0,0,MAX(0,MIN(INDEX(Month!J$2:J$13,MATCH($A885,Month!$A$2:$A$13,0))-K885,I885)))</f>
        <v/>
      </c>
      <c r="P885">
        <f>IF(I885=0,0,(MIN(MAX(K885,0),L885)*W885+SUMPRODUCT((Calc!$A$2:$A$1001=A885)*Calc!$G$2:$G$1001*(((K885-(L885+Calc!$J$2:$J$1001))&gt;0)*((K885-(L885+Calc!$J$2:$J$1001))&lt;Calc!$F$2:$F$1001)*(K885-(L885+Calc!$J$2:$J$1001))+((K885-(L885+Calc!$J$2:$J$1001))&gt;=Calc!$F$2:$F$1001)*Calc!$F$2:$F$1001))))</f>
        <v/>
      </c>
      <c r="Q885">
        <f>IF(I885=0,0,(MIN(MAX((K885+M885),0),L885)*W885+SUMPRODUCT((Calc!$A$2:$A$1001=A885)*Calc!$G$2:$G$1001*((((K885+M885)-(L885+Calc!$J$2:$J$1001))&gt;0)*(((K885+M885)-(L885+Calc!$J$2:$J$1001))&lt;Calc!$F$2:$F$1001)*((K885+M885)-(L885+Calc!$J$2:$J$1001))+(((K885+M885)-(L885+Calc!$J$2:$J$1001))&gt;=Calc!$F$2:$F$1001)*Calc!$F$2:$F$1001))))</f>
        <v/>
      </c>
      <c r="R885">
        <f>IF(I885=0,0,(MIN(MAX((K885+N885),0),L885)*W885+SUMPRODUCT((Calc!$A$2:$A$1001=A885)*Calc!$G$2:$G$1001*((((K885+N885)-(L885+Calc!$J$2:$J$1001))&gt;0)*(((K885+N885)-(L885+Calc!$J$2:$J$1001))&lt;Calc!$F$2:$F$1001)*((K885+N885)-(L885+Calc!$J$2:$J$1001))+(((K885+N885)-(L885+Calc!$J$2:$J$1001))&gt;=Calc!$F$2:$F$1001)*Calc!$F$2:$F$1001))))</f>
        <v/>
      </c>
      <c r="S885">
        <f>IF(I885=0,0,(MIN(MAX((K885+O885),0),L885)*W885+SUMPRODUCT((Calc!$A$2:$A$1001=A885)*Calc!$G$2:$G$1001*((((K885+O885)-(L885+Calc!$J$2:$J$1001))&gt;0)*(((K885+O885)-(L885+Calc!$J$2:$J$1001))&lt;Calc!$F$2:$F$1001)*((K885+O885)-(L885+Calc!$J$2:$J$1001))+(((K885+O885)-(L885+Calc!$J$2:$J$1001))&gt;=Calc!$F$2:$F$1001)*Calc!$F$2:$F$1001))))</f>
        <v/>
      </c>
      <c r="T885">
        <f>IF(AND(E885=1,B885="RETURN"),Transactions!E885*Transactions!G885,0)</f>
        <v/>
      </c>
      <c r="U885">
        <f>IF(AND(E885=1,B885="EXPENSE"),Transactions!J885,0)</f>
        <v/>
      </c>
      <c r="V885">
        <f>IF(AND(Transactions!A885&lt;&gt;"",E885=0),ROW(),"")</f>
        <v/>
      </c>
      <c r="W885">
        <f>IFERROR(VLOOKUP(A885,Opening!$A:$D,4,0),0)</f>
        <v/>
      </c>
    </row>
    <row r="886">
      <c r="A886">
        <f>IF(Transactions!D886="","",UPPER(TRIM(Transactions!D886)))</f>
        <v/>
      </c>
      <c r="B886">
        <f>IF(Transactions!C886="","",UPPER(TRIM(Transactions!C886)))</f>
        <v/>
      </c>
      <c r="C886">
        <f>IF(Transactions!B886="",0,YEAR(Transactions!B886)*100+MONTH(Transactions!B886))</f>
        <v/>
      </c>
      <c r="D886">
        <f>IF(Transactions!A886="",1,IF(COUNTIF(Transactions!$A$1:A885,Transactions!A886)&gt;0,1,0))</f>
        <v/>
      </c>
      <c r="E886">
        <f>IF(D886=1,0,IF(B886="RETURN",IF(COUNTIFS($A$1:A885,A886,$B$1:B885,"SALE",$E$1:E885,1)&gt;0,1,0),1))</f>
        <v/>
      </c>
      <c r="F886">
        <f>IF(E886=1,IF(B886="RECEIPT",Transactions!E886,IF(AND(B886="RETURN",LOWER(TRIM(Transactions!H886))="resellable"),Transactions!E886,0)),0)</f>
        <v/>
      </c>
      <c r="G886">
        <f>IF(F886&gt;0,IF(B886="RECEIPT",Transactions!F886,IF(_xlfn.MAXIFS($H$2:H886,$A$2:A886,A886)&gt;0,INDEX(Transactions!$F:$F,_xlfn.MAXIFS($H$2:H886,$A$2:A886,A886)),W886)),0)</f>
        <v/>
      </c>
      <c r="H886">
        <f>IF(AND(E886=1,B886="RECEIPT"),ROW(),0)</f>
        <v/>
      </c>
      <c r="I886">
        <f>IF(E886=1,IF(OR(B886="SALE",B886="WRITEOFF"),Transactions!E886,0),0)</f>
        <v/>
      </c>
      <c r="J886">
        <f>SUMIFS($F$1:F885,$A$1:A885,A886)</f>
        <v/>
      </c>
      <c r="K886">
        <f>SUMIFS($I$1:I885,$A$1:A885,A886)</f>
        <v/>
      </c>
      <c r="L886">
        <f>IFERROR(VLOOKUP(A886,Opening!$A:$C,3,0),0)</f>
        <v/>
      </c>
      <c r="M886">
        <f>IF(I886=0,0,MAX(0,MIN(INDEX(Month!H$2:H$13,MATCH($A886,Month!$A$2:$A$13,0))-K886,I886)))</f>
        <v/>
      </c>
      <c r="N886">
        <f>IF(I886=0,0,MAX(0,MIN(INDEX(Month!I$2:I$13,MATCH($A886,Month!$A$2:$A$13,0))-K886,I886)))</f>
        <v/>
      </c>
      <c r="O886">
        <f>IF(I886=0,0,MAX(0,MIN(INDEX(Month!J$2:J$13,MATCH($A886,Month!$A$2:$A$13,0))-K886,I886)))</f>
        <v/>
      </c>
      <c r="P886">
        <f>IF(I886=0,0,(MIN(MAX(K886,0),L886)*W886+SUMPRODUCT((Calc!$A$2:$A$1001=A886)*Calc!$G$2:$G$1001*(((K886-(L886+Calc!$J$2:$J$1001))&gt;0)*((K886-(L886+Calc!$J$2:$J$1001))&lt;Calc!$F$2:$F$1001)*(K886-(L886+Calc!$J$2:$J$1001))+((K886-(L886+Calc!$J$2:$J$1001))&gt;=Calc!$F$2:$F$1001)*Calc!$F$2:$F$1001))))</f>
        <v/>
      </c>
      <c r="Q886">
        <f>IF(I886=0,0,(MIN(MAX((K886+M886),0),L886)*W886+SUMPRODUCT((Calc!$A$2:$A$1001=A886)*Calc!$G$2:$G$1001*((((K886+M886)-(L886+Calc!$J$2:$J$1001))&gt;0)*(((K886+M886)-(L886+Calc!$J$2:$J$1001))&lt;Calc!$F$2:$F$1001)*((K886+M886)-(L886+Calc!$J$2:$J$1001))+(((K886+M886)-(L886+Calc!$J$2:$J$1001))&gt;=Calc!$F$2:$F$1001)*Calc!$F$2:$F$1001))))</f>
        <v/>
      </c>
      <c r="R886">
        <f>IF(I886=0,0,(MIN(MAX((K886+N886),0),L886)*W886+SUMPRODUCT((Calc!$A$2:$A$1001=A886)*Calc!$G$2:$G$1001*((((K886+N886)-(L886+Calc!$J$2:$J$1001))&gt;0)*(((K886+N886)-(L886+Calc!$J$2:$J$1001))&lt;Calc!$F$2:$F$1001)*((K886+N886)-(L886+Calc!$J$2:$J$1001))+(((K886+N886)-(L886+Calc!$J$2:$J$1001))&gt;=Calc!$F$2:$F$1001)*Calc!$F$2:$F$1001))))</f>
        <v/>
      </c>
      <c r="S886">
        <f>IF(I886=0,0,(MIN(MAX((K886+O886),0),L886)*W886+SUMPRODUCT((Calc!$A$2:$A$1001=A886)*Calc!$G$2:$G$1001*((((K886+O886)-(L886+Calc!$J$2:$J$1001))&gt;0)*(((K886+O886)-(L886+Calc!$J$2:$J$1001))&lt;Calc!$F$2:$F$1001)*((K886+O886)-(L886+Calc!$J$2:$J$1001))+(((K886+O886)-(L886+Calc!$J$2:$J$1001))&gt;=Calc!$F$2:$F$1001)*Calc!$F$2:$F$1001))))</f>
        <v/>
      </c>
      <c r="T886">
        <f>IF(AND(E886=1,B886="RETURN"),Transactions!E886*Transactions!G886,0)</f>
        <v/>
      </c>
      <c r="U886">
        <f>IF(AND(E886=1,B886="EXPENSE"),Transactions!J886,0)</f>
        <v/>
      </c>
      <c r="V886">
        <f>IF(AND(Transactions!A886&lt;&gt;"",E886=0),ROW(),"")</f>
        <v/>
      </c>
      <c r="W886">
        <f>IFERROR(VLOOKUP(A886,Opening!$A:$D,4,0),0)</f>
        <v/>
      </c>
    </row>
    <row r="887">
      <c r="A887">
        <f>IF(Transactions!D887="","",UPPER(TRIM(Transactions!D887)))</f>
        <v/>
      </c>
      <c r="B887">
        <f>IF(Transactions!C887="","",UPPER(TRIM(Transactions!C887)))</f>
        <v/>
      </c>
      <c r="C887">
        <f>IF(Transactions!B887="",0,YEAR(Transactions!B887)*100+MONTH(Transactions!B887))</f>
        <v/>
      </c>
      <c r="D887">
        <f>IF(Transactions!A887="",1,IF(COUNTIF(Transactions!$A$1:A886,Transactions!A887)&gt;0,1,0))</f>
        <v/>
      </c>
      <c r="E887">
        <f>IF(D887=1,0,IF(B887="RETURN",IF(COUNTIFS($A$1:A886,A887,$B$1:B886,"SALE",$E$1:E886,1)&gt;0,1,0),1))</f>
        <v/>
      </c>
      <c r="F887">
        <f>IF(E887=1,IF(B887="RECEIPT",Transactions!E887,IF(AND(B887="RETURN",LOWER(TRIM(Transactions!H887))="resellable"),Transactions!E887,0)),0)</f>
        <v/>
      </c>
      <c r="G887">
        <f>IF(F887&gt;0,IF(B887="RECEIPT",Transactions!F887,IF(_xlfn.MAXIFS($H$2:H887,$A$2:A887,A887)&gt;0,INDEX(Transactions!$F:$F,_xlfn.MAXIFS($H$2:H887,$A$2:A887,A887)),W887)),0)</f>
        <v/>
      </c>
      <c r="H887">
        <f>IF(AND(E887=1,B887="RECEIPT"),ROW(),0)</f>
        <v/>
      </c>
      <c r="I887">
        <f>IF(E887=1,IF(OR(B887="SALE",B887="WRITEOFF"),Transactions!E887,0),0)</f>
        <v/>
      </c>
      <c r="J887">
        <f>SUMIFS($F$1:F886,$A$1:A886,A887)</f>
        <v/>
      </c>
      <c r="K887">
        <f>SUMIFS($I$1:I886,$A$1:A886,A887)</f>
        <v/>
      </c>
      <c r="L887">
        <f>IFERROR(VLOOKUP(A887,Opening!$A:$C,3,0),0)</f>
        <v/>
      </c>
      <c r="M887">
        <f>IF(I887=0,0,MAX(0,MIN(INDEX(Month!H$2:H$13,MATCH($A887,Month!$A$2:$A$13,0))-K887,I887)))</f>
        <v/>
      </c>
      <c r="N887">
        <f>IF(I887=0,0,MAX(0,MIN(INDEX(Month!I$2:I$13,MATCH($A887,Month!$A$2:$A$13,0))-K887,I887)))</f>
        <v/>
      </c>
      <c r="O887">
        <f>IF(I887=0,0,MAX(0,MIN(INDEX(Month!J$2:J$13,MATCH($A887,Month!$A$2:$A$13,0))-K887,I887)))</f>
        <v/>
      </c>
      <c r="P887">
        <f>IF(I887=0,0,(MIN(MAX(K887,0),L887)*W887+SUMPRODUCT((Calc!$A$2:$A$1001=A887)*Calc!$G$2:$G$1001*(((K887-(L887+Calc!$J$2:$J$1001))&gt;0)*((K887-(L887+Calc!$J$2:$J$1001))&lt;Calc!$F$2:$F$1001)*(K887-(L887+Calc!$J$2:$J$1001))+((K887-(L887+Calc!$J$2:$J$1001))&gt;=Calc!$F$2:$F$1001)*Calc!$F$2:$F$1001))))</f>
        <v/>
      </c>
      <c r="Q887">
        <f>IF(I887=0,0,(MIN(MAX((K887+M887),0),L887)*W887+SUMPRODUCT((Calc!$A$2:$A$1001=A887)*Calc!$G$2:$G$1001*((((K887+M887)-(L887+Calc!$J$2:$J$1001))&gt;0)*(((K887+M887)-(L887+Calc!$J$2:$J$1001))&lt;Calc!$F$2:$F$1001)*((K887+M887)-(L887+Calc!$J$2:$J$1001))+(((K887+M887)-(L887+Calc!$J$2:$J$1001))&gt;=Calc!$F$2:$F$1001)*Calc!$F$2:$F$1001))))</f>
        <v/>
      </c>
      <c r="R887">
        <f>IF(I887=0,0,(MIN(MAX((K887+N887),0),L887)*W887+SUMPRODUCT((Calc!$A$2:$A$1001=A887)*Calc!$G$2:$G$1001*((((K887+N887)-(L887+Calc!$J$2:$J$1001))&gt;0)*(((K887+N887)-(L887+Calc!$J$2:$J$1001))&lt;Calc!$F$2:$F$1001)*((K887+N887)-(L887+Calc!$J$2:$J$1001))+(((K887+N887)-(L887+Calc!$J$2:$J$1001))&gt;=Calc!$F$2:$F$1001)*Calc!$F$2:$F$1001))))</f>
        <v/>
      </c>
      <c r="S887">
        <f>IF(I887=0,0,(MIN(MAX((K887+O887),0),L887)*W887+SUMPRODUCT((Calc!$A$2:$A$1001=A887)*Calc!$G$2:$G$1001*((((K887+O887)-(L887+Calc!$J$2:$J$1001))&gt;0)*(((K887+O887)-(L887+Calc!$J$2:$J$1001))&lt;Calc!$F$2:$F$1001)*((K887+O887)-(L887+Calc!$J$2:$J$1001))+(((K887+O887)-(L887+Calc!$J$2:$J$1001))&gt;=Calc!$F$2:$F$1001)*Calc!$F$2:$F$1001))))</f>
        <v/>
      </c>
      <c r="T887">
        <f>IF(AND(E887=1,B887="RETURN"),Transactions!E887*Transactions!G887,0)</f>
        <v/>
      </c>
      <c r="U887">
        <f>IF(AND(E887=1,B887="EXPENSE"),Transactions!J887,0)</f>
        <v/>
      </c>
      <c r="V887">
        <f>IF(AND(Transactions!A887&lt;&gt;"",E887=0),ROW(),"")</f>
        <v/>
      </c>
      <c r="W887">
        <f>IFERROR(VLOOKUP(A887,Opening!$A:$D,4,0),0)</f>
        <v/>
      </c>
    </row>
    <row r="888">
      <c r="A888">
        <f>IF(Transactions!D888="","",UPPER(TRIM(Transactions!D888)))</f>
        <v/>
      </c>
      <c r="B888">
        <f>IF(Transactions!C888="","",UPPER(TRIM(Transactions!C888)))</f>
        <v/>
      </c>
      <c r="C888">
        <f>IF(Transactions!B888="",0,YEAR(Transactions!B888)*100+MONTH(Transactions!B888))</f>
        <v/>
      </c>
      <c r="D888">
        <f>IF(Transactions!A888="",1,IF(COUNTIF(Transactions!$A$1:A887,Transactions!A888)&gt;0,1,0))</f>
        <v/>
      </c>
      <c r="E888">
        <f>IF(D888=1,0,IF(B888="RETURN",IF(COUNTIFS($A$1:A887,A888,$B$1:B887,"SALE",$E$1:E887,1)&gt;0,1,0),1))</f>
        <v/>
      </c>
      <c r="F888">
        <f>IF(E888=1,IF(B888="RECEIPT",Transactions!E888,IF(AND(B888="RETURN",LOWER(TRIM(Transactions!H888))="resellable"),Transactions!E888,0)),0)</f>
        <v/>
      </c>
      <c r="G888">
        <f>IF(F888&gt;0,IF(B888="RECEIPT",Transactions!F888,IF(_xlfn.MAXIFS($H$2:H888,$A$2:A888,A888)&gt;0,INDEX(Transactions!$F:$F,_xlfn.MAXIFS($H$2:H888,$A$2:A888,A888)),W888)),0)</f>
        <v/>
      </c>
      <c r="H888">
        <f>IF(AND(E888=1,B888="RECEIPT"),ROW(),0)</f>
        <v/>
      </c>
      <c r="I888">
        <f>IF(E888=1,IF(OR(B888="SALE",B888="WRITEOFF"),Transactions!E888,0),0)</f>
        <v/>
      </c>
      <c r="J888">
        <f>SUMIFS($F$1:F887,$A$1:A887,A888)</f>
        <v/>
      </c>
      <c r="K888">
        <f>SUMIFS($I$1:I887,$A$1:A887,A888)</f>
        <v/>
      </c>
      <c r="L888">
        <f>IFERROR(VLOOKUP(A888,Opening!$A:$C,3,0),0)</f>
        <v/>
      </c>
      <c r="M888">
        <f>IF(I888=0,0,MAX(0,MIN(INDEX(Month!H$2:H$13,MATCH($A888,Month!$A$2:$A$13,0))-K888,I888)))</f>
        <v/>
      </c>
      <c r="N888">
        <f>IF(I888=0,0,MAX(0,MIN(INDEX(Month!I$2:I$13,MATCH($A888,Month!$A$2:$A$13,0))-K888,I888)))</f>
        <v/>
      </c>
      <c r="O888">
        <f>IF(I888=0,0,MAX(0,MIN(INDEX(Month!J$2:J$13,MATCH($A888,Month!$A$2:$A$13,0))-K888,I888)))</f>
        <v/>
      </c>
      <c r="P888">
        <f>IF(I888=0,0,(MIN(MAX(K888,0),L888)*W888+SUMPRODUCT((Calc!$A$2:$A$1001=A888)*Calc!$G$2:$G$1001*(((K888-(L888+Calc!$J$2:$J$1001))&gt;0)*((K888-(L888+Calc!$J$2:$J$1001))&lt;Calc!$F$2:$F$1001)*(K888-(L888+Calc!$J$2:$J$1001))+((K888-(L888+Calc!$J$2:$J$1001))&gt;=Calc!$F$2:$F$1001)*Calc!$F$2:$F$1001))))</f>
        <v/>
      </c>
      <c r="Q888">
        <f>IF(I888=0,0,(MIN(MAX((K888+M888),0),L888)*W888+SUMPRODUCT((Calc!$A$2:$A$1001=A888)*Calc!$G$2:$G$1001*((((K888+M888)-(L888+Calc!$J$2:$J$1001))&gt;0)*(((K888+M888)-(L888+Calc!$J$2:$J$1001))&lt;Calc!$F$2:$F$1001)*((K888+M888)-(L888+Calc!$J$2:$J$1001))+(((K888+M888)-(L888+Calc!$J$2:$J$1001))&gt;=Calc!$F$2:$F$1001)*Calc!$F$2:$F$1001))))</f>
        <v/>
      </c>
      <c r="R888">
        <f>IF(I888=0,0,(MIN(MAX((K888+N888),0),L888)*W888+SUMPRODUCT((Calc!$A$2:$A$1001=A888)*Calc!$G$2:$G$1001*((((K888+N888)-(L888+Calc!$J$2:$J$1001))&gt;0)*(((K888+N888)-(L888+Calc!$J$2:$J$1001))&lt;Calc!$F$2:$F$1001)*((K888+N888)-(L888+Calc!$J$2:$J$1001))+(((K888+N888)-(L888+Calc!$J$2:$J$1001))&gt;=Calc!$F$2:$F$1001)*Calc!$F$2:$F$1001))))</f>
        <v/>
      </c>
      <c r="S888">
        <f>IF(I888=0,0,(MIN(MAX((K888+O888),0),L888)*W888+SUMPRODUCT((Calc!$A$2:$A$1001=A888)*Calc!$G$2:$G$1001*((((K888+O888)-(L888+Calc!$J$2:$J$1001))&gt;0)*(((K888+O888)-(L888+Calc!$J$2:$J$1001))&lt;Calc!$F$2:$F$1001)*((K888+O888)-(L888+Calc!$J$2:$J$1001))+(((K888+O888)-(L888+Calc!$J$2:$J$1001))&gt;=Calc!$F$2:$F$1001)*Calc!$F$2:$F$1001))))</f>
        <v/>
      </c>
      <c r="T888">
        <f>IF(AND(E888=1,B888="RETURN"),Transactions!E888*Transactions!G888,0)</f>
        <v/>
      </c>
      <c r="U888">
        <f>IF(AND(E888=1,B888="EXPENSE"),Transactions!J888,0)</f>
        <v/>
      </c>
      <c r="V888">
        <f>IF(AND(Transactions!A888&lt;&gt;"",E888=0),ROW(),"")</f>
        <v/>
      </c>
      <c r="W888">
        <f>IFERROR(VLOOKUP(A888,Opening!$A:$D,4,0),0)</f>
        <v/>
      </c>
    </row>
    <row r="889">
      <c r="A889">
        <f>IF(Transactions!D889="","",UPPER(TRIM(Transactions!D889)))</f>
        <v/>
      </c>
      <c r="B889">
        <f>IF(Transactions!C889="","",UPPER(TRIM(Transactions!C889)))</f>
        <v/>
      </c>
      <c r="C889">
        <f>IF(Transactions!B889="",0,YEAR(Transactions!B889)*100+MONTH(Transactions!B889))</f>
        <v/>
      </c>
      <c r="D889">
        <f>IF(Transactions!A889="",1,IF(COUNTIF(Transactions!$A$1:A888,Transactions!A889)&gt;0,1,0))</f>
        <v/>
      </c>
      <c r="E889">
        <f>IF(D889=1,0,IF(B889="RETURN",IF(COUNTIFS($A$1:A888,A889,$B$1:B888,"SALE",$E$1:E888,1)&gt;0,1,0),1))</f>
        <v/>
      </c>
      <c r="F889">
        <f>IF(E889=1,IF(B889="RECEIPT",Transactions!E889,IF(AND(B889="RETURN",LOWER(TRIM(Transactions!H889))="resellable"),Transactions!E889,0)),0)</f>
        <v/>
      </c>
      <c r="G889">
        <f>IF(F889&gt;0,IF(B889="RECEIPT",Transactions!F889,IF(_xlfn.MAXIFS($H$2:H889,$A$2:A889,A889)&gt;0,INDEX(Transactions!$F:$F,_xlfn.MAXIFS($H$2:H889,$A$2:A889,A889)),W889)),0)</f>
        <v/>
      </c>
      <c r="H889">
        <f>IF(AND(E889=1,B889="RECEIPT"),ROW(),0)</f>
        <v/>
      </c>
      <c r="I889">
        <f>IF(E889=1,IF(OR(B889="SALE",B889="WRITEOFF"),Transactions!E889,0),0)</f>
        <v/>
      </c>
      <c r="J889">
        <f>SUMIFS($F$1:F888,$A$1:A888,A889)</f>
        <v/>
      </c>
      <c r="K889">
        <f>SUMIFS($I$1:I888,$A$1:A888,A889)</f>
        <v/>
      </c>
      <c r="L889">
        <f>IFERROR(VLOOKUP(A889,Opening!$A:$C,3,0),0)</f>
        <v/>
      </c>
      <c r="M889">
        <f>IF(I889=0,0,MAX(0,MIN(INDEX(Month!H$2:H$13,MATCH($A889,Month!$A$2:$A$13,0))-K889,I889)))</f>
        <v/>
      </c>
      <c r="N889">
        <f>IF(I889=0,0,MAX(0,MIN(INDEX(Month!I$2:I$13,MATCH($A889,Month!$A$2:$A$13,0))-K889,I889)))</f>
        <v/>
      </c>
      <c r="O889">
        <f>IF(I889=0,0,MAX(0,MIN(INDEX(Month!J$2:J$13,MATCH($A889,Month!$A$2:$A$13,0))-K889,I889)))</f>
        <v/>
      </c>
      <c r="P889">
        <f>IF(I889=0,0,(MIN(MAX(K889,0),L889)*W889+SUMPRODUCT((Calc!$A$2:$A$1001=A889)*Calc!$G$2:$G$1001*(((K889-(L889+Calc!$J$2:$J$1001))&gt;0)*((K889-(L889+Calc!$J$2:$J$1001))&lt;Calc!$F$2:$F$1001)*(K889-(L889+Calc!$J$2:$J$1001))+((K889-(L889+Calc!$J$2:$J$1001))&gt;=Calc!$F$2:$F$1001)*Calc!$F$2:$F$1001))))</f>
        <v/>
      </c>
      <c r="Q889">
        <f>IF(I889=0,0,(MIN(MAX((K889+M889),0),L889)*W889+SUMPRODUCT((Calc!$A$2:$A$1001=A889)*Calc!$G$2:$G$1001*((((K889+M889)-(L889+Calc!$J$2:$J$1001))&gt;0)*(((K889+M889)-(L889+Calc!$J$2:$J$1001))&lt;Calc!$F$2:$F$1001)*((K889+M889)-(L889+Calc!$J$2:$J$1001))+(((K889+M889)-(L889+Calc!$J$2:$J$1001))&gt;=Calc!$F$2:$F$1001)*Calc!$F$2:$F$1001))))</f>
        <v/>
      </c>
      <c r="R889">
        <f>IF(I889=0,0,(MIN(MAX((K889+N889),0),L889)*W889+SUMPRODUCT((Calc!$A$2:$A$1001=A889)*Calc!$G$2:$G$1001*((((K889+N889)-(L889+Calc!$J$2:$J$1001))&gt;0)*(((K889+N889)-(L889+Calc!$J$2:$J$1001))&lt;Calc!$F$2:$F$1001)*((K889+N889)-(L889+Calc!$J$2:$J$1001))+(((K889+N889)-(L889+Calc!$J$2:$J$1001))&gt;=Calc!$F$2:$F$1001)*Calc!$F$2:$F$1001))))</f>
        <v/>
      </c>
      <c r="S889">
        <f>IF(I889=0,0,(MIN(MAX((K889+O889),0),L889)*W889+SUMPRODUCT((Calc!$A$2:$A$1001=A889)*Calc!$G$2:$G$1001*((((K889+O889)-(L889+Calc!$J$2:$J$1001))&gt;0)*(((K889+O889)-(L889+Calc!$J$2:$J$1001))&lt;Calc!$F$2:$F$1001)*((K889+O889)-(L889+Calc!$J$2:$J$1001))+(((K889+O889)-(L889+Calc!$J$2:$J$1001))&gt;=Calc!$F$2:$F$1001)*Calc!$F$2:$F$1001))))</f>
        <v/>
      </c>
      <c r="T889">
        <f>IF(AND(E889=1,B889="RETURN"),Transactions!E889*Transactions!G889,0)</f>
        <v/>
      </c>
      <c r="U889">
        <f>IF(AND(E889=1,B889="EXPENSE"),Transactions!J889,0)</f>
        <v/>
      </c>
      <c r="V889">
        <f>IF(AND(Transactions!A889&lt;&gt;"",E889=0),ROW(),"")</f>
        <v/>
      </c>
      <c r="W889">
        <f>IFERROR(VLOOKUP(A889,Opening!$A:$D,4,0),0)</f>
        <v/>
      </c>
    </row>
    <row r="890">
      <c r="A890">
        <f>IF(Transactions!D890="","",UPPER(TRIM(Transactions!D890)))</f>
        <v/>
      </c>
      <c r="B890">
        <f>IF(Transactions!C890="","",UPPER(TRIM(Transactions!C890)))</f>
        <v/>
      </c>
      <c r="C890">
        <f>IF(Transactions!B890="",0,YEAR(Transactions!B890)*100+MONTH(Transactions!B890))</f>
        <v/>
      </c>
      <c r="D890">
        <f>IF(Transactions!A890="",1,IF(COUNTIF(Transactions!$A$1:A889,Transactions!A890)&gt;0,1,0))</f>
        <v/>
      </c>
      <c r="E890">
        <f>IF(D890=1,0,IF(B890="RETURN",IF(COUNTIFS($A$1:A889,A890,$B$1:B889,"SALE",$E$1:E889,1)&gt;0,1,0),1))</f>
        <v/>
      </c>
      <c r="F890">
        <f>IF(E890=1,IF(B890="RECEIPT",Transactions!E890,IF(AND(B890="RETURN",LOWER(TRIM(Transactions!H890))="resellable"),Transactions!E890,0)),0)</f>
        <v/>
      </c>
      <c r="G890">
        <f>IF(F890&gt;0,IF(B890="RECEIPT",Transactions!F890,IF(_xlfn.MAXIFS($H$2:H890,$A$2:A890,A890)&gt;0,INDEX(Transactions!$F:$F,_xlfn.MAXIFS($H$2:H890,$A$2:A890,A890)),W890)),0)</f>
        <v/>
      </c>
      <c r="H890">
        <f>IF(AND(E890=1,B890="RECEIPT"),ROW(),0)</f>
        <v/>
      </c>
      <c r="I890">
        <f>IF(E890=1,IF(OR(B890="SALE",B890="WRITEOFF"),Transactions!E890,0),0)</f>
        <v/>
      </c>
      <c r="J890">
        <f>SUMIFS($F$1:F889,$A$1:A889,A890)</f>
        <v/>
      </c>
      <c r="K890">
        <f>SUMIFS($I$1:I889,$A$1:A889,A890)</f>
        <v/>
      </c>
      <c r="L890">
        <f>IFERROR(VLOOKUP(A890,Opening!$A:$C,3,0),0)</f>
        <v/>
      </c>
      <c r="M890">
        <f>IF(I890=0,0,MAX(0,MIN(INDEX(Month!H$2:H$13,MATCH($A890,Month!$A$2:$A$13,0))-K890,I890)))</f>
        <v/>
      </c>
      <c r="N890">
        <f>IF(I890=0,0,MAX(0,MIN(INDEX(Month!I$2:I$13,MATCH($A890,Month!$A$2:$A$13,0))-K890,I890)))</f>
        <v/>
      </c>
      <c r="O890">
        <f>IF(I890=0,0,MAX(0,MIN(INDEX(Month!J$2:J$13,MATCH($A890,Month!$A$2:$A$13,0))-K890,I890)))</f>
        <v/>
      </c>
      <c r="P890">
        <f>IF(I890=0,0,(MIN(MAX(K890,0),L890)*W890+SUMPRODUCT((Calc!$A$2:$A$1001=A890)*Calc!$G$2:$G$1001*(((K890-(L890+Calc!$J$2:$J$1001))&gt;0)*((K890-(L890+Calc!$J$2:$J$1001))&lt;Calc!$F$2:$F$1001)*(K890-(L890+Calc!$J$2:$J$1001))+((K890-(L890+Calc!$J$2:$J$1001))&gt;=Calc!$F$2:$F$1001)*Calc!$F$2:$F$1001))))</f>
        <v/>
      </c>
      <c r="Q890">
        <f>IF(I890=0,0,(MIN(MAX((K890+M890),0),L890)*W890+SUMPRODUCT((Calc!$A$2:$A$1001=A890)*Calc!$G$2:$G$1001*((((K890+M890)-(L890+Calc!$J$2:$J$1001))&gt;0)*(((K890+M890)-(L890+Calc!$J$2:$J$1001))&lt;Calc!$F$2:$F$1001)*((K890+M890)-(L890+Calc!$J$2:$J$1001))+(((K890+M890)-(L890+Calc!$J$2:$J$1001))&gt;=Calc!$F$2:$F$1001)*Calc!$F$2:$F$1001))))</f>
        <v/>
      </c>
      <c r="R890">
        <f>IF(I890=0,0,(MIN(MAX((K890+N890),0),L890)*W890+SUMPRODUCT((Calc!$A$2:$A$1001=A890)*Calc!$G$2:$G$1001*((((K890+N890)-(L890+Calc!$J$2:$J$1001))&gt;0)*(((K890+N890)-(L890+Calc!$J$2:$J$1001))&lt;Calc!$F$2:$F$1001)*((K890+N890)-(L890+Calc!$J$2:$J$1001))+(((K890+N890)-(L890+Calc!$J$2:$J$1001))&gt;=Calc!$F$2:$F$1001)*Calc!$F$2:$F$1001))))</f>
        <v/>
      </c>
      <c r="S890">
        <f>IF(I890=0,0,(MIN(MAX((K890+O890),0),L890)*W890+SUMPRODUCT((Calc!$A$2:$A$1001=A890)*Calc!$G$2:$G$1001*((((K890+O890)-(L890+Calc!$J$2:$J$1001))&gt;0)*(((K890+O890)-(L890+Calc!$J$2:$J$1001))&lt;Calc!$F$2:$F$1001)*((K890+O890)-(L890+Calc!$J$2:$J$1001))+(((K890+O890)-(L890+Calc!$J$2:$J$1001))&gt;=Calc!$F$2:$F$1001)*Calc!$F$2:$F$1001))))</f>
        <v/>
      </c>
      <c r="T890">
        <f>IF(AND(E890=1,B890="RETURN"),Transactions!E890*Transactions!G890,0)</f>
        <v/>
      </c>
      <c r="U890">
        <f>IF(AND(E890=1,B890="EXPENSE"),Transactions!J890,0)</f>
        <v/>
      </c>
      <c r="V890">
        <f>IF(AND(Transactions!A890&lt;&gt;"",E890=0),ROW(),"")</f>
        <v/>
      </c>
      <c r="W890">
        <f>IFERROR(VLOOKUP(A890,Opening!$A:$D,4,0),0)</f>
        <v/>
      </c>
    </row>
    <row r="891">
      <c r="A891">
        <f>IF(Transactions!D891="","",UPPER(TRIM(Transactions!D891)))</f>
        <v/>
      </c>
      <c r="B891">
        <f>IF(Transactions!C891="","",UPPER(TRIM(Transactions!C891)))</f>
        <v/>
      </c>
      <c r="C891">
        <f>IF(Transactions!B891="",0,YEAR(Transactions!B891)*100+MONTH(Transactions!B891))</f>
        <v/>
      </c>
      <c r="D891">
        <f>IF(Transactions!A891="",1,IF(COUNTIF(Transactions!$A$1:A890,Transactions!A891)&gt;0,1,0))</f>
        <v/>
      </c>
      <c r="E891">
        <f>IF(D891=1,0,IF(B891="RETURN",IF(COUNTIFS($A$1:A890,A891,$B$1:B890,"SALE",$E$1:E890,1)&gt;0,1,0),1))</f>
        <v/>
      </c>
      <c r="F891">
        <f>IF(E891=1,IF(B891="RECEIPT",Transactions!E891,IF(AND(B891="RETURN",LOWER(TRIM(Transactions!H891))="resellable"),Transactions!E891,0)),0)</f>
        <v/>
      </c>
      <c r="G891">
        <f>IF(F891&gt;0,IF(B891="RECEIPT",Transactions!F891,IF(_xlfn.MAXIFS($H$2:H891,$A$2:A891,A891)&gt;0,INDEX(Transactions!$F:$F,_xlfn.MAXIFS($H$2:H891,$A$2:A891,A891)),W891)),0)</f>
        <v/>
      </c>
      <c r="H891">
        <f>IF(AND(E891=1,B891="RECEIPT"),ROW(),0)</f>
        <v/>
      </c>
      <c r="I891">
        <f>IF(E891=1,IF(OR(B891="SALE",B891="WRITEOFF"),Transactions!E891,0),0)</f>
        <v/>
      </c>
      <c r="J891">
        <f>SUMIFS($F$1:F890,$A$1:A890,A891)</f>
        <v/>
      </c>
      <c r="K891">
        <f>SUMIFS($I$1:I890,$A$1:A890,A891)</f>
        <v/>
      </c>
      <c r="L891">
        <f>IFERROR(VLOOKUP(A891,Opening!$A:$C,3,0),0)</f>
        <v/>
      </c>
      <c r="M891">
        <f>IF(I891=0,0,MAX(0,MIN(INDEX(Month!H$2:H$13,MATCH($A891,Month!$A$2:$A$13,0))-K891,I891)))</f>
        <v/>
      </c>
      <c r="N891">
        <f>IF(I891=0,0,MAX(0,MIN(INDEX(Month!I$2:I$13,MATCH($A891,Month!$A$2:$A$13,0))-K891,I891)))</f>
        <v/>
      </c>
      <c r="O891">
        <f>IF(I891=0,0,MAX(0,MIN(INDEX(Month!J$2:J$13,MATCH($A891,Month!$A$2:$A$13,0))-K891,I891)))</f>
        <v/>
      </c>
      <c r="P891">
        <f>IF(I891=0,0,(MIN(MAX(K891,0),L891)*W891+SUMPRODUCT((Calc!$A$2:$A$1001=A891)*Calc!$G$2:$G$1001*(((K891-(L891+Calc!$J$2:$J$1001))&gt;0)*((K891-(L891+Calc!$J$2:$J$1001))&lt;Calc!$F$2:$F$1001)*(K891-(L891+Calc!$J$2:$J$1001))+((K891-(L891+Calc!$J$2:$J$1001))&gt;=Calc!$F$2:$F$1001)*Calc!$F$2:$F$1001))))</f>
        <v/>
      </c>
      <c r="Q891">
        <f>IF(I891=0,0,(MIN(MAX((K891+M891),0),L891)*W891+SUMPRODUCT((Calc!$A$2:$A$1001=A891)*Calc!$G$2:$G$1001*((((K891+M891)-(L891+Calc!$J$2:$J$1001))&gt;0)*(((K891+M891)-(L891+Calc!$J$2:$J$1001))&lt;Calc!$F$2:$F$1001)*((K891+M891)-(L891+Calc!$J$2:$J$1001))+(((K891+M891)-(L891+Calc!$J$2:$J$1001))&gt;=Calc!$F$2:$F$1001)*Calc!$F$2:$F$1001))))</f>
        <v/>
      </c>
      <c r="R891">
        <f>IF(I891=0,0,(MIN(MAX((K891+N891),0),L891)*W891+SUMPRODUCT((Calc!$A$2:$A$1001=A891)*Calc!$G$2:$G$1001*((((K891+N891)-(L891+Calc!$J$2:$J$1001))&gt;0)*(((K891+N891)-(L891+Calc!$J$2:$J$1001))&lt;Calc!$F$2:$F$1001)*((K891+N891)-(L891+Calc!$J$2:$J$1001))+(((K891+N891)-(L891+Calc!$J$2:$J$1001))&gt;=Calc!$F$2:$F$1001)*Calc!$F$2:$F$1001))))</f>
        <v/>
      </c>
      <c r="S891">
        <f>IF(I891=0,0,(MIN(MAX((K891+O891),0),L891)*W891+SUMPRODUCT((Calc!$A$2:$A$1001=A891)*Calc!$G$2:$G$1001*((((K891+O891)-(L891+Calc!$J$2:$J$1001))&gt;0)*(((K891+O891)-(L891+Calc!$J$2:$J$1001))&lt;Calc!$F$2:$F$1001)*((K891+O891)-(L891+Calc!$J$2:$J$1001))+(((K891+O891)-(L891+Calc!$J$2:$J$1001))&gt;=Calc!$F$2:$F$1001)*Calc!$F$2:$F$1001))))</f>
        <v/>
      </c>
      <c r="T891">
        <f>IF(AND(E891=1,B891="RETURN"),Transactions!E891*Transactions!G891,0)</f>
        <v/>
      </c>
      <c r="U891">
        <f>IF(AND(E891=1,B891="EXPENSE"),Transactions!J891,0)</f>
        <v/>
      </c>
      <c r="V891">
        <f>IF(AND(Transactions!A891&lt;&gt;"",E891=0),ROW(),"")</f>
        <v/>
      </c>
      <c r="W891">
        <f>IFERROR(VLOOKUP(A891,Opening!$A:$D,4,0),0)</f>
        <v/>
      </c>
    </row>
    <row r="892">
      <c r="A892">
        <f>IF(Transactions!D892="","",UPPER(TRIM(Transactions!D892)))</f>
        <v/>
      </c>
      <c r="B892">
        <f>IF(Transactions!C892="","",UPPER(TRIM(Transactions!C892)))</f>
        <v/>
      </c>
      <c r="C892">
        <f>IF(Transactions!B892="",0,YEAR(Transactions!B892)*100+MONTH(Transactions!B892))</f>
        <v/>
      </c>
      <c r="D892">
        <f>IF(Transactions!A892="",1,IF(COUNTIF(Transactions!$A$1:A891,Transactions!A892)&gt;0,1,0))</f>
        <v/>
      </c>
      <c r="E892">
        <f>IF(D892=1,0,IF(B892="RETURN",IF(COUNTIFS($A$1:A891,A892,$B$1:B891,"SALE",$E$1:E891,1)&gt;0,1,0),1))</f>
        <v/>
      </c>
      <c r="F892">
        <f>IF(E892=1,IF(B892="RECEIPT",Transactions!E892,IF(AND(B892="RETURN",LOWER(TRIM(Transactions!H892))="resellable"),Transactions!E892,0)),0)</f>
        <v/>
      </c>
      <c r="G892">
        <f>IF(F892&gt;0,IF(B892="RECEIPT",Transactions!F892,IF(_xlfn.MAXIFS($H$2:H892,$A$2:A892,A892)&gt;0,INDEX(Transactions!$F:$F,_xlfn.MAXIFS($H$2:H892,$A$2:A892,A892)),W892)),0)</f>
        <v/>
      </c>
      <c r="H892">
        <f>IF(AND(E892=1,B892="RECEIPT"),ROW(),0)</f>
        <v/>
      </c>
      <c r="I892">
        <f>IF(E892=1,IF(OR(B892="SALE",B892="WRITEOFF"),Transactions!E892,0),0)</f>
        <v/>
      </c>
      <c r="J892">
        <f>SUMIFS($F$1:F891,$A$1:A891,A892)</f>
        <v/>
      </c>
      <c r="K892">
        <f>SUMIFS($I$1:I891,$A$1:A891,A892)</f>
        <v/>
      </c>
      <c r="L892">
        <f>IFERROR(VLOOKUP(A892,Opening!$A:$C,3,0),0)</f>
        <v/>
      </c>
      <c r="M892">
        <f>IF(I892=0,0,MAX(0,MIN(INDEX(Month!H$2:H$13,MATCH($A892,Month!$A$2:$A$13,0))-K892,I892)))</f>
        <v/>
      </c>
      <c r="N892">
        <f>IF(I892=0,0,MAX(0,MIN(INDEX(Month!I$2:I$13,MATCH($A892,Month!$A$2:$A$13,0))-K892,I892)))</f>
        <v/>
      </c>
      <c r="O892">
        <f>IF(I892=0,0,MAX(0,MIN(INDEX(Month!J$2:J$13,MATCH($A892,Month!$A$2:$A$13,0))-K892,I892)))</f>
        <v/>
      </c>
      <c r="P892">
        <f>IF(I892=0,0,(MIN(MAX(K892,0),L892)*W892+SUMPRODUCT((Calc!$A$2:$A$1001=A892)*Calc!$G$2:$G$1001*(((K892-(L892+Calc!$J$2:$J$1001))&gt;0)*((K892-(L892+Calc!$J$2:$J$1001))&lt;Calc!$F$2:$F$1001)*(K892-(L892+Calc!$J$2:$J$1001))+((K892-(L892+Calc!$J$2:$J$1001))&gt;=Calc!$F$2:$F$1001)*Calc!$F$2:$F$1001))))</f>
        <v/>
      </c>
      <c r="Q892">
        <f>IF(I892=0,0,(MIN(MAX((K892+M892),0),L892)*W892+SUMPRODUCT((Calc!$A$2:$A$1001=A892)*Calc!$G$2:$G$1001*((((K892+M892)-(L892+Calc!$J$2:$J$1001))&gt;0)*(((K892+M892)-(L892+Calc!$J$2:$J$1001))&lt;Calc!$F$2:$F$1001)*((K892+M892)-(L892+Calc!$J$2:$J$1001))+(((K892+M892)-(L892+Calc!$J$2:$J$1001))&gt;=Calc!$F$2:$F$1001)*Calc!$F$2:$F$1001))))</f>
        <v/>
      </c>
      <c r="R892">
        <f>IF(I892=0,0,(MIN(MAX((K892+N892),0),L892)*W892+SUMPRODUCT((Calc!$A$2:$A$1001=A892)*Calc!$G$2:$G$1001*((((K892+N892)-(L892+Calc!$J$2:$J$1001))&gt;0)*(((K892+N892)-(L892+Calc!$J$2:$J$1001))&lt;Calc!$F$2:$F$1001)*((K892+N892)-(L892+Calc!$J$2:$J$1001))+(((K892+N892)-(L892+Calc!$J$2:$J$1001))&gt;=Calc!$F$2:$F$1001)*Calc!$F$2:$F$1001))))</f>
        <v/>
      </c>
      <c r="S892">
        <f>IF(I892=0,0,(MIN(MAX((K892+O892),0),L892)*W892+SUMPRODUCT((Calc!$A$2:$A$1001=A892)*Calc!$G$2:$G$1001*((((K892+O892)-(L892+Calc!$J$2:$J$1001))&gt;0)*(((K892+O892)-(L892+Calc!$J$2:$J$1001))&lt;Calc!$F$2:$F$1001)*((K892+O892)-(L892+Calc!$J$2:$J$1001))+(((K892+O892)-(L892+Calc!$J$2:$J$1001))&gt;=Calc!$F$2:$F$1001)*Calc!$F$2:$F$1001))))</f>
        <v/>
      </c>
      <c r="T892">
        <f>IF(AND(E892=1,B892="RETURN"),Transactions!E892*Transactions!G892,0)</f>
        <v/>
      </c>
      <c r="U892">
        <f>IF(AND(E892=1,B892="EXPENSE"),Transactions!J892,0)</f>
        <v/>
      </c>
      <c r="V892">
        <f>IF(AND(Transactions!A892&lt;&gt;"",E892=0),ROW(),"")</f>
        <v/>
      </c>
      <c r="W892">
        <f>IFERROR(VLOOKUP(A892,Opening!$A:$D,4,0),0)</f>
        <v/>
      </c>
    </row>
    <row r="893">
      <c r="A893">
        <f>IF(Transactions!D893="","",UPPER(TRIM(Transactions!D893)))</f>
        <v/>
      </c>
      <c r="B893">
        <f>IF(Transactions!C893="","",UPPER(TRIM(Transactions!C893)))</f>
        <v/>
      </c>
      <c r="C893">
        <f>IF(Transactions!B893="",0,YEAR(Transactions!B893)*100+MONTH(Transactions!B893))</f>
        <v/>
      </c>
      <c r="D893">
        <f>IF(Transactions!A893="",1,IF(COUNTIF(Transactions!$A$1:A892,Transactions!A893)&gt;0,1,0))</f>
        <v/>
      </c>
      <c r="E893">
        <f>IF(D893=1,0,IF(B893="RETURN",IF(COUNTIFS($A$1:A892,A893,$B$1:B892,"SALE",$E$1:E892,1)&gt;0,1,0),1))</f>
        <v/>
      </c>
      <c r="F893">
        <f>IF(E893=1,IF(B893="RECEIPT",Transactions!E893,IF(AND(B893="RETURN",LOWER(TRIM(Transactions!H893))="resellable"),Transactions!E893,0)),0)</f>
        <v/>
      </c>
      <c r="G893">
        <f>IF(F893&gt;0,IF(B893="RECEIPT",Transactions!F893,IF(_xlfn.MAXIFS($H$2:H893,$A$2:A893,A893)&gt;0,INDEX(Transactions!$F:$F,_xlfn.MAXIFS($H$2:H893,$A$2:A893,A893)),W893)),0)</f>
        <v/>
      </c>
      <c r="H893">
        <f>IF(AND(E893=1,B893="RECEIPT"),ROW(),0)</f>
        <v/>
      </c>
      <c r="I893">
        <f>IF(E893=1,IF(OR(B893="SALE",B893="WRITEOFF"),Transactions!E893,0),0)</f>
        <v/>
      </c>
      <c r="J893">
        <f>SUMIFS($F$1:F892,$A$1:A892,A893)</f>
        <v/>
      </c>
      <c r="K893">
        <f>SUMIFS($I$1:I892,$A$1:A892,A893)</f>
        <v/>
      </c>
      <c r="L893">
        <f>IFERROR(VLOOKUP(A893,Opening!$A:$C,3,0),0)</f>
        <v/>
      </c>
      <c r="M893">
        <f>IF(I893=0,0,MAX(0,MIN(INDEX(Month!H$2:H$13,MATCH($A893,Month!$A$2:$A$13,0))-K893,I893)))</f>
        <v/>
      </c>
      <c r="N893">
        <f>IF(I893=0,0,MAX(0,MIN(INDEX(Month!I$2:I$13,MATCH($A893,Month!$A$2:$A$13,0))-K893,I893)))</f>
        <v/>
      </c>
      <c r="O893">
        <f>IF(I893=0,0,MAX(0,MIN(INDEX(Month!J$2:J$13,MATCH($A893,Month!$A$2:$A$13,0))-K893,I893)))</f>
        <v/>
      </c>
      <c r="P893">
        <f>IF(I893=0,0,(MIN(MAX(K893,0),L893)*W893+SUMPRODUCT((Calc!$A$2:$A$1001=A893)*Calc!$G$2:$G$1001*(((K893-(L893+Calc!$J$2:$J$1001))&gt;0)*((K893-(L893+Calc!$J$2:$J$1001))&lt;Calc!$F$2:$F$1001)*(K893-(L893+Calc!$J$2:$J$1001))+((K893-(L893+Calc!$J$2:$J$1001))&gt;=Calc!$F$2:$F$1001)*Calc!$F$2:$F$1001))))</f>
        <v/>
      </c>
      <c r="Q893">
        <f>IF(I893=0,0,(MIN(MAX((K893+M893),0),L893)*W893+SUMPRODUCT((Calc!$A$2:$A$1001=A893)*Calc!$G$2:$G$1001*((((K893+M893)-(L893+Calc!$J$2:$J$1001))&gt;0)*(((K893+M893)-(L893+Calc!$J$2:$J$1001))&lt;Calc!$F$2:$F$1001)*((K893+M893)-(L893+Calc!$J$2:$J$1001))+(((K893+M893)-(L893+Calc!$J$2:$J$1001))&gt;=Calc!$F$2:$F$1001)*Calc!$F$2:$F$1001))))</f>
        <v/>
      </c>
      <c r="R893">
        <f>IF(I893=0,0,(MIN(MAX((K893+N893),0),L893)*W893+SUMPRODUCT((Calc!$A$2:$A$1001=A893)*Calc!$G$2:$G$1001*((((K893+N893)-(L893+Calc!$J$2:$J$1001))&gt;0)*(((K893+N893)-(L893+Calc!$J$2:$J$1001))&lt;Calc!$F$2:$F$1001)*((K893+N893)-(L893+Calc!$J$2:$J$1001))+(((K893+N893)-(L893+Calc!$J$2:$J$1001))&gt;=Calc!$F$2:$F$1001)*Calc!$F$2:$F$1001))))</f>
        <v/>
      </c>
      <c r="S893">
        <f>IF(I893=0,0,(MIN(MAX((K893+O893),0),L893)*W893+SUMPRODUCT((Calc!$A$2:$A$1001=A893)*Calc!$G$2:$G$1001*((((K893+O893)-(L893+Calc!$J$2:$J$1001))&gt;0)*(((K893+O893)-(L893+Calc!$J$2:$J$1001))&lt;Calc!$F$2:$F$1001)*((K893+O893)-(L893+Calc!$J$2:$J$1001))+(((K893+O893)-(L893+Calc!$J$2:$J$1001))&gt;=Calc!$F$2:$F$1001)*Calc!$F$2:$F$1001))))</f>
        <v/>
      </c>
      <c r="T893">
        <f>IF(AND(E893=1,B893="RETURN"),Transactions!E893*Transactions!G893,0)</f>
        <v/>
      </c>
      <c r="U893">
        <f>IF(AND(E893=1,B893="EXPENSE"),Transactions!J893,0)</f>
        <v/>
      </c>
      <c r="V893">
        <f>IF(AND(Transactions!A893&lt;&gt;"",E893=0),ROW(),"")</f>
        <v/>
      </c>
      <c r="W893">
        <f>IFERROR(VLOOKUP(A893,Opening!$A:$D,4,0),0)</f>
        <v/>
      </c>
    </row>
    <row r="894">
      <c r="A894">
        <f>IF(Transactions!D894="","",UPPER(TRIM(Transactions!D894)))</f>
        <v/>
      </c>
      <c r="B894">
        <f>IF(Transactions!C894="","",UPPER(TRIM(Transactions!C894)))</f>
        <v/>
      </c>
      <c r="C894">
        <f>IF(Transactions!B894="",0,YEAR(Transactions!B894)*100+MONTH(Transactions!B894))</f>
        <v/>
      </c>
      <c r="D894">
        <f>IF(Transactions!A894="",1,IF(COUNTIF(Transactions!$A$1:A893,Transactions!A894)&gt;0,1,0))</f>
        <v/>
      </c>
      <c r="E894">
        <f>IF(D894=1,0,IF(B894="RETURN",IF(COUNTIFS($A$1:A893,A894,$B$1:B893,"SALE",$E$1:E893,1)&gt;0,1,0),1))</f>
        <v/>
      </c>
      <c r="F894">
        <f>IF(E894=1,IF(B894="RECEIPT",Transactions!E894,IF(AND(B894="RETURN",LOWER(TRIM(Transactions!H894))="resellable"),Transactions!E894,0)),0)</f>
        <v/>
      </c>
      <c r="G894">
        <f>IF(F894&gt;0,IF(B894="RECEIPT",Transactions!F894,IF(_xlfn.MAXIFS($H$2:H894,$A$2:A894,A894)&gt;0,INDEX(Transactions!$F:$F,_xlfn.MAXIFS($H$2:H894,$A$2:A894,A894)),W894)),0)</f>
        <v/>
      </c>
      <c r="H894">
        <f>IF(AND(E894=1,B894="RECEIPT"),ROW(),0)</f>
        <v/>
      </c>
      <c r="I894">
        <f>IF(E894=1,IF(OR(B894="SALE",B894="WRITEOFF"),Transactions!E894,0),0)</f>
        <v/>
      </c>
      <c r="J894">
        <f>SUMIFS($F$1:F893,$A$1:A893,A894)</f>
        <v/>
      </c>
      <c r="K894">
        <f>SUMIFS($I$1:I893,$A$1:A893,A894)</f>
        <v/>
      </c>
      <c r="L894">
        <f>IFERROR(VLOOKUP(A894,Opening!$A:$C,3,0),0)</f>
        <v/>
      </c>
      <c r="M894">
        <f>IF(I894=0,0,MAX(0,MIN(INDEX(Month!H$2:H$13,MATCH($A894,Month!$A$2:$A$13,0))-K894,I894)))</f>
        <v/>
      </c>
      <c r="N894">
        <f>IF(I894=0,0,MAX(0,MIN(INDEX(Month!I$2:I$13,MATCH($A894,Month!$A$2:$A$13,0))-K894,I894)))</f>
        <v/>
      </c>
      <c r="O894">
        <f>IF(I894=0,0,MAX(0,MIN(INDEX(Month!J$2:J$13,MATCH($A894,Month!$A$2:$A$13,0))-K894,I894)))</f>
        <v/>
      </c>
      <c r="P894">
        <f>IF(I894=0,0,(MIN(MAX(K894,0),L894)*W894+SUMPRODUCT((Calc!$A$2:$A$1001=A894)*Calc!$G$2:$G$1001*(((K894-(L894+Calc!$J$2:$J$1001))&gt;0)*((K894-(L894+Calc!$J$2:$J$1001))&lt;Calc!$F$2:$F$1001)*(K894-(L894+Calc!$J$2:$J$1001))+((K894-(L894+Calc!$J$2:$J$1001))&gt;=Calc!$F$2:$F$1001)*Calc!$F$2:$F$1001))))</f>
        <v/>
      </c>
      <c r="Q894">
        <f>IF(I894=0,0,(MIN(MAX((K894+M894),0),L894)*W894+SUMPRODUCT((Calc!$A$2:$A$1001=A894)*Calc!$G$2:$G$1001*((((K894+M894)-(L894+Calc!$J$2:$J$1001))&gt;0)*(((K894+M894)-(L894+Calc!$J$2:$J$1001))&lt;Calc!$F$2:$F$1001)*((K894+M894)-(L894+Calc!$J$2:$J$1001))+(((K894+M894)-(L894+Calc!$J$2:$J$1001))&gt;=Calc!$F$2:$F$1001)*Calc!$F$2:$F$1001))))</f>
        <v/>
      </c>
      <c r="R894">
        <f>IF(I894=0,0,(MIN(MAX((K894+N894),0),L894)*W894+SUMPRODUCT((Calc!$A$2:$A$1001=A894)*Calc!$G$2:$G$1001*((((K894+N894)-(L894+Calc!$J$2:$J$1001))&gt;0)*(((K894+N894)-(L894+Calc!$J$2:$J$1001))&lt;Calc!$F$2:$F$1001)*((K894+N894)-(L894+Calc!$J$2:$J$1001))+(((K894+N894)-(L894+Calc!$J$2:$J$1001))&gt;=Calc!$F$2:$F$1001)*Calc!$F$2:$F$1001))))</f>
        <v/>
      </c>
      <c r="S894">
        <f>IF(I894=0,0,(MIN(MAX((K894+O894),0),L894)*W894+SUMPRODUCT((Calc!$A$2:$A$1001=A894)*Calc!$G$2:$G$1001*((((K894+O894)-(L894+Calc!$J$2:$J$1001))&gt;0)*(((K894+O894)-(L894+Calc!$J$2:$J$1001))&lt;Calc!$F$2:$F$1001)*((K894+O894)-(L894+Calc!$J$2:$J$1001))+(((K894+O894)-(L894+Calc!$J$2:$J$1001))&gt;=Calc!$F$2:$F$1001)*Calc!$F$2:$F$1001))))</f>
        <v/>
      </c>
      <c r="T894">
        <f>IF(AND(E894=1,B894="RETURN"),Transactions!E894*Transactions!G894,0)</f>
        <v/>
      </c>
      <c r="U894">
        <f>IF(AND(E894=1,B894="EXPENSE"),Transactions!J894,0)</f>
        <v/>
      </c>
      <c r="V894">
        <f>IF(AND(Transactions!A894&lt;&gt;"",E894=0),ROW(),"")</f>
        <v/>
      </c>
      <c r="W894">
        <f>IFERROR(VLOOKUP(A894,Opening!$A:$D,4,0),0)</f>
        <v/>
      </c>
    </row>
    <row r="895">
      <c r="A895">
        <f>IF(Transactions!D895="","",UPPER(TRIM(Transactions!D895)))</f>
        <v/>
      </c>
      <c r="B895">
        <f>IF(Transactions!C895="","",UPPER(TRIM(Transactions!C895)))</f>
        <v/>
      </c>
      <c r="C895">
        <f>IF(Transactions!B895="",0,YEAR(Transactions!B895)*100+MONTH(Transactions!B895))</f>
        <v/>
      </c>
      <c r="D895">
        <f>IF(Transactions!A895="",1,IF(COUNTIF(Transactions!$A$1:A894,Transactions!A895)&gt;0,1,0))</f>
        <v/>
      </c>
      <c r="E895">
        <f>IF(D895=1,0,IF(B895="RETURN",IF(COUNTIFS($A$1:A894,A895,$B$1:B894,"SALE",$E$1:E894,1)&gt;0,1,0),1))</f>
        <v/>
      </c>
      <c r="F895">
        <f>IF(E895=1,IF(B895="RECEIPT",Transactions!E895,IF(AND(B895="RETURN",LOWER(TRIM(Transactions!H895))="resellable"),Transactions!E895,0)),0)</f>
        <v/>
      </c>
      <c r="G895">
        <f>IF(F895&gt;0,IF(B895="RECEIPT",Transactions!F895,IF(_xlfn.MAXIFS($H$2:H895,$A$2:A895,A895)&gt;0,INDEX(Transactions!$F:$F,_xlfn.MAXIFS($H$2:H895,$A$2:A895,A895)),W895)),0)</f>
        <v/>
      </c>
      <c r="H895">
        <f>IF(AND(E895=1,B895="RECEIPT"),ROW(),0)</f>
        <v/>
      </c>
      <c r="I895">
        <f>IF(E895=1,IF(OR(B895="SALE",B895="WRITEOFF"),Transactions!E895,0),0)</f>
        <v/>
      </c>
      <c r="J895">
        <f>SUMIFS($F$1:F894,$A$1:A894,A895)</f>
        <v/>
      </c>
      <c r="K895">
        <f>SUMIFS($I$1:I894,$A$1:A894,A895)</f>
        <v/>
      </c>
      <c r="L895">
        <f>IFERROR(VLOOKUP(A895,Opening!$A:$C,3,0),0)</f>
        <v/>
      </c>
      <c r="M895">
        <f>IF(I895=0,0,MAX(0,MIN(INDEX(Month!H$2:H$13,MATCH($A895,Month!$A$2:$A$13,0))-K895,I895)))</f>
        <v/>
      </c>
      <c r="N895">
        <f>IF(I895=0,0,MAX(0,MIN(INDEX(Month!I$2:I$13,MATCH($A895,Month!$A$2:$A$13,0))-K895,I895)))</f>
        <v/>
      </c>
      <c r="O895">
        <f>IF(I895=0,0,MAX(0,MIN(INDEX(Month!J$2:J$13,MATCH($A895,Month!$A$2:$A$13,0))-K895,I895)))</f>
        <v/>
      </c>
      <c r="P895">
        <f>IF(I895=0,0,(MIN(MAX(K895,0),L895)*W895+SUMPRODUCT((Calc!$A$2:$A$1001=A895)*Calc!$G$2:$G$1001*(((K895-(L895+Calc!$J$2:$J$1001))&gt;0)*((K895-(L895+Calc!$J$2:$J$1001))&lt;Calc!$F$2:$F$1001)*(K895-(L895+Calc!$J$2:$J$1001))+((K895-(L895+Calc!$J$2:$J$1001))&gt;=Calc!$F$2:$F$1001)*Calc!$F$2:$F$1001))))</f>
        <v/>
      </c>
      <c r="Q895">
        <f>IF(I895=0,0,(MIN(MAX((K895+M895),0),L895)*W895+SUMPRODUCT((Calc!$A$2:$A$1001=A895)*Calc!$G$2:$G$1001*((((K895+M895)-(L895+Calc!$J$2:$J$1001))&gt;0)*(((K895+M895)-(L895+Calc!$J$2:$J$1001))&lt;Calc!$F$2:$F$1001)*((K895+M895)-(L895+Calc!$J$2:$J$1001))+(((K895+M895)-(L895+Calc!$J$2:$J$1001))&gt;=Calc!$F$2:$F$1001)*Calc!$F$2:$F$1001))))</f>
        <v/>
      </c>
      <c r="R895">
        <f>IF(I895=0,0,(MIN(MAX((K895+N895),0),L895)*W895+SUMPRODUCT((Calc!$A$2:$A$1001=A895)*Calc!$G$2:$G$1001*((((K895+N895)-(L895+Calc!$J$2:$J$1001))&gt;0)*(((K895+N895)-(L895+Calc!$J$2:$J$1001))&lt;Calc!$F$2:$F$1001)*((K895+N895)-(L895+Calc!$J$2:$J$1001))+(((K895+N895)-(L895+Calc!$J$2:$J$1001))&gt;=Calc!$F$2:$F$1001)*Calc!$F$2:$F$1001))))</f>
        <v/>
      </c>
      <c r="S895">
        <f>IF(I895=0,0,(MIN(MAX((K895+O895),0),L895)*W895+SUMPRODUCT((Calc!$A$2:$A$1001=A895)*Calc!$G$2:$G$1001*((((K895+O895)-(L895+Calc!$J$2:$J$1001))&gt;0)*(((K895+O895)-(L895+Calc!$J$2:$J$1001))&lt;Calc!$F$2:$F$1001)*((K895+O895)-(L895+Calc!$J$2:$J$1001))+(((K895+O895)-(L895+Calc!$J$2:$J$1001))&gt;=Calc!$F$2:$F$1001)*Calc!$F$2:$F$1001))))</f>
        <v/>
      </c>
      <c r="T895">
        <f>IF(AND(E895=1,B895="RETURN"),Transactions!E895*Transactions!G895,0)</f>
        <v/>
      </c>
      <c r="U895">
        <f>IF(AND(E895=1,B895="EXPENSE"),Transactions!J895,0)</f>
        <v/>
      </c>
      <c r="V895">
        <f>IF(AND(Transactions!A895&lt;&gt;"",E895=0),ROW(),"")</f>
        <v/>
      </c>
      <c r="W895">
        <f>IFERROR(VLOOKUP(A895,Opening!$A:$D,4,0),0)</f>
        <v/>
      </c>
    </row>
    <row r="896">
      <c r="A896">
        <f>IF(Transactions!D896="","",UPPER(TRIM(Transactions!D896)))</f>
        <v/>
      </c>
      <c r="B896">
        <f>IF(Transactions!C896="","",UPPER(TRIM(Transactions!C896)))</f>
        <v/>
      </c>
      <c r="C896">
        <f>IF(Transactions!B896="",0,YEAR(Transactions!B896)*100+MONTH(Transactions!B896))</f>
        <v/>
      </c>
      <c r="D896">
        <f>IF(Transactions!A896="",1,IF(COUNTIF(Transactions!$A$1:A895,Transactions!A896)&gt;0,1,0))</f>
        <v/>
      </c>
      <c r="E896">
        <f>IF(D896=1,0,IF(B896="RETURN",IF(COUNTIFS($A$1:A895,A896,$B$1:B895,"SALE",$E$1:E895,1)&gt;0,1,0),1))</f>
        <v/>
      </c>
      <c r="F896">
        <f>IF(E896=1,IF(B896="RECEIPT",Transactions!E896,IF(AND(B896="RETURN",LOWER(TRIM(Transactions!H896))="resellable"),Transactions!E896,0)),0)</f>
        <v/>
      </c>
      <c r="G896">
        <f>IF(F896&gt;0,IF(B896="RECEIPT",Transactions!F896,IF(_xlfn.MAXIFS($H$2:H896,$A$2:A896,A896)&gt;0,INDEX(Transactions!$F:$F,_xlfn.MAXIFS($H$2:H896,$A$2:A896,A896)),W896)),0)</f>
        <v/>
      </c>
      <c r="H896">
        <f>IF(AND(E896=1,B896="RECEIPT"),ROW(),0)</f>
        <v/>
      </c>
      <c r="I896">
        <f>IF(E896=1,IF(OR(B896="SALE",B896="WRITEOFF"),Transactions!E896,0),0)</f>
        <v/>
      </c>
      <c r="J896">
        <f>SUMIFS($F$1:F895,$A$1:A895,A896)</f>
        <v/>
      </c>
      <c r="K896">
        <f>SUMIFS($I$1:I895,$A$1:A895,A896)</f>
        <v/>
      </c>
      <c r="L896">
        <f>IFERROR(VLOOKUP(A896,Opening!$A:$C,3,0),0)</f>
        <v/>
      </c>
      <c r="M896">
        <f>IF(I896=0,0,MAX(0,MIN(INDEX(Month!H$2:H$13,MATCH($A896,Month!$A$2:$A$13,0))-K896,I896)))</f>
        <v/>
      </c>
      <c r="N896">
        <f>IF(I896=0,0,MAX(0,MIN(INDEX(Month!I$2:I$13,MATCH($A896,Month!$A$2:$A$13,0))-K896,I896)))</f>
        <v/>
      </c>
      <c r="O896">
        <f>IF(I896=0,0,MAX(0,MIN(INDEX(Month!J$2:J$13,MATCH($A896,Month!$A$2:$A$13,0))-K896,I896)))</f>
        <v/>
      </c>
      <c r="P896">
        <f>IF(I896=0,0,(MIN(MAX(K896,0),L896)*W896+SUMPRODUCT((Calc!$A$2:$A$1001=A896)*Calc!$G$2:$G$1001*(((K896-(L896+Calc!$J$2:$J$1001))&gt;0)*((K896-(L896+Calc!$J$2:$J$1001))&lt;Calc!$F$2:$F$1001)*(K896-(L896+Calc!$J$2:$J$1001))+((K896-(L896+Calc!$J$2:$J$1001))&gt;=Calc!$F$2:$F$1001)*Calc!$F$2:$F$1001))))</f>
        <v/>
      </c>
      <c r="Q896">
        <f>IF(I896=0,0,(MIN(MAX((K896+M896),0),L896)*W896+SUMPRODUCT((Calc!$A$2:$A$1001=A896)*Calc!$G$2:$G$1001*((((K896+M896)-(L896+Calc!$J$2:$J$1001))&gt;0)*(((K896+M896)-(L896+Calc!$J$2:$J$1001))&lt;Calc!$F$2:$F$1001)*((K896+M896)-(L896+Calc!$J$2:$J$1001))+(((K896+M896)-(L896+Calc!$J$2:$J$1001))&gt;=Calc!$F$2:$F$1001)*Calc!$F$2:$F$1001))))</f>
        <v/>
      </c>
      <c r="R896">
        <f>IF(I896=0,0,(MIN(MAX((K896+N896),0),L896)*W896+SUMPRODUCT((Calc!$A$2:$A$1001=A896)*Calc!$G$2:$G$1001*((((K896+N896)-(L896+Calc!$J$2:$J$1001))&gt;0)*(((K896+N896)-(L896+Calc!$J$2:$J$1001))&lt;Calc!$F$2:$F$1001)*((K896+N896)-(L896+Calc!$J$2:$J$1001))+(((K896+N896)-(L896+Calc!$J$2:$J$1001))&gt;=Calc!$F$2:$F$1001)*Calc!$F$2:$F$1001))))</f>
        <v/>
      </c>
      <c r="S896">
        <f>IF(I896=0,0,(MIN(MAX((K896+O896),0),L896)*W896+SUMPRODUCT((Calc!$A$2:$A$1001=A896)*Calc!$G$2:$G$1001*((((K896+O896)-(L896+Calc!$J$2:$J$1001))&gt;0)*(((K896+O896)-(L896+Calc!$J$2:$J$1001))&lt;Calc!$F$2:$F$1001)*((K896+O896)-(L896+Calc!$J$2:$J$1001))+(((K896+O896)-(L896+Calc!$J$2:$J$1001))&gt;=Calc!$F$2:$F$1001)*Calc!$F$2:$F$1001))))</f>
        <v/>
      </c>
      <c r="T896">
        <f>IF(AND(E896=1,B896="RETURN"),Transactions!E896*Transactions!G896,0)</f>
        <v/>
      </c>
      <c r="U896">
        <f>IF(AND(E896=1,B896="EXPENSE"),Transactions!J896,0)</f>
        <v/>
      </c>
      <c r="V896">
        <f>IF(AND(Transactions!A896&lt;&gt;"",E896=0),ROW(),"")</f>
        <v/>
      </c>
      <c r="W896">
        <f>IFERROR(VLOOKUP(A896,Opening!$A:$D,4,0),0)</f>
        <v/>
      </c>
    </row>
    <row r="897">
      <c r="A897">
        <f>IF(Transactions!D897="","",UPPER(TRIM(Transactions!D897)))</f>
        <v/>
      </c>
      <c r="B897">
        <f>IF(Transactions!C897="","",UPPER(TRIM(Transactions!C897)))</f>
        <v/>
      </c>
      <c r="C897">
        <f>IF(Transactions!B897="",0,YEAR(Transactions!B897)*100+MONTH(Transactions!B897))</f>
        <v/>
      </c>
      <c r="D897">
        <f>IF(Transactions!A897="",1,IF(COUNTIF(Transactions!$A$1:A896,Transactions!A897)&gt;0,1,0))</f>
        <v/>
      </c>
      <c r="E897">
        <f>IF(D897=1,0,IF(B897="RETURN",IF(COUNTIFS($A$1:A896,A897,$B$1:B896,"SALE",$E$1:E896,1)&gt;0,1,0),1))</f>
        <v/>
      </c>
      <c r="F897">
        <f>IF(E897=1,IF(B897="RECEIPT",Transactions!E897,IF(AND(B897="RETURN",LOWER(TRIM(Transactions!H897))="resellable"),Transactions!E897,0)),0)</f>
        <v/>
      </c>
      <c r="G897">
        <f>IF(F897&gt;0,IF(B897="RECEIPT",Transactions!F897,IF(_xlfn.MAXIFS($H$2:H897,$A$2:A897,A897)&gt;0,INDEX(Transactions!$F:$F,_xlfn.MAXIFS($H$2:H897,$A$2:A897,A897)),W897)),0)</f>
        <v/>
      </c>
      <c r="H897">
        <f>IF(AND(E897=1,B897="RECEIPT"),ROW(),0)</f>
        <v/>
      </c>
      <c r="I897">
        <f>IF(E897=1,IF(OR(B897="SALE",B897="WRITEOFF"),Transactions!E897,0),0)</f>
        <v/>
      </c>
      <c r="J897">
        <f>SUMIFS($F$1:F896,$A$1:A896,A897)</f>
        <v/>
      </c>
      <c r="K897">
        <f>SUMIFS($I$1:I896,$A$1:A896,A897)</f>
        <v/>
      </c>
      <c r="L897">
        <f>IFERROR(VLOOKUP(A897,Opening!$A:$C,3,0),0)</f>
        <v/>
      </c>
      <c r="M897">
        <f>IF(I897=0,0,MAX(0,MIN(INDEX(Month!H$2:H$13,MATCH($A897,Month!$A$2:$A$13,0))-K897,I897)))</f>
        <v/>
      </c>
      <c r="N897">
        <f>IF(I897=0,0,MAX(0,MIN(INDEX(Month!I$2:I$13,MATCH($A897,Month!$A$2:$A$13,0))-K897,I897)))</f>
        <v/>
      </c>
      <c r="O897">
        <f>IF(I897=0,0,MAX(0,MIN(INDEX(Month!J$2:J$13,MATCH($A897,Month!$A$2:$A$13,0))-K897,I897)))</f>
        <v/>
      </c>
      <c r="P897">
        <f>IF(I897=0,0,(MIN(MAX(K897,0),L897)*W897+SUMPRODUCT((Calc!$A$2:$A$1001=A897)*Calc!$G$2:$G$1001*(((K897-(L897+Calc!$J$2:$J$1001))&gt;0)*((K897-(L897+Calc!$J$2:$J$1001))&lt;Calc!$F$2:$F$1001)*(K897-(L897+Calc!$J$2:$J$1001))+((K897-(L897+Calc!$J$2:$J$1001))&gt;=Calc!$F$2:$F$1001)*Calc!$F$2:$F$1001))))</f>
        <v/>
      </c>
      <c r="Q897">
        <f>IF(I897=0,0,(MIN(MAX((K897+M897),0),L897)*W897+SUMPRODUCT((Calc!$A$2:$A$1001=A897)*Calc!$G$2:$G$1001*((((K897+M897)-(L897+Calc!$J$2:$J$1001))&gt;0)*(((K897+M897)-(L897+Calc!$J$2:$J$1001))&lt;Calc!$F$2:$F$1001)*((K897+M897)-(L897+Calc!$J$2:$J$1001))+(((K897+M897)-(L897+Calc!$J$2:$J$1001))&gt;=Calc!$F$2:$F$1001)*Calc!$F$2:$F$1001))))</f>
        <v/>
      </c>
      <c r="R897">
        <f>IF(I897=0,0,(MIN(MAX((K897+N897),0),L897)*W897+SUMPRODUCT((Calc!$A$2:$A$1001=A897)*Calc!$G$2:$G$1001*((((K897+N897)-(L897+Calc!$J$2:$J$1001))&gt;0)*(((K897+N897)-(L897+Calc!$J$2:$J$1001))&lt;Calc!$F$2:$F$1001)*((K897+N897)-(L897+Calc!$J$2:$J$1001))+(((K897+N897)-(L897+Calc!$J$2:$J$1001))&gt;=Calc!$F$2:$F$1001)*Calc!$F$2:$F$1001))))</f>
        <v/>
      </c>
      <c r="S897">
        <f>IF(I897=0,0,(MIN(MAX((K897+O897),0),L897)*W897+SUMPRODUCT((Calc!$A$2:$A$1001=A897)*Calc!$G$2:$G$1001*((((K897+O897)-(L897+Calc!$J$2:$J$1001))&gt;0)*(((K897+O897)-(L897+Calc!$J$2:$J$1001))&lt;Calc!$F$2:$F$1001)*((K897+O897)-(L897+Calc!$J$2:$J$1001))+(((K897+O897)-(L897+Calc!$J$2:$J$1001))&gt;=Calc!$F$2:$F$1001)*Calc!$F$2:$F$1001))))</f>
        <v/>
      </c>
      <c r="T897">
        <f>IF(AND(E897=1,B897="RETURN"),Transactions!E897*Transactions!G897,0)</f>
        <v/>
      </c>
      <c r="U897">
        <f>IF(AND(E897=1,B897="EXPENSE"),Transactions!J897,0)</f>
        <v/>
      </c>
      <c r="V897">
        <f>IF(AND(Transactions!A897&lt;&gt;"",E897=0),ROW(),"")</f>
        <v/>
      </c>
      <c r="W897">
        <f>IFERROR(VLOOKUP(A897,Opening!$A:$D,4,0),0)</f>
        <v/>
      </c>
    </row>
    <row r="898">
      <c r="A898">
        <f>IF(Transactions!D898="","",UPPER(TRIM(Transactions!D898)))</f>
        <v/>
      </c>
      <c r="B898">
        <f>IF(Transactions!C898="","",UPPER(TRIM(Transactions!C898)))</f>
        <v/>
      </c>
      <c r="C898">
        <f>IF(Transactions!B898="",0,YEAR(Transactions!B898)*100+MONTH(Transactions!B898))</f>
        <v/>
      </c>
      <c r="D898">
        <f>IF(Transactions!A898="",1,IF(COUNTIF(Transactions!$A$1:A897,Transactions!A898)&gt;0,1,0))</f>
        <v/>
      </c>
      <c r="E898">
        <f>IF(D898=1,0,IF(B898="RETURN",IF(COUNTIFS($A$1:A897,A898,$B$1:B897,"SALE",$E$1:E897,1)&gt;0,1,0),1))</f>
        <v/>
      </c>
      <c r="F898">
        <f>IF(E898=1,IF(B898="RECEIPT",Transactions!E898,IF(AND(B898="RETURN",LOWER(TRIM(Transactions!H898))="resellable"),Transactions!E898,0)),0)</f>
        <v/>
      </c>
      <c r="G898">
        <f>IF(F898&gt;0,IF(B898="RECEIPT",Transactions!F898,IF(_xlfn.MAXIFS($H$2:H898,$A$2:A898,A898)&gt;0,INDEX(Transactions!$F:$F,_xlfn.MAXIFS($H$2:H898,$A$2:A898,A898)),W898)),0)</f>
        <v/>
      </c>
      <c r="H898">
        <f>IF(AND(E898=1,B898="RECEIPT"),ROW(),0)</f>
        <v/>
      </c>
      <c r="I898">
        <f>IF(E898=1,IF(OR(B898="SALE",B898="WRITEOFF"),Transactions!E898,0),0)</f>
        <v/>
      </c>
      <c r="J898">
        <f>SUMIFS($F$1:F897,$A$1:A897,A898)</f>
        <v/>
      </c>
      <c r="K898">
        <f>SUMIFS($I$1:I897,$A$1:A897,A898)</f>
        <v/>
      </c>
      <c r="L898">
        <f>IFERROR(VLOOKUP(A898,Opening!$A:$C,3,0),0)</f>
        <v/>
      </c>
      <c r="M898">
        <f>IF(I898=0,0,MAX(0,MIN(INDEX(Month!H$2:H$13,MATCH($A898,Month!$A$2:$A$13,0))-K898,I898)))</f>
        <v/>
      </c>
      <c r="N898">
        <f>IF(I898=0,0,MAX(0,MIN(INDEX(Month!I$2:I$13,MATCH($A898,Month!$A$2:$A$13,0))-K898,I898)))</f>
        <v/>
      </c>
      <c r="O898">
        <f>IF(I898=0,0,MAX(0,MIN(INDEX(Month!J$2:J$13,MATCH($A898,Month!$A$2:$A$13,0))-K898,I898)))</f>
        <v/>
      </c>
      <c r="P898">
        <f>IF(I898=0,0,(MIN(MAX(K898,0),L898)*W898+SUMPRODUCT((Calc!$A$2:$A$1001=A898)*Calc!$G$2:$G$1001*(((K898-(L898+Calc!$J$2:$J$1001))&gt;0)*((K898-(L898+Calc!$J$2:$J$1001))&lt;Calc!$F$2:$F$1001)*(K898-(L898+Calc!$J$2:$J$1001))+((K898-(L898+Calc!$J$2:$J$1001))&gt;=Calc!$F$2:$F$1001)*Calc!$F$2:$F$1001))))</f>
        <v/>
      </c>
      <c r="Q898">
        <f>IF(I898=0,0,(MIN(MAX((K898+M898),0),L898)*W898+SUMPRODUCT((Calc!$A$2:$A$1001=A898)*Calc!$G$2:$G$1001*((((K898+M898)-(L898+Calc!$J$2:$J$1001))&gt;0)*(((K898+M898)-(L898+Calc!$J$2:$J$1001))&lt;Calc!$F$2:$F$1001)*((K898+M898)-(L898+Calc!$J$2:$J$1001))+(((K898+M898)-(L898+Calc!$J$2:$J$1001))&gt;=Calc!$F$2:$F$1001)*Calc!$F$2:$F$1001))))</f>
        <v/>
      </c>
      <c r="R898">
        <f>IF(I898=0,0,(MIN(MAX((K898+N898),0),L898)*W898+SUMPRODUCT((Calc!$A$2:$A$1001=A898)*Calc!$G$2:$G$1001*((((K898+N898)-(L898+Calc!$J$2:$J$1001))&gt;0)*(((K898+N898)-(L898+Calc!$J$2:$J$1001))&lt;Calc!$F$2:$F$1001)*((K898+N898)-(L898+Calc!$J$2:$J$1001))+(((K898+N898)-(L898+Calc!$J$2:$J$1001))&gt;=Calc!$F$2:$F$1001)*Calc!$F$2:$F$1001))))</f>
        <v/>
      </c>
      <c r="S898">
        <f>IF(I898=0,0,(MIN(MAX((K898+O898),0),L898)*W898+SUMPRODUCT((Calc!$A$2:$A$1001=A898)*Calc!$G$2:$G$1001*((((K898+O898)-(L898+Calc!$J$2:$J$1001))&gt;0)*(((K898+O898)-(L898+Calc!$J$2:$J$1001))&lt;Calc!$F$2:$F$1001)*((K898+O898)-(L898+Calc!$J$2:$J$1001))+(((K898+O898)-(L898+Calc!$J$2:$J$1001))&gt;=Calc!$F$2:$F$1001)*Calc!$F$2:$F$1001))))</f>
        <v/>
      </c>
      <c r="T898">
        <f>IF(AND(E898=1,B898="RETURN"),Transactions!E898*Transactions!G898,0)</f>
        <v/>
      </c>
      <c r="U898">
        <f>IF(AND(E898=1,B898="EXPENSE"),Transactions!J898,0)</f>
        <v/>
      </c>
      <c r="V898">
        <f>IF(AND(Transactions!A898&lt;&gt;"",E898=0),ROW(),"")</f>
        <v/>
      </c>
      <c r="W898">
        <f>IFERROR(VLOOKUP(A898,Opening!$A:$D,4,0),0)</f>
        <v/>
      </c>
    </row>
    <row r="899">
      <c r="A899">
        <f>IF(Transactions!D899="","",UPPER(TRIM(Transactions!D899)))</f>
        <v/>
      </c>
      <c r="B899">
        <f>IF(Transactions!C899="","",UPPER(TRIM(Transactions!C899)))</f>
        <v/>
      </c>
      <c r="C899">
        <f>IF(Transactions!B899="",0,YEAR(Transactions!B899)*100+MONTH(Transactions!B899))</f>
        <v/>
      </c>
      <c r="D899">
        <f>IF(Transactions!A899="",1,IF(COUNTIF(Transactions!$A$1:A898,Transactions!A899)&gt;0,1,0))</f>
        <v/>
      </c>
      <c r="E899">
        <f>IF(D899=1,0,IF(B899="RETURN",IF(COUNTIFS($A$1:A898,A899,$B$1:B898,"SALE",$E$1:E898,1)&gt;0,1,0),1))</f>
        <v/>
      </c>
      <c r="F899">
        <f>IF(E899=1,IF(B899="RECEIPT",Transactions!E899,IF(AND(B899="RETURN",LOWER(TRIM(Transactions!H899))="resellable"),Transactions!E899,0)),0)</f>
        <v/>
      </c>
      <c r="G899">
        <f>IF(F899&gt;0,IF(B899="RECEIPT",Transactions!F899,IF(_xlfn.MAXIFS($H$2:H899,$A$2:A899,A899)&gt;0,INDEX(Transactions!$F:$F,_xlfn.MAXIFS($H$2:H899,$A$2:A899,A899)),W899)),0)</f>
        <v/>
      </c>
      <c r="H899">
        <f>IF(AND(E899=1,B899="RECEIPT"),ROW(),0)</f>
        <v/>
      </c>
      <c r="I899">
        <f>IF(E899=1,IF(OR(B899="SALE",B899="WRITEOFF"),Transactions!E899,0),0)</f>
        <v/>
      </c>
      <c r="J899">
        <f>SUMIFS($F$1:F898,$A$1:A898,A899)</f>
        <v/>
      </c>
      <c r="K899">
        <f>SUMIFS($I$1:I898,$A$1:A898,A899)</f>
        <v/>
      </c>
      <c r="L899">
        <f>IFERROR(VLOOKUP(A899,Opening!$A:$C,3,0),0)</f>
        <v/>
      </c>
      <c r="M899">
        <f>IF(I899=0,0,MAX(0,MIN(INDEX(Month!H$2:H$13,MATCH($A899,Month!$A$2:$A$13,0))-K899,I899)))</f>
        <v/>
      </c>
      <c r="N899">
        <f>IF(I899=0,0,MAX(0,MIN(INDEX(Month!I$2:I$13,MATCH($A899,Month!$A$2:$A$13,0))-K899,I899)))</f>
        <v/>
      </c>
      <c r="O899">
        <f>IF(I899=0,0,MAX(0,MIN(INDEX(Month!J$2:J$13,MATCH($A899,Month!$A$2:$A$13,0))-K899,I899)))</f>
        <v/>
      </c>
      <c r="P899">
        <f>IF(I899=0,0,(MIN(MAX(K899,0),L899)*W899+SUMPRODUCT((Calc!$A$2:$A$1001=A899)*Calc!$G$2:$G$1001*(((K899-(L899+Calc!$J$2:$J$1001))&gt;0)*((K899-(L899+Calc!$J$2:$J$1001))&lt;Calc!$F$2:$F$1001)*(K899-(L899+Calc!$J$2:$J$1001))+((K899-(L899+Calc!$J$2:$J$1001))&gt;=Calc!$F$2:$F$1001)*Calc!$F$2:$F$1001))))</f>
        <v/>
      </c>
      <c r="Q899">
        <f>IF(I899=0,0,(MIN(MAX((K899+M899),0),L899)*W899+SUMPRODUCT((Calc!$A$2:$A$1001=A899)*Calc!$G$2:$G$1001*((((K899+M899)-(L899+Calc!$J$2:$J$1001))&gt;0)*(((K899+M899)-(L899+Calc!$J$2:$J$1001))&lt;Calc!$F$2:$F$1001)*((K899+M899)-(L899+Calc!$J$2:$J$1001))+(((K899+M899)-(L899+Calc!$J$2:$J$1001))&gt;=Calc!$F$2:$F$1001)*Calc!$F$2:$F$1001))))</f>
        <v/>
      </c>
      <c r="R899">
        <f>IF(I899=0,0,(MIN(MAX((K899+N899),0),L899)*W899+SUMPRODUCT((Calc!$A$2:$A$1001=A899)*Calc!$G$2:$G$1001*((((K899+N899)-(L899+Calc!$J$2:$J$1001))&gt;0)*(((K899+N899)-(L899+Calc!$J$2:$J$1001))&lt;Calc!$F$2:$F$1001)*((K899+N899)-(L899+Calc!$J$2:$J$1001))+(((K899+N899)-(L899+Calc!$J$2:$J$1001))&gt;=Calc!$F$2:$F$1001)*Calc!$F$2:$F$1001))))</f>
        <v/>
      </c>
      <c r="S899">
        <f>IF(I899=0,0,(MIN(MAX((K899+O899),0),L899)*W899+SUMPRODUCT((Calc!$A$2:$A$1001=A899)*Calc!$G$2:$G$1001*((((K899+O899)-(L899+Calc!$J$2:$J$1001))&gt;0)*(((K899+O899)-(L899+Calc!$J$2:$J$1001))&lt;Calc!$F$2:$F$1001)*((K899+O899)-(L899+Calc!$J$2:$J$1001))+(((K899+O899)-(L899+Calc!$J$2:$J$1001))&gt;=Calc!$F$2:$F$1001)*Calc!$F$2:$F$1001))))</f>
        <v/>
      </c>
      <c r="T899">
        <f>IF(AND(E899=1,B899="RETURN"),Transactions!E899*Transactions!G899,0)</f>
        <v/>
      </c>
      <c r="U899">
        <f>IF(AND(E899=1,B899="EXPENSE"),Transactions!J899,0)</f>
        <v/>
      </c>
      <c r="V899">
        <f>IF(AND(Transactions!A899&lt;&gt;"",E899=0),ROW(),"")</f>
        <v/>
      </c>
      <c r="W899">
        <f>IFERROR(VLOOKUP(A899,Opening!$A:$D,4,0),0)</f>
        <v/>
      </c>
    </row>
    <row r="900">
      <c r="A900">
        <f>IF(Transactions!D900="","",UPPER(TRIM(Transactions!D900)))</f>
        <v/>
      </c>
      <c r="B900">
        <f>IF(Transactions!C900="","",UPPER(TRIM(Transactions!C900)))</f>
        <v/>
      </c>
      <c r="C900">
        <f>IF(Transactions!B900="",0,YEAR(Transactions!B900)*100+MONTH(Transactions!B900))</f>
        <v/>
      </c>
      <c r="D900">
        <f>IF(Transactions!A900="",1,IF(COUNTIF(Transactions!$A$1:A899,Transactions!A900)&gt;0,1,0))</f>
        <v/>
      </c>
      <c r="E900">
        <f>IF(D900=1,0,IF(B900="RETURN",IF(COUNTIFS($A$1:A899,A900,$B$1:B899,"SALE",$E$1:E899,1)&gt;0,1,0),1))</f>
        <v/>
      </c>
      <c r="F900">
        <f>IF(E900=1,IF(B900="RECEIPT",Transactions!E900,IF(AND(B900="RETURN",LOWER(TRIM(Transactions!H900))="resellable"),Transactions!E900,0)),0)</f>
        <v/>
      </c>
      <c r="G900">
        <f>IF(F900&gt;0,IF(B900="RECEIPT",Transactions!F900,IF(_xlfn.MAXIFS($H$2:H900,$A$2:A900,A900)&gt;0,INDEX(Transactions!$F:$F,_xlfn.MAXIFS($H$2:H900,$A$2:A900,A900)),W900)),0)</f>
        <v/>
      </c>
      <c r="H900">
        <f>IF(AND(E900=1,B900="RECEIPT"),ROW(),0)</f>
        <v/>
      </c>
      <c r="I900">
        <f>IF(E900=1,IF(OR(B900="SALE",B900="WRITEOFF"),Transactions!E900,0),0)</f>
        <v/>
      </c>
      <c r="J900">
        <f>SUMIFS($F$1:F899,$A$1:A899,A900)</f>
        <v/>
      </c>
      <c r="K900">
        <f>SUMIFS($I$1:I899,$A$1:A899,A900)</f>
        <v/>
      </c>
      <c r="L900">
        <f>IFERROR(VLOOKUP(A900,Opening!$A:$C,3,0),0)</f>
        <v/>
      </c>
      <c r="M900">
        <f>IF(I900=0,0,MAX(0,MIN(INDEX(Month!H$2:H$13,MATCH($A900,Month!$A$2:$A$13,0))-K900,I900)))</f>
        <v/>
      </c>
      <c r="N900">
        <f>IF(I900=0,0,MAX(0,MIN(INDEX(Month!I$2:I$13,MATCH($A900,Month!$A$2:$A$13,0))-K900,I900)))</f>
        <v/>
      </c>
      <c r="O900">
        <f>IF(I900=0,0,MAX(0,MIN(INDEX(Month!J$2:J$13,MATCH($A900,Month!$A$2:$A$13,0))-K900,I900)))</f>
        <v/>
      </c>
      <c r="P900">
        <f>IF(I900=0,0,(MIN(MAX(K900,0),L900)*W900+SUMPRODUCT((Calc!$A$2:$A$1001=A900)*Calc!$G$2:$G$1001*(((K900-(L900+Calc!$J$2:$J$1001))&gt;0)*((K900-(L900+Calc!$J$2:$J$1001))&lt;Calc!$F$2:$F$1001)*(K900-(L900+Calc!$J$2:$J$1001))+((K900-(L900+Calc!$J$2:$J$1001))&gt;=Calc!$F$2:$F$1001)*Calc!$F$2:$F$1001))))</f>
        <v/>
      </c>
      <c r="Q900">
        <f>IF(I900=0,0,(MIN(MAX((K900+M900),0),L900)*W900+SUMPRODUCT((Calc!$A$2:$A$1001=A900)*Calc!$G$2:$G$1001*((((K900+M900)-(L900+Calc!$J$2:$J$1001))&gt;0)*(((K900+M900)-(L900+Calc!$J$2:$J$1001))&lt;Calc!$F$2:$F$1001)*((K900+M900)-(L900+Calc!$J$2:$J$1001))+(((K900+M900)-(L900+Calc!$J$2:$J$1001))&gt;=Calc!$F$2:$F$1001)*Calc!$F$2:$F$1001))))</f>
        <v/>
      </c>
      <c r="R900">
        <f>IF(I900=0,0,(MIN(MAX((K900+N900),0),L900)*W900+SUMPRODUCT((Calc!$A$2:$A$1001=A900)*Calc!$G$2:$G$1001*((((K900+N900)-(L900+Calc!$J$2:$J$1001))&gt;0)*(((K900+N900)-(L900+Calc!$J$2:$J$1001))&lt;Calc!$F$2:$F$1001)*((K900+N900)-(L900+Calc!$J$2:$J$1001))+(((K900+N900)-(L900+Calc!$J$2:$J$1001))&gt;=Calc!$F$2:$F$1001)*Calc!$F$2:$F$1001))))</f>
        <v/>
      </c>
      <c r="S900">
        <f>IF(I900=0,0,(MIN(MAX((K900+O900),0),L900)*W900+SUMPRODUCT((Calc!$A$2:$A$1001=A900)*Calc!$G$2:$G$1001*((((K900+O900)-(L900+Calc!$J$2:$J$1001))&gt;0)*(((K900+O900)-(L900+Calc!$J$2:$J$1001))&lt;Calc!$F$2:$F$1001)*((K900+O900)-(L900+Calc!$J$2:$J$1001))+(((K900+O900)-(L900+Calc!$J$2:$J$1001))&gt;=Calc!$F$2:$F$1001)*Calc!$F$2:$F$1001))))</f>
        <v/>
      </c>
      <c r="T900">
        <f>IF(AND(E900=1,B900="RETURN"),Transactions!E900*Transactions!G900,0)</f>
        <v/>
      </c>
      <c r="U900">
        <f>IF(AND(E900=1,B900="EXPENSE"),Transactions!J900,0)</f>
        <v/>
      </c>
      <c r="V900">
        <f>IF(AND(Transactions!A900&lt;&gt;"",E900=0),ROW(),"")</f>
        <v/>
      </c>
      <c r="W900">
        <f>IFERROR(VLOOKUP(A900,Opening!$A:$D,4,0),0)</f>
        <v/>
      </c>
    </row>
    <row r="901">
      <c r="A901">
        <f>IF(Transactions!D901="","",UPPER(TRIM(Transactions!D901)))</f>
        <v/>
      </c>
      <c r="B901">
        <f>IF(Transactions!C901="","",UPPER(TRIM(Transactions!C901)))</f>
        <v/>
      </c>
      <c r="C901">
        <f>IF(Transactions!B901="",0,YEAR(Transactions!B901)*100+MONTH(Transactions!B901))</f>
        <v/>
      </c>
      <c r="D901">
        <f>IF(Transactions!A901="",1,IF(COUNTIF(Transactions!$A$1:A900,Transactions!A901)&gt;0,1,0))</f>
        <v/>
      </c>
      <c r="E901">
        <f>IF(D901=1,0,IF(B901="RETURN",IF(COUNTIFS($A$1:A900,A901,$B$1:B900,"SALE",$E$1:E900,1)&gt;0,1,0),1))</f>
        <v/>
      </c>
      <c r="F901">
        <f>IF(E901=1,IF(B901="RECEIPT",Transactions!E901,IF(AND(B901="RETURN",LOWER(TRIM(Transactions!H901))="resellable"),Transactions!E901,0)),0)</f>
        <v/>
      </c>
      <c r="G901">
        <f>IF(F901&gt;0,IF(B901="RECEIPT",Transactions!F901,IF(_xlfn.MAXIFS($H$2:H901,$A$2:A901,A901)&gt;0,INDEX(Transactions!$F:$F,_xlfn.MAXIFS($H$2:H901,$A$2:A901,A901)),W901)),0)</f>
        <v/>
      </c>
      <c r="H901">
        <f>IF(AND(E901=1,B901="RECEIPT"),ROW(),0)</f>
        <v/>
      </c>
      <c r="I901">
        <f>IF(E901=1,IF(OR(B901="SALE",B901="WRITEOFF"),Transactions!E901,0),0)</f>
        <v/>
      </c>
      <c r="J901">
        <f>SUMIFS($F$1:F900,$A$1:A900,A901)</f>
        <v/>
      </c>
      <c r="K901">
        <f>SUMIFS($I$1:I900,$A$1:A900,A901)</f>
        <v/>
      </c>
      <c r="L901">
        <f>IFERROR(VLOOKUP(A901,Opening!$A:$C,3,0),0)</f>
        <v/>
      </c>
      <c r="M901">
        <f>IF(I901=0,0,MAX(0,MIN(INDEX(Month!H$2:H$13,MATCH($A901,Month!$A$2:$A$13,0))-K901,I901)))</f>
        <v/>
      </c>
      <c r="N901">
        <f>IF(I901=0,0,MAX(0,MIN(INDEX(Month!I$2:I$13,MATCH($A901,Month!$A$2:$A$13,0))-K901,I901)))</f>
        <v/>
      </c>
      <c r="O901">
        <f>IF(I901=0,0,MAX(0,MIN(INDEX(Month!J$2:J$13,MATCH($A901,Month!$A$2:$A$13,0))-K901,I901)))</f>
        <v/>
      </c>
      <c r="P901">
        <f>IF(I901=0,0,(MIN(MAX(K901,0),L901)*W901+SUMPRODUCT((Calc!$A$2:$A$1001=A901)*Calc!$G$2:$G$1001*(((K901-(L901+Calc!$J$2:$J$1001))&gt;0)*((K901-(L901+Calc!$J$2:$J$1001))&lt;Calc!$F$2:$F$1001)*(K901-(L901+Calc!$J$2:$J$1001))+((K901-(L901+Calc!$J$2:$J$1001))&gt;=Calc!$F$2:$F$1001)*Calc!$F$2:$F$1001))))</f>
        <v/>
      </c>
      <c r="Q901">
        <f>IF(I901=0,0,(MIN(MAX((K901+M901),0),L901)*W901+SUMPRODUCT((Calc!$A$2:$A$1001=A901)*Calc!$G$2:$G$1001*((((K901+M901)-(L901+Calc!$J$2:$J$1001))&gt;0)*(((K901+M901)-(L901+Calc!$J$2:$J$1001))&lt;Calc!$F$2:$F$1001)*((K901+M901)-(L901+Calc!$J$2:$J$1001))+(((K901+M901)-(L901+Calc!$J$2:$J$1001))&gt;=Calc!$F$2:$F$1001)*Calc!$F$2:$F$1001))))</f>
        <v/>
      </c>
      <c r="R901">
        <f>IF(I901=0,0,(MIN(MAX((K901+N901),0),L901)*W901+SUMPRODUCT((Calc!$A$2:$A$1001=A901)*Calc!$G$2:$G$1001*((((K901+N901)-(L901+Calc!$J$2:$J$1001))&gt;0)*(((K901+N901)-(L901+Calc!$J$2:$J$1001))&lt;Calc!$F$2:$F$1001)*((K901+N901)-(L901+Calc!$J$2:$J$1001))+(((K901+N901)-(L901+Calc!$J$2:$J$1001))&gt;=Calc!$F$2:$F$1001)*Calc!$F$2:$F$1001))))</f>
        <v/>
      </c>
      <c r="S901">
        <f>IF(I901=0,0,(MIN(MAX((K901+O901),0),L901)*W901+SUMPRODUCT((Calc!$A$2:$A$1001=A901)*Calc!$G$2:$G$1001*((((K901+O901)-(L901+Calc!$J$2:$J$1001))&gt;0)*(((K901+O901)-(L901+Calc!$J$2:$J$1001))&lt;Calc!$F$2:$F$1001)*((K901+O901)-(L901+Calc!$J$2:$J$1001))+(((K901+O901)-(L901+Calc!$J$2:$J$1001))&gt;=Calc!$F$2:$F$1001)*Calc!$F$2:$F$1001))))</f>
        <v/>
      </c>
      <c r="T901">
        <f>IF(AND(E901=1,B901="RETURN"),Transactions!E901*Transactions!G901,0)</f>
        <v/>
      </c>
      <c r="U901">
        <f>IF(AND(E901=1,B901="EXPENSE"),Transactions!J901,0)</f>
        <v/>
      </c>
      <c r="V901">
        <f>IF(AND(Transactions!A901&lt;&gt;"",E901=0),ROW(),"")</f>
        <v/>
      </c>
      <c r="W901">
        <f>IFERROR(VLOOKUP(A901,Opening!$A:$D,4,0),0)</f>
        <v/>
      </c>
    </row>
    <row r="902">
      <c r="A902">
        <f>IF(Transactions!D902="","",UPPER(TRIM(Transactions!D902)))</f>
        <v/>
      </c>
      <c r="B902">
        <f>IF(Transactions!C902="","",UPPER(TRIM(Transactions!C902)))</f>
        <v/>
      </c>
      <c r="C902">
        <f>IF(Transactions!B902="",0,YEAR(Transactions!B902)*100+MONTH(Transactions!B902))</f>
        <v/>
      </c>
      <c r="D902">
        <f>IF(Transactions!A902="",1,IF(COUNTIF(Transactions!$A$1:A901,Transactions!A902)&gt;0,1,0))</f>
        <v/>
      </c>
      <c r="E902">
        <f>IF(D902=1,0,IF(B902="RETURN",IF(COUNTIFS($A$1:A901,A902,$B$1:B901,"SALE",$E$1:E901,1)&gt;0,1,0),1))</f>
        <v/>
      </c>
      <c r="F902">
        <f>IF(E902=1,IF(B902="RECEIPT",Transactions!E902,IF(AND(B902="RETURN",LOWER(TRIM(Transactions!H902))="resellable"),Transactions!E902,0)),0)</f>
        <v/>
      </c>
      <c r="G902">
        <f>IF(F902&gt;0,IF(B902="RECEIPT",Transactions!F902,IF(_xlfn.MAXIFS($H$2:H902,$A$2:A902,A902)&gt;0,INDEX(Transactions!$F:$F,_xlfn.MAXIFS($H$2:H902,$A$2:A902,A902)),W902)),0)</f>
        <v/>
      </c>
      <c r="H902">
        <f>IF(AND(E902=1,B902="RECEIPT"),ROW(),0)</f>
        <v/>
      </c>
      <c r="I902">
        <f>IF(E902=1,IF(OR(B902="SALE",B902="WRITEOFF"),Transactions!E902,0),0)</f>
        <v/>
      </c>
      <c r="J902">
        <f>SUMIFS($F$1:F901,$A$1:A901,A902)</f>
        <v/>
      </c>
      <c r="K902">
        <f>SUMIFS($I$1:I901,$A$1:A901,A902)</f>
        <v/>
      </c>
      <c r="L902">
        <f>IFERROR(VLOOKUP(A902,Opening!$A:$C,3,0),0)</f>
        <v/>
      </c>
      <c r="M902">
        <f>IF(I902=0,0,MAX(0,MIN(INDEX(Month!H$2:H$13,MATCH($A902,Month!$A$2:$A$13,0))-K902,I902)))</f>
        <v/>
      </c>
      <c r="N902">
        <f>IF(I902=0,0,MAX(0,MIN(INDEX(Month!I$2:I$13,MATCH($A902,Month!$A$2:$A$13,0))-K902,I902)))</f>
        <v/>
      </c>
      <c r="O902">
        <f>IF(I902=0,0,MAX(0,MIN(INDEX(Month!J$2:J$13,MATCH($A902,Month!$A$2:$A$13,0))-K902,I902)))</f>
        <v/>
      </c>
      <c r="P902">
        <f>IF(I902=0,0,(MIN(MAX(K902,0),L902)*W902+SUMPRODUCT((Calc!$A$2:$A$1001=A902)*Calc!$G$2:$G$1001*(((K902-(L902+Calc!$J$2:$J$1001))&gt;0)*((K902-(L902+Calc!$J$2:$J$1001))&lt;Calc!$F$2:$F$1001)*(K902-(L902+Calc!$J$2:$J$1001))+((K902-(L902+Calc!$J$2:$J$1001))&gt;=Calc!$F$2:$F$1001)*Calc!$F$2:$F$1001))))</f>
        <v/>
      </c>
      <c r="Q902">
        <f>IF(I902=0,0,(MIN(MAX((K902+M902),0),L902)*W902+SUMPRODUCT((Calc!$A$2:$A$1001=A902)*Calc!$G$2:$G$1001*((((K902+M902)-(L902+Calc!$J$2:$J$1001))&gt;0)*(((K902+M902)-(L902+Calc!$J$2:$J$1001))&lt;Calc!$F$2:$F$1001)*((K902+M902)-(L902+Calc!$J$2:$J$1001))+(((K902+M902)-(L902+Calc!$J$2:$J$1001))&gt;=Calc!$F$2:$F$1001)*Calc!$F$2:$F$1001))))</f>
        <v/>
      </c>
      <c r="R902">
        <f>IF(I902=0,0,(MIN(MAX((K902+N902),0),L902)*W902+SUMPRODUCT((Calc!$A$2:$A$1001=A902)*Calc!$G$2:$G$1001*((((K902+N902)-(L902+Calc!$J$2:$J$1001))&gt;0)*(((K902+N902)-(L902+Calc!$J$2:$J$1001))&lt;Calc!$F$2:$F$1001)*((K902+N902)-(L902+Calc!$J$2:$J$1001))+(((K902+N902)-(L902+Calc!$J$2:$J$1001))&gt;=Calc!$F$2:$F$1001)*Calc!$F$2:$F$1001))))</f>
        <v/>
      </c>
      <c r="S902">
        <f>IF(I902=0,0,(MIN(MAX((K902+O902),0),L902)*W902+SUMPRODUCT((Calc!$A$2:$A$1001=A902)*Calc!$G$2:$G$1001*((((K902+O902)-(L902+Calc!$J$2:$J$1001))&gt;0)*(((K902+O902)-(L902+Calc!$J$2:$J$1001))&lt;Calc!$F$2:$F$1001)*((K902+O902)-(L902+Calc!$J$2:$J$1001))+(((K902+O902)-(L902+Calc!$J$2:$J$1001))&gt;=Calc!$F$2:$F$1001)*Calc!$F$2:$F$1001))))</f>
        <v/>
      </c>
      <c r="T902">
        <f>IF(AND(E902=1,B902="RETURN"),Transactions!E902*Transactions!G902,0)</f>
        <v/>
      </c>
      <c r="U902">
        <f>IF(AND(E902=1,B902="EXPENSE"),Transactions!J902,0)</f>
        <v/>
      </c>
      <c r="V902">
        <f>IF(AND(Transactions!A902&lt;&gt;"",E902=0),ROW(),"")</f>
        <v/>
      </c>
      <c r="W902">
        <f>IFERROR(VLOOKUP(A902,Opening!$A:$D,4,0),0)</f>
        <v/>
      </c>
    </row>
    <row r="903">
      <c r="A903">
        <f>IF(Transactions!D903="","",UPPER(TRIM(Transactions!D903)))</f>
        <v/>
      </c>
      <c r="B903">
        <f>IF(Transactions!C903="","",UPPER(TRIM(Transactions!C903)))</f>
        <v/>
      </c>
      <c r="C903">
        <f>IF(Transactions!B903="",0,YEAR(Transactions!B903)*100+MONTH(Transactions!B903))</f>
        <v/>
      </c>
      <c r="D903">
        <f>IF(Transactions!A903="",1,IF(COUNTIF(Transactions!$A$1:A902,Transactions!A903)&gt;0,1,0))</f>
        <v/>
      </c>
      <c r="E903">
        <f>IF(D903=1,0,IF(B903="RETURN",IF(COUNTIFS($A$1:A902,A903,$B$1:B902,"SALE",$E$1:E902,1)&gt;0,1,0),1))</f>
        <v/>
      </c>
      <c r="F903">
        <f>IF(E903=1,IF(B903="RECEIPT",Transactions!E903,IF(AND(B903="RETURN",LOWER(TRIM(Transactions!H903))="resellable"),Transactions!E903,0)),0)</f>
        <v/>
      </c>
      <c r="G903">
        <f>IF(F903&gt;0,IF(B903="RECEIPT",Transactions!F903,IF(_xlfn.MAXIFS($H$2:H903,$A$2:A903,A903)&gt;0,INDEX(Transactions!$F:$F,_xlfn.MAXIFS($H$2:H903,$A$2:A903,A903)),W903)),0)</f>
        <v/>
      </c>
      <c r="H903">
        <f>IF(AND(E903=1,B903="RECEIPT"),ROW(),0)</f>
        <v/>
      </c>
      <c r="I903">
        <f>IF(E903=1,IF(OR(B903="SALE",B903="WRITEOFF"),Transactions!E903,0),0)</f>
        <v/>
      </c>
      <c r="J903">
        <f>SUMIFS($F$1:F902,$A$1:A902,A903)</f>
        <v/>
      </c>
      <c r="K903">
        <f>SUMIFS($I$1:I902,$A$1:A902,A903)</f>
        <v/>
      </c>
      <c r="L903">
        <f>IFERROR(VLOOKUP(A903,Opening!$A:$C,3,0),0)</f>
        <v/>
      </c>
      <c r="M903">
        <f>IF(I903=0,0,MAX(0,MIN(INDEX(Month!H$2:H$13,MATCH($A903,Month!$A$2:$A$13,0))-K903,I903)))</f>
        <v/>
      </c>
      <c r="N903">
        <f>IF(I903=0,0,MAX(0,MIN(INDEX(Month!I$2:I$13,MATCH($A903,Month!$A$2:$A$13,0))-K903,I903)))</f>
        <v/>
      </c>
      <c r="O903">
        <f>IF(I903=0,0,MAX(0,MIN(INDEX(Month!J$2:J$13,MATCH($A903,Month!$A$2:$A$13,0))-K903,I903)))</f>
        <v/>
      </c>
      <c r="P903">
        <f>IF(I903=0,0,(MIN(MAX(K903,0),L903)*W903+SUMPRODUCT((Calc!$A$2:$A$1001=A903)*Calc!$G$2:$G$1001*(((K903-(L903+Calc!$J$2:$J$1001))&gt;0)*((K903-(L903+Calc!$J$2:$J$1001))&lt;Calc!$F$2:$F$1001)*(K903-(L903+Calc!$J$2:$J$1001))+((K903-(L903+Calc!$J$2:$J$1001))&gt;=Calc!$F$2:$F$1001)*Calc!$F$2:$F$1001))))</f>
        <v/>
      </c>
      <c r="Q903">
        <f>IF(I903=0,0,(MIN(MAX((K903+M903),0),L903)*W903+SUMPRODUCT((Calc!$A$2:$A$1001=A903)*Calc!$G$2:$G$1001*((((K903+M903)-(L903+Calc!$J$2:$J$1001))&gt;0)*(((K903+M903)-(L903+Calc!$J$2:$J$1001))&lt;Calc!$F$2:$F$1001)*((K903+M903)-(L903+Calc!$J$2:$J$1001))+(((K903+M903)-(L903+Calc!$J$2:$J$1001))&gt;=Calc!$F$2:$F$1001)*Calc!$F$2:$F$1001))))</f>
        <v/>
      </c>
      <c r="R903">
        <f>IF(I903=0,0,(MIN(MAX((K903+N903),0),L903)*W903+SUMPRODUCT((Calc!$A$2:$A$1001=A903)*Calc!$G$2:$G$1001*((((K903+N903)-(L903+Calc!$J$2:$J$1001))&gt;0)*(((K903+N903)-(L903+Calc!$J$2:$J$1001))&lt;Calc!$F$2:$F$1001)*((K903+N903)-(L903+Calc!$J$2:$J$1001))+(((K903+N903)-(L903+Calc!$J$2:$J$1001))&gt;=Calc!$F$2:$F$1001)*Calc!$F$2:$F$1001))))</f>
        <v/>
      </c>
      <c r="S903">
        <f>IF(I903=0,0,(MIN(MAX((K903+O903),0),L903)*W903+SUMPRODUCT((Calc!$A$2:$A$1001=A903)*Calc!$G$2:$G$1001*((((K903+O903)-(L903+Calc!$J$2:$J$1001))&gt;0)*(((K903+O903)-(L903+Calc!$J$2:$J$1001))&lt;Calc!$F$2:$F$1001)*((K903+O903)-(L903+Calc!$J$2:$J$1001))+(((K903+O903)-(L903+Calc!$J$2:$J$1001))&gt;=Calc!$F$2:$F$1001)*Calc!$F$2:$F$1001))))</f>
        <v/>
      </c>
      <c r="T903">
        <f>IF(AND(E903=1,B903="RETURN"),Transactions!E903*Transactions!G903,0)</f>
        <v/>
      </c>
      <c r="U903">
        <f>IF(AND(E903=1,B903="EXPENSE"),Transactions!J903,0)</f>
        <v/>
      </c>
      <c r="V903">
        <f>IF(AND(Transactions!A903&lt;&gt;"",E903=0),ROW(),"")</f>
        <v/>
      </c>
      <c r="W903">
        <f>IFERROR(VLOOKUP(A903,Opening!$A:$D,4,0),0)</f>
        <v/>
      </c>
    </row>
    <row r="904">
      <c r="A904">
        <f>IF(Transactions!D904="","",UPPER(TRIM(Transactions!D904)))</f>
        <v/>
      </c>
      <c r="B904">
        <f>IF(Transactions!C904="","",UPPER(TRIM(Transactions!C904)))</f>
        <v/>
      </c>
      <c r="C904">
        <f>IF(Transactions!B904="",0,YEAR(Transactions!B904)*100+MONTH(Transactions!B904))</f>
        <v/>
      </c>
      <c r="D904">
        <f>IF(Transactions!A904="",1,IF(COUNTIF(Transactions!$A$1:A903,Transactions!A904)&gt;0,1,0))</f>
        <v/>
      </c>
      <c r="E904">
        <f>IF(D904=1,0,IF(B904="RETURN",IF(COUNTIFS($A$1:A903,A904,$B$1:B903,"SALE",$E$1:E903,1)&gt;0,1,0),1))</f>
        <v/>
      </c>
      <c r="F904">
        <f>IF(E904=1,IF(B904="RECEIPT",Transactions!E904,IF(AND(B904="RETURN",LOWER(TRIM(Transactions!H904))="resellable"),Transactions!E904,0)),0)</f>
        <v/>
      </c>
      <c r="G904">
        <f>IF(F904&gt;0,IF(B904="RECEIPT",Transactions!F904,IF(_xlfn.MAXIFS($H$2:H904,$A$2:A904,A904)&gt;0,INDEX(Transactions!$F:$F,_xlfn.MAXIFS($H$2:H904,$A$2:A904,A904)),W904)),0)</f>
        <v/>
      </c>
      <c r="H904">
        <f>IF(AND(E904=1,B904="RECEIPT"),ROW(),0)</f>
        <v/>
      </c>
      <c r="I904">
        <f>IF(E904=1,IF(OR(B904="SALE",B904="WRITEOFF"),Transactions!E904,0),0)</f>
        <v/>
      </c>
      <c r="J904">
        <f>SUMIFS($F$1:F903,$A$1:A903,A904)</f>
        <v/>
      </c>
      <c r="K904">
        <f>SUMIFS($I$1:I903,$A$1:A903,A904)</f>
        <v/>
      </c>
      <c r="L904">
        <f>IFERROR(VLOOKUP(A904,Opening!$A:$C,3,0),0)</f>
        <v/>
      </c>
      <c r="M904">
        <f>IF(I904=0,0,MAX(0,MIN(INDEX(Month!H$2:H$13,MATCH($A904,Month!$A$2:$A$13,0))-K904,I904)))</f>
        <v/>
      </c>
      <c r="N904">
        <f>IF(I904=0,0,MAX(0,MIN(INDEX(Month!I$2:I$13,MATCH($A904,Month!$A$2:$A$13,0))-K904,I904)))</f>
        <v/>
      </c>
      <c r="O904">
        <f>IF(I904=0,0,MAX(0,MIN(INDEX(Month!J$2:J$13,MATCH($A904,Month!$A$2:$A$13,0))-K904,I904)))</f>
        <v/>
      </c>
      <c r="P904">
        <f>IF(I904=0,0,(MIN(MAX(K904,0),L904)*W904+SUMPRODUCT((Calc!$A$2:$A$1001=A904)*Calc!$G$2:$G$1001*(((K904-(L904+Calc!$J$2:$J$1001))&gt;0)*((K904-(L904+Calc!$J$2:$J$1001))&lt;Calc!$F$2:$F$1001)*(K904-(L904+Calc!$J$2:$J$1001))+((K904-(L904+Calc!$J$2:$J$1001))&gt;=Calc!$F$2:$F$1001)*Calc!$F$2:$F$1001))))</f>
        <v/>
      </c>
      <c r="Q904">
        <f>IF(I904=0,0,(MIN(MAX((K904+M904),0),L904)*W904+SUMPRODUCT((Calc!$A$2:$A$1001=A904)*Calc!$G$2:$G$1001*((((K904+M904)-(L904+Calc!$J$2:$J$1001))&gt;0)*(((K904+M904)-(L904+Calc!$J$2:$J$1001))&lt;Calc!$F$2:$F$1001)*((K904+M904)-(L904+Calc!$J$2:$J$1001))+(((K904+M904)-(L904+Calc!$J$2:$J$1001))&gt;=Calc!$F$2:$F$1001)*Calc!$F$2:$F$1001))))</f>
        <v/>
      </c>
      <c r="R904">
        <f>IF(I904=0,0,(MIN(MAX((K904+N904),0),L904)*W904+SUMPRODUCT((Calc!$A$2:$A$1001=A904)*Calc!$G$2:$G$1001*((((K904+N904)-(L904+Calc!$J$2:$J$1001))&gt;0)*(((K904+N904)-(L904+Calc!$J$2:$J$1001))&lt;Calc!$F$2:$F$1001)*((K904+N904)-(L904+Calc!$J$2:$J$1001))+(((K904+N904)-(L904+Calc!$J$2:$J$1001))&gt;=Calc!$F$2:$F$1001)*Calc!$F$2:$F$1001))))</f>
        <v/>
      </c>
      <c r="S904">
        <f>IF(I904=0,0,(MIN(MAX((K904+O904),0),L904)*W904+SUMPRODUCT((Calc!$A$2:$A$1001=A904)*Calc!$G$2:$G$1001*((((K904+O904)-(L904+Calc!$J$2:$J$1001))&gt;0)*(((K904+O904)-(L904+Calc!$J$2:$J$1001))&lt;Calc!$F$2:$F$1001)*((K904+O904)-(L904+Calc!$J$2:$J$1001))+(((K904+O904)-(L904+Calc!$J$2:$J$1001))&gt;=Calc!$F$2:$F$1001)*Calc!$F$2:$F$1001))))</f>
        <v/>
      </c>
      <c r="T904">
        <f>IF(AND(E904=1,B904="RETURN"),Transactions!E904*Transactions!G904,0)</f>
        <v/>
      </c>
      <c r="U904">
        <f>IF(AND(E904=1,B904="EXPENSE"),Transactions!J904,0)</f>
        <v/>
      </c>
      <c r="V904">
        <f>IF(AND(Transactions!A904&lt;&gt;"",E904=0),ROW(),"")</f>
        <v/>
      </c>
      <c r="W904">
        <f>IFERROR(VLOOKUP(A904,Opening!$A:$D,4,0),0)</f>
        <v/>
      </c>
    </row>
    <row r="905">
      <c r="A905">
        <f>IF(Transactions!D905="","",UPPER(TRIM(Transactions!D905)))</f>
        <v/>
      </c>
      <c r="B905">
        <f>IF(Transactions!C905="","",UPPER(TRIM(Transactions!C905)))</f>
        <v/>
      </c>
      <c r="C905">
        <f>IF(Transactions!B905="",0,YEAR(Transactions!B905)*100+MONTH(Transactions!B905))</f>
        <v/>
      </c>
      <c r="D905">
        <f>IF(Transactions!A905="",1,IF(COUNTIF(Transactions!$A$1:A904,Transactions!A905)&gt;0,1,0))</f>
        <v/>
      </c>
      <c r="E905">
        <f>IF(D905=1,0,IF(B905="RETURN",IF(COUNTIFS($A$1:A904,A905,$B$1:B904,"SALE",$E$1:E904,1)&gt;0,1,0),1))</f>
        <v/>
      </c>
      <c r="F905">
        <f>IF(E905=1,IF(B905="RECEIPT",Transactions!E905,IF(AND(B905="RETURN",LOWER(TRIM(Transactions!H905))="resellable"),Transactions!E905,0)),0)</f>
        <v/>
      </c>
      <c r="G905">
        <f>IF(F905&gt;0,IF(B905="RECEIPT",Transactions!F905,IF(_xlfn.MAXIFS($H$2:H905,$A$2:A905,A905)&gt;0,INDEX(Transactions!$F:$F,_xlfn.MAXIFS($H$2:H905,$A$2:A905,A905)),W905)),0)</f>
        <v/>
      </c>
      <c r="H905">
        <f>IF(AND(E905=1,B905="RECEIPT"),ROW(),0)</f>
        <v/>
      </c>
      <c r="I905">
        <f>IF(E905=1,IF(OR(B905="SALE",B905="WRITEOFF"),Transactions!E905,0),0)</f>
        <v/>
      </c>
      <c r="J905">
        <f>SUMIFS($F$1:F904,$A$1:A904,A905)</f>
        <v/>
      </c>
      <c r="K905">
        <f>SUMIFS($I$1:I904,$A$1:A904,A905)</f>
        <v/>
      </c>
      <c r="L905">
        <f>IFERROR(VLOOKUP(A905,Opening!$A:$C,3,0),0)</f>
        <v/>
      </c>
      <c r="M905">
        <f>IF(I905=0,0,MAX(0,MIN(INDEX(Month!H$2:H$13,MATCH($A905,Month!$A$2:$A$13,0))-K905,I905)))</f>
        <v/>
      </c>
      <c r="N905">
        <f>IF(I905=0,0,MAX(0,MIN(INDEX(Month!I$2:I$13,MATCH($A905,Month!$A$2:$A$13,0))-K905,I905)))</f>
        <v/>
      </c>
      <c r="O905">
        <f>IF(I905=0,0,MAX(0,MIN(INDEX(Month!J$2:J$13,MATCH($A905,Month!$A$2:$A$13,0))-K905,I905)))</f>
        <v/>
      </c>
      <c r="P905">
        <f>IF(I905=0,0,(MIN(MAX(K905,0),L905)*W905+SUMPRODUCT((Calc!$A$2:$A$1001=A905)*Calc!$G$2:$G$1001*(((K905-(L905+Calc!$J$2:$J$1001))&gt;0)*((K905-(L905+Calc!$J$2:$J$1001))&lt;Calc!$F$2:$F$1001)*(K905-(L905+Calc!$J$2:$J$1001))+((K905-(L905+Calc!$J$2:$J$1001))&gt;=Calc!$F$2:$F$1001)*Calc!$F$2:$F$1001))))</f>
        <v/>
      </c>
      <c r="Q905">
        <f>IF(I905=0,0,(MIN(MAX((K905+M905),0),L905)*W905+SUMPRODUCT((Calc!$A$2:$A$1001=A905)*Calc!$G$2:$G$1001*((((K905+M905)-(L905+Calc!$J$2:$J$1001))&gt;0)*(((K905+M905)-(L905+Calc!$J$2:$J$1001))&lt;Calc!$F$2:$F$1001)*((K905+M905)-(L905+Calc!$J$2:$J$1001))+(((K905+M905)-(L905+Calc!$J$2:$J$1001))&gt;=Calc!$F$2:$F$1001)*Calc!$F$2:$F$1001))))</f>
        <v/>
      </c>
      <c r="R905">
        <f>IF(I905=0,0,(MIN(MAX((K905+N905),0),L905)*W905+SUMPRODUCT((Calc!$A$2:$A$1001=A905)*Calc!$G$2:$G$1001*((((K905+N905)-(L905+Calc!$J$2:$J$1001))&gt;0)*(((K905+N905)-(L905+Calc!$J$2:$J$1001))&lt;Calc!$F$2:$F$1001)*((K905+N905)-(L905+Calc!$J$2:$J$1001))+(((K905+N905)-(L905+Calc!$J$2:$J$1001))&gt;=Calc!$F$2:$F$1001)*Calc!$F$2:$F$1001))))</f>
        <v/>
      </c>
      <c r="S905">
        <f>IF(I905=0,0,(MIN(MAX((K905+O905),0),L905)*W905+SUMPRODUCT((Calc!$A$2:$A$1001=A905)*Calc!$G$2:$G$1001*((((K905+O905)-(L905+Calc!$J$2:$J$1001))&gt;0)*(((K905+O905)-(L905+Calc!$J$2:$J$1001))&lt;Calc!$F$2:$F$1001)*((K905+O905)-(L905+Calc!$J$2:$J$1001))+(((K905+O905)-(L905+Calc!$J$2:$J$1001))&gt;=Calc!$F$2:$F$1001)*Calc!$F$2:$F$1001))))</f>
        <v/>
      </c>
      <c r="T905">
        <f>IF(AND(E905=1,B905="RETURN"),Transactions!E905*Transactions!G905,0)</f>
        <v/>
      </c>
      <c r="U905">
        <f>IF(AND(E905=1,B905="EXPENSE"),Transactions!J905,0)</f>
        <v/>
      </c>
      <c r="V905">
        <f>IF(AND(Transactions!A905&lt;&gt;"",E905=0),ROW(),"")</f>
        <v/>
      </c>
      <c r="W905">
        <f>IFERROR(VLOOKUP(A905,Opening!$A:$D,4,0),0)</f>
        <v/>
      </c>
    </row>
    <row r="906">
      <c r="A906">
        <f>IF(Transactions!D906="","",UPPER(TRIM(Transactions!D906)))</f>
        <v/>
      </c>
      <c r="B906">
        <f>IF(Transactions!C906="","",UPPER(TRIM(Transactions!C906)))</f>
        <v/>
      </c>
      <c r="C906">
        <f>IF(Transactions!B906="",0,YEAR(Transactions!B906)*100+MONTH(Transactions!B906))</f>
        <v/>
      </c>
      <c r="D906">
        <f>IF(Transactions!A906="",1,IF(COUNTIF(Transactions!$A$1:A905,Transactions!A906)&gt;0,1,0))</f>
        <v/>
      </c>
      <c r="E906">
        <f>IF(D906=1,0,IF(B906="RETURN",IF(COUNTIFS($A$1:A905,A906,$B$1:B905,"SALE",$E$1:E905,1)&gt;0,1,0),1))</f>
        <v/>
      </c>
      <c r="F906">
        <f>IF(E906=1,IF(B906="RECEIPT",Transactions!E906,IF(AND(B906="RETURN",LOWER(TRIM(Transactions!H906))="resellable"),Transactions!E906,0)),0)</f>
        <v/>
      </c>
      <c r="G906">
        <f>IF(F906&gt;0,IF(B906="RECEIPT",Transactions!F906,IF(_xlfn.MAXIFS($H$2:H906,$A$2:A906,A906)&gt;0,INDEX(Transactions!$F:$F,_xlfn.MAXIFS($H$2:H906,$A$2:A906,A906)),W906)),0)</f>
        <v/>
      </c>
      <c r="H906">
        <f>IF(AND(E906=1,B906="RECEIPT"),ROW(),0)</f>
        <v/>
      </c>
      <c r="I906">
        <f>IF(E906=1,IF(OR(B906="SALE",B906="WRITEOFF"),Transactions!E906,0),0)</f>
        <v/>
      </c>
      <c r="J906">
        <f>SUMIFS($F$1:F905,$A$1:A905,A906)</f>
        <v/>
      </c>
      <c r="K906">
        <f>SUMIFS($I$1:I905,$A$1:A905,A906)</f>
        <v/>
      </c>
      <c r="L906">
        <f>IFERROR(VLOOKUP(A906,Opening!$A:$C,3,0),0)</f>
        <v/>
      </c>
      <c r="M906">
        <f>IF(I906=0,0,MAX(0,MIN(INDEX(Month!H$2:H$13,MATCH($A906,Month!$A$2:$A$13,0))-K906,I906)))</f>
        <v/>
      </c>
      <c r="N906">
        <f>IF(I906=0,0,MAX(0,MIN(INDEX(Month!I$2:I$13,MATCH($A906,Month!$A$2:$A$13,0))-K906,I906)))</f>
        <v/>
      </c>
      <c r="O906">
        <f>IF(I906=0,0,MAX(0,MIN(INDEX(Month!J$2:J$13,MATCH($A906,Month!$A$2:$A$13,0))-K906,I906)))</f>
        <v/>
      </c>
      <c r="P906">
        <f>IF(I906=0,0,(MIN(MAX(K906,0),L906)*W906+SUMPRODUCT((Calc!$A$2:$A$1001=A906)*Calc!$G$2:$G$1001*(((K906-(L906+Calc!$J$2:$J$1001))&gt;0)*((K906-(L906+Calc!$J$2:$J$1001))&lt;Calc!$F$2:$F$1001)*(K906-(L906+Calc!$J$2:$J$1001))+((K906-(L906+Calc!$J$2:$J$1001))&gt;=Calc!$F$2:$F$1001)*Calc!$F$2:$F$1001))))</f>
        <v/>
      </c>
      <c r="Q906">
        <f>IF(I906=0,0,(MIN(MAX((K906+M906),0),L906)*W906+SUMPRODUCT((Calc!$A$2:$A$1001=A906)*Calc!$G$2:$G$1001*((((K906+M906)-(L906+Calc!$J$2:$J$1001))&gt;0)*(((K906+M906)-(L906+Calc!$J$2:$J$1001))&lt;Calc!$F$2:$F$1001)*((K906+M906)-(L906+Calc!$J$2:$J$1001))+(((K906+M906)-(L906+Calc!$J$2:$J$1001))&gt;=Calc!$F$2:$F$1001)*Calc!$F$2:$F$1001))))</f>
        <v/>
      </c>
      <c r="R906">
        <f>IF(I906=0,0,(MIN(MAX((K906+N906),0),L906)*W906+SUMPRODUCT((Calc!$A$2:$A$1001=A906)*Calc!$G$2:$G$1001*((((K906+N906)-(L906+Calc!$J$2:$J$1001))&gt;0)*(((K906+N906)-(L906+Calc!$J$2:$J$1001))&lt;Calc!$F$2:$F$1001)*((K906+N906)-(L906+Calc!$J$2:$J$1001))+(((K906+N906)-(L906+Calc!$J$2:$J$1001))&gt;=Calc!$F$2:$F$1001)*Calc!$F$2:$F$1001))))</f>
        <v/>
      </c>
      <c r="S906">
        <f>IF(I906=0,0,(MIN(MAX((K906+O906),0),L906)*W906+SUMPRODUCT((Calc!$A$2:$A$1001=A906)*Calc!$G$2:$G$1001*((((K906+O906)-(L906+Calc!$J$2:$J$1001))&gt;0)*(((K906+O906)-(L906+Calc!$J$2:$J$1001))&lt;Calc!$F$2:$F$1001)*((K906+O906)-(L906+Calc!$J$2:$J$1001))+(((K906+O906)-(L906+Calc!$J$2:$J$1001))&gt;=Calc!$F$2:$F$1001)*Calc!$F$2:$F$1001))))</f>
        <v/>
      </c>
      <c r="T906">
        <f>IF(AND(E906=1,B906="RETURN"),Transactions!E906*Transactions!G906,0)</f>
        <v/>
      </c>
      <c r="U906">
        <f>IF(AND(E906=1,B906="EXPENSE"),Transactions!J906,0)</f>
        <v/>
      </c>
      <c r="V906">
        <f>IF(AND(Transactions!A906&lt;&gt;"",E906=0),ROW(),"")</f>
        <v/>
      </c>
      <c r="W906">
        <f>IFERROR(VLOOKUP(A906,Opening!$A:$D,4,0),0)</f>
        <v/>
      </c>
    </row>
    <row r="907">
      <c r="A907">
        <f>IF(Transactions!D907="","",UPPER(TRIM(Transactions!D907)))</f>
        <v/>
      </c>
      <c r="B907">
        <f>IF(Transactions!C907="","",UPPER(TRIM(Transactions!C907)))</f>
        <v/>
      </c>
      <c r="C907">
        <f>IF(Transactions!B907="",0,YEAR(Transactions!B907)*100+MONTH(Transactions!B907))</f>
        <v/>
      </c>
      <c r="D907">
        <f>IF(Transactions!A907="",1,IF(COUNTIF(Transactions!$A$1:A906,Transactions!A907)&gt;0,1,0))</f>
        <v/>
      </c>
      <c r="E907">
        <f>IF(D907=1,0,IF(B907="RETURN",IF(COUNTIFS($A$1:A906,A907,$B$1:B906,"SALE",$E$1:E906,1)&gt;0,1,0),1))</f>
        <v/>
      </c>
      <c r="F907">
        <f>IF(E907=1,IF(B907="RECEIPT",Transactions!E907,IF(AND(B907="RETURN",LOWER(TRIM(Transactions!H907))="resellable"),Transactions!E907,0)),0)</f>
        <v/>
      </c>
      <c r="G907">
        <f>IF(F907&gt;0,IF(B907="RECEIPT",Transactions!F907,IF(_xlfn.MAXIFS($H$2:H907,$A$2:A907,A907)&gt;0,INDEX(Transactions!$F:$F,_xlfn.MAXIFS($H$2:H907,$A$2:A907,A907)),W907)),0)</f>
        <v/>
      </c>
      <c r="H907">
        <f>IF(AND(E907=1,B907="RECEIPT"),ROW(),0)</f>
        <v/>
      </c>
      <c r="I907">
        <f>IF(E907=1,IF(OR(B907="SALE",B907="WRITEOFF"),Transactions!E907,0),0)</f>
        <v/>
      </c>
      <c r="J907">
        <f>SUMIFS($F$1:F906,$A$1:A906,A907)</f>
        <v/>
      </c>
      <c r="K907">
        <f>SUMIFS($I$1:I906,$A$1:A906,A907)</f>
        <v/>
      </c>
      <c r="L907">
        <f>IFERROR(VLOOKUP(A907,Opening!$A:$C,3,0),0)</f>
        <v/>
      </c>
      <c r="M907">
        <f>IF(I907=0,0,MAX(0,MIN(INDEX(Month!H$2:H$13,MATCH($A907,Month!$A$2:$A$13,0))-K907,I907)))</f>
        <v/>
      </c>
      <c r="N907">
        <f>IF(I907=0,0,MAX(0,MIN(INDEX(Month!I$2:I$13,MATCH($A907,Month!$A$2:$A$13,0))-K907,I907)))</f>
        <v/>
      </c>
      <c r="O907">
        <f>IF(I907=0,0,MAX(0,MIN(INDEX(Month!J$2:J$13,MATCH($A907,Month!$A$2:$A$13,0))-K907,I907)))</f>
        <v/>
      </c>
      <c r="P907">
        <f>IF(I907=0,0,(MIN(MAX(K907,0),L907)*W907+SUMPRODUCT((Calc!$A$2:$A$1001=A907)*Calc!$G$2:$G$1001*(((K907-(L907+Calc!$J$2:$J$1001))&gt;0)*((K907-(L907+Calc!$J$2:$J$1001))&lt;Calc!$F$2:$F$1001)*(K907-(L907+Calc!$J$2:$J$1001))+((K907-(L907+Calc!$J$2:$J$1001))&gt;=Calc!$F$2:$F$1001)*Calc!$F$2:$F$1001))))</f>
        <v/>
      </c>
      <c r="Q907">
        <f>IF(I907=0,0,(MIN(MAX((K907+M907),0),L907)*W907+SUMPRODUCT((Calc!$A$2:$A$1001=A907)*Calc!$G$2:$G$1001*((((K907+M907)-(L907+Calc!$J$2:$J$1001))&gt;0)*(((K907+M907)-(L907+Calc!$J$2:$J$1001))&lt;Calc!$F$2:$F$1001)*((K907+M907)-(L907+Calc!$J$2:$J$1001))+(((K907+M907)-(L907+Calc!$J$2:$J$1001))&gt;=Calc!$F$2:$F$1001)*Calc!$F$2:$F$1001))))</f>
        <v/>
      </c>
      <c r="R907">
        <f>IF(I907=0,0,(MIN(MAX((K907+N907),0),L907)*W907+SUMPRODUCT((Calc!$A$2:$A$1001=A907)*Calc!$G$2:$G$1001*((((K907+N907)-(L907+Calc!$J$2:$J$1001))&gt;0)*(((K907+N907)-(L907+Calc!$J$2:$J$1001))&lt;Calc!$F$2:$F$1001)*((K907+N907)-(L907+Calc!$J$2:$J$1001))+(((K907+N907)-(L907+Calc!$J$2:$J$1001))&gt;=Calc!$F$2:$F$1001)*Calc!$F$2:$F$1001))))</f>
        <v/>
      </c>
      <c r="S907">
        <f>IF(I907=0,0,(MIN(MAX((K907+O907),0),L907)*W907+SUMPRODUCT((Calc!$A$2:$A$1001=A907)*Calc!$G$2:$G$1001*((((K907+O907)-(L907+Calc!$J$2:$J$1001))&gt;0)*(((K907+O907)-(L907+Calc!$J$2:$J$1001))&lt;Calc!$F$2:$F$1001)*((K907+O907)-(L907+Calc!$J$2:$J$1001))+(((K907+O907)-(L907+Calc!$J$2:$J$1001))&gt;=Calc!$F$2:$F$1001)*Calc!$F$2:$F$1001))))</f>
        <v/>
      </c>
      <c r="T907">
        <f>IF(AND(E907=1,B907="RETURN"),Transactions!E907*Transactions!G907,0)</f>
        <v/>
      </c>
      <c r="U907">
        <f>IF(AND(E907=1,B907="EXPENSE"),Transactions!J907,0)</f>
        <v/>
      </c>
      <c r="V907">
        <f>IF(AND(Transactions!A907&lt;&gt;"",E907=0),ROW(),"")</f>
        <v/>
      </c>
      <c r="W907">
        <f>IFERROR(VLOOKUP(A907,Opening!$A:$D,4,0),0)</f>
        <v/>
      </c>
    </row>
    <row r="908">
      <c r="A908">
        <f>IF(Transactions!D908="","",UPPER(TRIM(Transactions!D908)))</f>
        <v/>
      </c>
      <c r="B908">
        <f>IF(Transactions!C908="","",UPPER(TRIM(Transactions!C908)))</f>
        <v/>
      </c>
      <c r="C908">
        <f>IF(Transactions!B908="",0,YEAR(Transactions!B908)*100+MONTH(Transactions!B908))</f>
        <v/>
      </c>
      <c r="D908">
        <f>IF(Transactions!A908="",1,IF(COUNTIF(Transactions!$A$1:A907,Transactions!A908)&gt;0,1,0))</f>
        <v/>
      </c>
      <c r="E908">
        <f>IF(D908=1,0,IF(B908="RETURN",IF(COUNTIFS($A$1:A907,A908,$B$1:B907,"SALE",$E$1:E907,1)&gt;0,1,0),1))</f>
        <v/>
      </c>
      <c r="F908">
        <f>IF(E908=1,IF(B908="RECEIPT",Transactions!E908,IF(AND(B908="RETURN",LOWER(TRIM(Transactions!H908))="resellable"),Transactions!E908,0)),0)</f>
        <v/>
      </c>
      <c r="G908">
        <f>IF(F908&gt;0,IF(B908="RECEIPT",Transactions!F908,IF(_xlfn.MAXIFS($H$2:H908,$A$2:A908,A908)&gt;0,INDEX(Transactions!$F:$F,_xlfn.MAXIFS($H$2:H908,$A$2:A908,A908)),W908)),0)</f>
        <v/>
      </c>
      <c r="H908">
        <f>IF(AND(E908=1,B908="RECEIPT"),ROW(),0)</f>
        <v/>
      </c>
      <c r="I908">
        <f>IF(E908=1,IF(OR(B908="SALE",B908="WRITEOFF"),Transactions!E908,0),0)</f>
        <v/>
      </c>
      <c r="J908">
        <f>SUMIFS($F$1:F907,$A$1:A907,A908)</f>
        <v/>
      </c>
      <c r="K908">
        <f>SUMIFS($I$1:I907,$A$1:A907,A908)</f>
        <v/>
      </c>
      <c r="L908">
        <f>IFERROR(VLOOKUP(A908,Opening!$A:$C,3,0),0)</f>
        <v/>
      </c>
      <c r="M908">
        <f>IF(I908=0,0,MAX(0,MIN(INDEX(Month!H$2:H$13,MATCH($A908,Month!$A$2:$A$13,0))-K908,I908)))</f>
        <v/>
      </c>
      <c r="N908">
        <f>IF(I908=0,0,MAX(0,MIN(INDEX(Month!I$2:I$13,MATCH($A908,Month!$A$2:$A$13,0))-K908,I908)))</f>
        <v/>
      </c>
      <c r="O908">
        <f>IF(I908=0,0,MAX(0,MIN(INDEX(Month!J$2:J$13,MATCH($A908,Month!$A$2:$A$13,0))-K908,I908)))</f>
        <v/>
      </c>
      <c r="P908">
        <f>IF(I908=0,0,(MIN(MAX(K908,0),L908)*W908+SUMPRODUCT((Calc!$A$2:$A$1001=A908)*Calc!$G$2:$G$1001*(((K908-(L908+Calc!$J$2:$J$1001))&gt;0)*((K908-(L908+Calc!$J$2:$J$1001))&lt;Calc!$F$2:$F$1001)*(K908-(L908+Calc!$J$2:$J$1001))+((K908-(L908+Calc!$J$2:$J$1001))&gt;=Calc!$F$2:$F$1001)*Calc!$F$2:$F$1001))))</f>
        <v/>
      </c>
      <c r="Q908">
        <f>IF(I908=0,0,(MIN(MAX((K908+M908),0),L908)*W908+SUMPRODUCT((Calc!$A$2:$A$1001=A908)*Calc!$G$2:$G$1001*((((K908+M908)-(L908+Calc!$J$2:$J$1001))&gt;0)*(((K908+M908)-(L908+Calc!$J$2:$J$1001))&lt;Calc!$F$2:$F$1001)*((K908+M908)-(L908+Calc!$J$2:$J$1001))+(((K908+M908)-(L908+Calc!$J$2:$J$1001))&gt;=Calc!$F$2:$F$1001)*Calc!$F$2:$F$1001))))</f>
        <v/>
      </c>
      <c r="R908">
        <f>IF(I908=0,0,(MIN(MAX((K908+N908),0),L908)*W908+SUMPRODUCT((Calc!$A$2:$A$1001=A908)*Calc!$G$2:$G$1001*((((K908+N908)-(L908+Calc!$J$2:$J$1001))&gt;0)*(((K908+N908)-(L908+Calc!$J$2:$J$1001))&lt;Calc!$F$2:$F$1001)*((K908+N908)-(L908+Calc!$J$2:$J$1001))+(((K908+N908)-(L908+Calc!$J$2:$J$1001))&gt;=Calc!$F$2:$F$1001)*Calc!$F$2:$F$1001))))</f>
        <v/>
      </c>
      <c r="S908">
        <f>IF(I908=0,0,(MIN(MAX((K908+O908),0),L908)*W908+SUMPRODUCT((Calc!$A$2:$A$1001=A908)*Calc!$G$2:$G$1001*((((K908+O908)-(L908+Calc!$J$2:$J$1001))&gt;0)*(((K908+O908)-(L908+Calc!$J$2:$J$1001))&lt;Calc!$F$2:$F$1001)*((K908+O908)-(L908+Calc!$J$2:$J$1001))+(((K908+O908)-(L908+Calc!$J$2:$J$1001))&gt;=Calc!$F$2:$F$1001)*Calc!$F$2:$F$1001))))</f>
        <v/>
      </c>
      <c r="T908">
        <f>IF(AND(E908=1,B908="RETURN"),Transactions!E908*Transactions!G908,0)</f>
        <v/>
      </c>
      <c r="U908">
        <f>IF(AND(E908=1,B908="EXPENSE"),Transactions!J908,0)</f>
        <v/>
      </c>
      <c r="V908">
        <f>IF(AND(Transactions!A908&lt;&gt;"",E908=0),ROW(),"")</f>
        <v/>
      </c>
      <c r="W908">
        <f>IFERROR(VLOOKUP(A908,Opening!$A:$D,4,0),0)</f>
        <v/>
      </c>
    </row>
    <row r="909">
      <c r="A909">
        <f>IF(Transactions!D909="","",UPPER(TRIM(Transactions!D909)))</f>
        <v/>
      </c>
      <c r="B909">
        <f>IF(Transactions!C909="","",UPPER(TRIM(Transactions!C909)))</f>
        <v/>
      </c>
      <c r="C909">
        <f>IF(Transactions!B909="",0,YEAR(Transactions!B909)*100+MONTH(Transactions!B909))</f>
        <v/>
      </c>
      <c r="D909">
        <f>IF(Transactions!A909="",1,IF(COUNTIF(Transactions!$A$1:A908,Transactions!A909)&gt;0,1,0))</f>
        <v/>
      </c>
      <c r="E909">
        <f>IF(D909=1,0,IF(B909="RETURN",IF(COUNTIFS($A$1:A908,A909,$B$1:B908,"SALE",$E$1:E908,1)&gt;0,1,0),1))</f>
        <v/>
      </c>
      <c r="F909">
        <f>IF(E909=1,IF(B909="RECEIPT",Transactions!E909,IF(AND(B909="RETURN",LOWER(TRIM(Transactions!H909))="resellable"),Transactions!E909,0)),0)</f>
        <v/>
      </c>
      <c r="G909">
        <f>IF(F909&gt;0,IF(B909="RECEIPT",Transactions!F909,IF(_xlfn.MAXIFS($H$2:H909,$A$2:A909,A909)&gt;0,INDEX(Transactions!$F:$F,_xlfn.MAXIFS($H$2:H909,$A$2:A909,A909)),W909)),0)</f>
        <v/>
      </c>
      <c r="H909">
        <f>IF(AND(E909=1,B909="RECEIPT"),ROW(),0)</f>
        <v/>
      </c>
      <c r="I909">
        <f>IF(E909=1,IF(OR(B909="SALE",B909="WRITEOFF"),Transactions!E909,0),0)</f>
        <v/>
      </c>
      <c r="J909">
        <f>SUMIFS($F$1:F908,$A$1:A908,A909)</f>
        <v/>
      </c>
      <c r="K909">
        <f>SUMIFS($I$1:I908,$A$1:A908,A909)</f>
        <v/>
      </c>
      <c r="L909">
        <f>IFERROR(VLOOKUP(A909,Opening!$A:$C,3,0),0)</f>
        <v/>
      </c>
      <c r="M909">
        <f>IF(I909=0,0,MAX(0,MIN(INDEX(Month!H$2:H$13,MATCH($A909,Month!$A$2:$A$13,0))-K909,I909)))</f>
        <v/>
      </c>
      <c r="N909">
        <f>IF(I909=0,0,MAX(0,MIN(INDEX(Month!I$2:I$13,MATCH($A909,Month!$A$2:$A$13,0))-K909,I909)))</f>
        <v/>
      </c>
      <c r="O909">
        <f>IF(I909=0,0,MAX(0,MIN(INDEX(Month!J$2:J$13,MATCH($A909,Month!$A$2:$A$13,0))-K909,I909)))</f>
        <v/>
      </c>
      <c r="P909">
        <f>IF(I909=0,0,(MIN(MAX(K909,0),L909)*W909+SUMPRODUCT((Calc!$A$2:$A$1001=A909)*Calc!$G$2:$G$1001*(((K909-(L909+Calc!$J$2:$J$1001))&gt;0)*((K909-(L909+Calc!$J$2:$J$1001))&lt;Calc!$F$2:$F$1001)*(K909-(L909+Calc!$J$2:$J$1001))+((K909-(L909+Calc!$J$2:$J$1001))&gt;=Calc!$F$2:$F$1001)*Calc!$F$2:$F$1001))))</f>
        <v/>
      </c>
      <c r="Q909">
        <f>IF(I909=0,0,(MIN(MAX((K909+M909),0),L909)*W909+SUMPRODUCT((Calc!$A$2:$A$1001=A909)*Calc!$G$2:$G$1001*((((K909+M909)-(L909+Calc!$J$2:$J$1001))&gt;0)*(((K909+M909)-(L909+Calc!$J$2:$J$1001))&lt;Calc!$F$2:$F$1001)*((K909+M909)-(L909+Calc!$J$2:$J$1001))+(((K909+M909)-(L909+Calc!$J$2:$J$1001))&gt;=Calc!$F$2:$F$1001)*Calc!$F$2:$F$1001))))</f>
        <v/>
      </c>
      <c r="R909">
        <f>IF(I909=0,0,(MIN(MAX((K909+N909),0),L909)*W909+SUMPRODUCT((Calc!$A$2:$A$1001=A909)*Calc!$G$2:$G$1001*((((K909+N909)-(L909+Calc!$J$2:$J$1001))&gt;0)*(((K909+N909)-(L909+Calc!$J$2:$J$1001))&lt;Calc!$F$2:$F$1001)*((K909+N909)-(L909+Calc!$J$2:$J$1001))+(((K909+N909)-(L909+Calc!$J$2:$J$1001))&gt;=Calc!$F$2:$F$1001)*Calc!$F$2:$F$1001))))</f>
        <v/>
      </c>
      <c r="S909">
        <f>IF(I909=0,0,(MIN(MAX((K909+O909),0),L909)*W909+SUMPRODUCT((Calc!$A$2:$A$1001=A909)*Calc!$G$2:$G$1001*((((K909+O909)-(L909+Calc!$J$2:$J$1001))&gt;0)*(((K909+O909)-(L909+Calc!$J$2:$J$1001))&lt;Calc!$F$2:$F$1001)*((K909+O909)-(L909+Calc!$J$2:$J$1001))+(((K909+O909)-(L909+Calc!$J$2:$J$1001))&gt;=Calc!$F$2:$F$1001)*Calc!$F$2:$F$1001))))</f>
        <v/>
      </c>
      <c r="T909">
        <f>IF(AND(E909=1,B909="RETURN"),Transactions!E909*Transactions!G909,0)</f>
        <v/>
      </c>
      <c r="U909">
        <f>IF(AND(E909=1,B909="EXPENSE"),Transactions!J909,0)</f>
        <v/>
      </c>
      <c r="V909">
        <f>IF(AND(Transactions!A909&lt;&gt;"",E909=0),ROW(),"")</f>
        <v/>
      </c>
      <c r="W909">
        <f>IFERROR(VLOOKUP(A909,Opening!$A:$D,4,0),0)</f>
        <v/>
      </c>
    </row>
    <row r="910">
      <c r="A910">
        <f>IF(Transactions!D910="","",UPPER(TRIM(Transactions!D910)))</f>
        <v/>
      </c>
      <c r="B910">
        <f>IF(Transactions!C910="","",UPPER(TRIM(Transactions!C910)))</f>
        <v/>
      </c>
      <c r="C910">
        <f>IF(Transactions!B910="",0,YEAR(Transactions!B910)*100+MONTH(Transactions!B910))</f>
        <v/>
      </c>
      <c r="D910">
        <f>IF(Transactions!A910="",1,IF(COUNTIF(Transactions!$A$1:A909,Transactions!A910)&gt;0,1,0))</f>
        <v/>
      </c>
      <c r="E910">
        <f>IF(D910=1,0,IF(B910="RETURN",IF(COUNTIFS($A$1:A909,A910,$B$1:B909,"SALE",$E$1:E909,1)&gt;0,1,0),1))</f>
        <v/>
      </c>
      <c r="F910">
        <f>IF(E910=1,IF(B910="RECEIPT",Transactions!E910,IF(AND(B910="RETURN",LOWER(TRIM(Transactions!H910))="resellable"),Transactions!E910,0)),0)</f>
        <v/>
      </c>
      <c r="G910">
        <f>IF(F910&gt;0,IF(B910="RECEIPT",Transactions!F910,IF(_xlfn.MAXIFS($H$2:H910,$A$2:A910,A910)&gt;0,INDEX(Transactions!$F:$F,_xlfn.MAXIFS($H$2:H910,$A$2:A910,A910)),W910)),0)</f>
        <v/>
      </c>
      <c r="H910">
        <f>IF(AND(E910=1,B910="RECEIPT"),ROW(),0)</f>
        <v/>
      </c>
      <c r="I910">
        <f>IF(E910=1,IF(OR(B910="SALE",B910="WRITEOFF"),Transactions!E910,0),0)</f>
        <v/>
      </c>
      <c r="J910">
        <f>SUMIFS($F$1:F909,$A$1:A909,A910)</f>
        <v/>
      </c>
      <c r="K910">
        <f>SUMIFS($I$1:I909,$A$1:A909,A910)</f>
        <v/>
      </c>
      <c r="L910">
        <f>IFERROR(VLOOKUP(A910,Opening!$A:$C,3,0),0)</f>
        <v/>
      </c>
      <c r="M910">
        <f>IF(I910=0,0,MAX(0,MIN(INDEX(Month!H$2:H$13,MATCH($A910,Month!$A$2:$A$13,0))-K910,I910)))</f>
        <v/>
      </c>
      <c r="N910">
        <f>IF(I910=0,0,MAX(0,MIN(INDEX(Month!I$2:I$13,MATCH($A910,Month!$A$2:$A$13,0))-K910,I910)))</f>
        <v/>
      </c>
      <c r="O910">
        <f>IF(I910=0,0,MAX(0,MIN(INDEX(Month!J$2:J$13,MATCH($A910,Month!$A$2:$A$13,0))-K910,I910)))</f>
        <v/>
      </c>
      <c r="P910">
        <f>IF(I910=0,0,(MIN(MAX(K910,0),L910)*W910+SUMPRODUCT((Calc!$A$2:$A$1001=A910)*Calc!$G$2:$G$1001*(((K910-(L910+Calc!$J$2:$J$1001))&gt;0)*((K910-(L910+Calc!$J$2:$J$1001))&lt;Calc!$F$2:$F$1001)*(K910-(L910+Calc!$J$2:$J$1001))+((K910-(L910+Calc!$J$2:$J$1001))&gt;=Calc!$F$2:$F$1001)*Calc!$F$2:$F$1001))))</f>
        <v/>
      </c>
      <c r="Q910">
        <f>IF(I910=0,0,(MIN(MAX((K910+M910),0),L910)*W910+SUMPRODUCT((Calc!$A$2:$A$1001=A910)*Calc!$G$2:$G$1001*((((K910+M910)-(L910+Calc!$J$2:$J$1001))&gt;0)*(((K910+M910)-(L910+Calc!$J$2:$J$1001))&lt;Calc!$F$2:$F$1001)*((K910+M910)-(L910+Calc!$J$2:$J$1001))+(((K910+M910)-(L910+Calc!$J$2:$J$1001))&gt;=Calc!$F$2:$F$1001)*Calc!$F$2:$F$1001))))</f>
        <v/>
      </c>
      <c r="R910">
        <f>IF(I910=0,0,(MIN(MAX((K910+N910),0),L910)*W910+SUMPRODUCT((Calc!$A$2:$A$1001=A910)*Calc!$G$2:$G$1001*((((K910+N910)-(L910+Calc!$J$2:$J$1001))&gt;0)*(((K910+N910)-(L910+Calc!$J$2:$J$1001))&lt;Calc!$F$2:$F$1001)*((K910+N910)-(L910+Calc!$J$2:$J$1001))+(((K910+N910)-(L910+Calc!$J$2:$J$1001))&gt;=Calc!$F$2:$F$1001)*Calc!$F$2:$F$1001))))</f>
        <v/>
      </c>
      <c r="S910">
        <f>IF(I910=0,0,(MIN(MAX((K910+O910),0),L910)*W910+SUMPRODUCT((Calc!$A$2:$A$1001=A910)*Calc!$G$2:$G$1001*((((K910+O910)-(L910+Calc!$J$2:$J$1001))&gt;0)*(((K910+O910)-(L910+Calc!$J$2:$J$1001))&lt;Calc!$F$2:$F$1001)*((K910+O910)-(L910+Calc!$J$2:$J$1001))+(((K910+O910)-(L910+Calc!$J$2:$J$1001))&gt;=Calc!$F$2:$F$1001)*Calc!$F$2:$F$1001))))</f>
        <v/>
      </c>
      <c r="T910">
        <f>IF(AND(E910=1,B910="RETURN"),Transactions!E910*Transactions!G910,0)</f>
        <v/>
      </c>
      <c r="U910">
        <f>IF(AND(E910=1,B910="EXPENSE"),Transactions!J910,0)</f>
        <v/>
      </c>
      <c r="V910">
        <f>IF(AND(Transactions!A910&lt;&gt;"",E910=0),ROW(),"")</f>
        <v/>
      </c>
      <c r="W910">
        <f>IFERROR(VLOOKUP(A910,Opening!$A:$D,4,0),0)</f>
        <v/>
      </c>
    </row>
    <row r="911">
      <c r="A911">
        <f>IF(Transactions!D911="","",UPPER(TRIM(Transactions!D911)))</f>
        <v/>
      </c>
      <c r="B911">
        <f>IF(Transactions!C911="","",UPPER(TRIM(Transactions!C911)))</f>
        <v/>
      </c>
      <c r="C911">
        <f>IF(Transactions!B911="",0,YEAR(Transactions!B911)*100+MONTH(Transactions!B911))</f>
        <v/>
      </c>
      <c r="D911">
        <f>IF(Transactions!A911="",1,IF(COUNTIF(Transactions!$A$1:A910,Transactions!A911)&gt;0,1,0))</f>
        <v/>
      </c>
      <c r="E911">
        <f>IF(D911=1,0,IF(B911="RETURN",IF(COUNTIFS($A$1:A910,A911,$B$1:B910,"SALE",$E$1:E910,1)&gt;0,1,0),1))</f>
        <v/>
      </c>
      <c r="F911">
        <f>IF(E911=1,IF(B911="RECEIPT",Transactions!E911,IF(AND(B911="RETURN",LOWER(TRIM(Transactions!H911))="resellable"),Transactions!E911,0)),0)</f>
        <v/>
      </c>
      <c r="G911">
        <f>IF(F911&gt;0,IF(B911="RECEIPT",Transactions!F911,IF(_xlfn.MAXIFS($H$2:H911,$A$2:A911,A911)&gt;0,INDEX(Transactions!$F:$F,_xlfn.MAXIFS($H$2:H911,$A$2:A911,A911)),W911)),0)</f>
        <v/>
      </c>
      <c r="H911">
        <f>IF(AND(E911=1,B911="RECEIPT"),ROW(),0)</f>
        <v/>
      </c>
      <c r="I911">
        <f>IF(E911=1,IF(OR(B911="SALE",B911="WRITEOFF"),Transactions!E911,0),0)</f>
        <v/>
      </c>
      <c r="J911">
        <f>SUMIFS($F$1:F910,$A$1:A910,A911)</f>
        <v/>
      </c>
      <c r="K911">
        <f>SUMIFS($I$1:I910,$A$1:A910,A911)</f>
        <v/>
      </c>
      <c r="L911">
        <f>IFERROR(VLOOKUP(A911,Opening!$A:$C,3,0),0)</f>
        <v/>
      </c>
      <c r="M911">
        <f>IF(I911=0,0,MAX(0,MIN(INDEX(Month!H$2:H$13,MATCH($A911,Month!$A$2:$A$13,0))-K911,I911)))</f>
        <v/>
      </c>
      <c r="N911">
        <f>IF(I911=0,0,MAX(0,MIN(INDEX(Month!I$2:I$13,MATCH($A911,Month!$A$2:$A$13,0))-K911,I911)))</f>
        <v/>
      </c>
      <c r="O911">
        <f>IF(I911=0,0,MAX(0,MIN(INDEX(Month!J$2:J$13,MATCH($A911,Month!$A$2:$A$13,0))-K911,I911)))</f>
        <v/>
      </c>
      <c r="P911">
        <f>IF(I911=0,0,(MIN(MAX(K911,0),L911)*W911+SUMPRODUCT((Calc!$A$2:$A$1001=A911)*Calc!$G$2:$G$1001*(((K911-(L911+Calc!$J$2:$J$1001))&gt;0)*((K911-(L911+Calc!$J$2:$J$1001))&lt;Calc!$F$2:$F$1001)*(K911-(L911+Calc!$J$2:$J$1001))+((K911-(L911+Calc!$J$2:$J$1001))&gt;=Calc!$F$2:$F$1001)*Calc!$F$2:$F$1001))))</f>
        <v/>
      </c>
      <c r="Q911">
        <f>IF(I911=0,0,(MIN(MAX((K911+M911),0),L911)*W911+SUMPRODUCT((Calc!$A$2:$A$1001=A911)*Calc!$G$2:$G$1001*((((K911+M911)-(L911+Calc!$J$2:$J$1001))&gt;0)*(((K911+M911)-(L911+Calc!$J$2:$J$1001))&lt;Calc!$F$2:$F$1001)*((K911+M911)-(L911+Calc!$J$2:$J$1001))+(((K911+M911)-(L911+Calc!$J$2:$J$1001))&gt;=Calc!$F$2:$F$1001)*Calc!$F$2:$F$1001))))</f>
        <v/>
      </c>
      <c r="R911">
        <f>IF(I911=0,0,(MIN(MAX((K911+N911),0),L911)*W911+SUMPRODUCT((Calc!$A$2:$A$1001=A911)*Calc!$G$2:$G$1001*((((K911+N911)-(L911+Calc!$J$2:$J$1001))&gt;0)*(((K911+N911)-(L911+Calc!$J$2:$J$1001))&lt;Calc!$F$2:$F$1001)*((K911+N911)-(L911+Calc!$J$2:$J$1001))+(((K911+N911)-(L911+Calc!$J$2:$J$1001))&gt;=Calc!$F$2:$F$1001)*Calc!$F$2:$F$1001))))</f>
        <v/>
      </c>
      <c r="S911">
        <f>IF(I911=0,0,(MIN(MAX((K911+O911),0),L911)*W911+SUMPRODUCT((Calc!$A$2:$A$1001=A911)*Calc!$G$2:$G$1001*((((K911+O911)-(L911+Calc!$J$2:$J$1001))&gt;0)*(((K911+O911)-(L911+Calc!$J$2:$J$1001))&lt;Calc!$F$2:$F$1001)*((K911+O911)-(L911+Calc!$J$2:$J$1001))+(((K911+O911)-(L911+Calc!$J$2:$J$1001))&gt;=Calc!$F$2:$F$1001)*Calc!$F$2:$F$1001))))</f>
        <v/>
      </c>
      <c r="T911">
        <f>IF(AND(E911=1,B911="RETURN"),Transactions!E911*Transactions!G911,0)</f>
        <v/>
      </c>
      <c r="U911">
        <f>IF(AND(E911=1,B911="EXPENSE"),Transactions!J911,0)</f>
        <v/>
      </c>
      <c r="V911">
        <f>IF(AND(Transactions!A911&lt;&gt;"",E911=0),ROW(),"")</f>
        <v/>
      </c>
      <c r="W911">
        <f>IFERROR(VLOOKUP(A911,Opening!$A:$D,4,0),0)</f>
        <v/>
      </c>
    </row>
    <row r="912">
      <c r="A912">
        <f>IF(Transactions!D912="","",UPPER(TRIM(Transactions!D912)))</f>
        <v/>
      </c>
      <c r="B912">
        <f>IF(Transactions!C912="","",UPPER(TRIM(Transactions!C912)))</f>
        <v/>
      </c>
      <c r="C912">
        <f>IF(Transactions!B912="",0,YEAR(Transactions!B912)*100+MONTH(Transactions!B912))</f>
        <v/>
      </c>
      <c r="D912">
        <f>IF(Transactions!A912="",1,IF(COUNTIF(Transactions!$A$1:A911,Transactions!A912)&gt;0,1,0))</f>
        <v/>
      </c>
      <c r="E912">
        <f>IF(D912=1,0,IF(B912="RETURN",IF(COUNTIFS($A$1:A911,A912,$B$1:B911,"SALE",$E$1:E911,1)&gt;0,1,0),1))</f>
        <v/>
      </c>
      <c r="F912">
        <f>IF(E912=1,IF(B912="RECEIPT",Transactions!E912,IF(AND(B912="RETURN",LOWER(TRIM(Transactions!H912))="resellable"),Transactions!E912,0)),0)</f>
        <v/>
      </c>
      <c r="G912">
        <f>IF(F912&gt;0,IF(B912="RECEIPT",Transactions!F912,IF(_xlfn.MAXIFS($H$2:H912,$A$2:A912,A912)&gt;0,INDEX(Transactions!$F:$F,_xlfn.MAXIFS($H$2:H912,$A$2:A912,A912)),W912)),0)</f>
        <v/>
      </c>
      <c r="H912">
        <f>IF(AND(E912=1,B912="RECEIPT"),ROW(),0)</f>
        <v/>
      </c>
      <c r="I912">
        <f>IF(E912=1,IF(OR(B912="SALE",B912="WRITEOFF"),Transactions!E912,0),0)</f>
        <v/>
      </c>
      <c r="J912">
        <f>SUMIFS($F$1:F911,$A$1:A911,A912)</f>
        <v/>
      </c>
      <c r="K912">
        <f>SUMIFS($I$1:I911,$A$1:A911,A912)</f>
        <v/>
      </c>
      <c r="L912">
        <f>IFERROR(VLOOKUP(A912,Opening!$A:$C,3,0),0)</f>
        <v/>
      </c>
      <c r="M912">
        <f>IF(I912=0,0,MAX(0,MIN(INDEX(Month!H$2:H$13,MATCH($A912,Month!$A$2:$A$13,0))-K912,I912)))</f>
        <v/>
      </c>
      <c r="N912">
        <f>IF(I912=0,0,MAX(0,MIN(INDEX(Month!I$2:I$13,MATCH($A912,Month!$A$2:$A$13,0))-K912,I912)))</f>
        <v/>
      </c>
      <c r="O912">
        <f>IF(I912=0,0,MAX(0,MIN(INDEX(Month!J$2:J$13,MATCH($A912,Month!$A$2:$A$13,0))-K912,I912)))</f>
        <v/>
      </c>
      <c r="P912">
        <f>IF(I912=0,0,(MIN(MAX(K912,0),L912)*W912+SUMPRODUCT((Calc!$A$2:$A$1001=A912)*Calc!$G$2:$G$1001*(((K912-(L912+Calc!$J$2:$J$1001))&gt;0)*((K912-(L912+Calc!$J$2:$J$1001))&lt;Calc!$F$2:$F$1001)*(K912-(L912+Calc!$J$2:$J$1001))+((K912-(L912+Calc!$J$2:$J$1001))&gt;=Calc!$F$2:$F$1001)*Calc!$F$2:$F$1001))))</f>
        <v/>
      </c>
      <c r="Q912">
        <f>IF(I912=0,0,(MIN(MAX((K912+M912),0),L912)*W912+SUMPRODUCT((Calc!$A$2:$A$1001=A912)*Calc!$G$2:$G$1001*((((K912+M912)-(L912+Calc!$J$2:$J$1001))&gt;0)*(((K912+M912)-(L912+Calc!$J$2:$J$1001))&lt;Calc!$F$2:$F$1001)*((K912+M912)-(L912+Calc!$J$2:$J$1001))+(((K912+M912)-(L912+Calc!$J$2:$J$1001))&gt;=Calc!$F$2:$F$1001)*Calc!$F$2:$F$1001))))</f>
        <v/>
      </c>
      <c r="R912">
        <f>IF(I912=0,0,(MIN(MAX((K912+N912),0),L912)*W912+SUMPRODUCT((Calc!$A$2:$A$1001=A912)*Calc!$G$2:$G$1001*((((K912+N912)-(L912+Calc!$J$2:$J$1001))&gt;0)*(((K912+N912)-(L912+Calc!$J$2:$J$1001))&lt;Calc!$F$2:$F$1001)*((K912+N912)-(L912+Calc!$J$2:$J$1001))+(((K912+N912)-(L912+Calc!$J$2:$J$1001))&gt;=Calc!$F$2:$F$1001)*Calc!$F$2:$F$1001))))</f>
        <v/>
      </c>
      <c r="S912">
        <f>IF(I912=0,0,(MIN(MAX((K912+O912),0),L912)*W912+SUMPRODUCT((Calc!$A$2:$A$1001=A912)*Calc!$G$2:$G$1001*((((K912+O912)-(L912+Calc!$J$2:$J$1001))&gt;0)*(((K912+O912)-(L912+Calc!$J$2:$J$1001))&lt;Calc!$F$2:$F$1001)*((K912+O912)-(L912+Calc!$J$2:$J$1001))+(((K912+O912)-(L912+Calc!$J$2:$J$1001))&gt;=Calc!$F$2:$F$1001)*Calc!$F$2:$F$1001))))</f>
        <v/>
      </c>
      <c r="T912">
        <f>IF(AND(E912=1,B912="RETURN"),Transactions!E912*Transactions!G912,0)</f>
        <v/>
      </c>
      <c r="U912">
        <f>IF(AND(E912=1,B912="EXPENSE"),Transactions!J912,0)</f>
        <v/>
      </c>
      <c r="V912">
        <f>IF(AND(Transactions!A912&lt;&gt;"",E912=0),ROW(),"")</f>
        <v/>
      </c>
      <c r="W912">
        <f>IFERROR(VLOOKUP(A912,Opening!$A:$D,4,0),0)</f>
        <v/>
      </c>
    </row>
    <row r="913">
      <c r="A913">
        <f>IF(Transactions!D913="","",UPPER(TRIM(Transactions!D913)))</f>
        <v/>
      </c>
      <c r="B913">
        <f>IF(Transactions!C913="","",UPPER(TRIM(Transactions!C913)))</f>
        <v/>
      </c>
      <c r="C913">
        <f>IF(Transactions!B913="",0,YEAR(Transactions!B913)*100+MONTH(Transactions!B913))</f>
        <v/>
      </c>
      <c r="D913">
        <f>IF(Transactions!A913="",1,IF(COUNTIF(Transactions!$A$1:A912,Transactions!A913)&gt;0,1,0))</f>
        <v/>
      </c>
      <c r="E913">
        <f>IF(D913=1,0,IF(B913="RETURN",IF(COUNTIFS($A$1:A912,A913,$B$1:B912,"SALE",$E$1:E912,1)&gt;0,1,0),1))</f>
        <v/>
      </c>
      <c r="F913">
        <f>IF(E913=1,IF(B913="RECEIPT",Transactions!E913,IF(AND(B913="RETURN",LOWER(TRIM(Transactions!H913))="resellable"),Transactions!E913,0)),0)</f>
        <v/>
      </c>
      <c r="G913">
        <f>IF(F913&gt;0,IF(B913="RECEIPT",Transactions!F913,IF(_xlfn.MAXIFS($H$2:H913,$A$2:A913,A913)&gt;0,INDEX(Transactions!$F:$F,_xlfn.MAXIFS($H$2:H913,$A$2:A913,A913)),W913)),0)</f>
        <v/>
      </c>
      <c r="H913">
        <f>IF(AND(E913=1,B913="RECEIPT"),ROW(),0)</f>
        <v/>
      </c>
      <c r="I913">
        <f>IF(E913=1,IF(OR(B913="SALE",B913="WRITEOFF"),Transactions!E913,0),0)</f>
        <v/>
      </c>
      <c r="J913">
        <f>SUMIFS($F$1:F912,$A$1:A912,A913)</f>
        <v/>
      </c>
      <c r="K913">
        <f>SUMIFS($I$1:I912,$A$1:A912,A913)</f>
        <v/>
      </c>
      <c r="L913">
        <f>IFERROR(VLOOKUP(A913,Opening!$A:$C,3,0),0)</f>
        <v/>
      </c>
      <c r="M913">
        <f>IF(I913=0,0,MAX(0,MIN(INDEX(Month!H$2:H$13,MATCH($A913,Month!$A$2:$A$13,0))-K913,I913)))</f>
        <v/>
      </c>
      <c r="N913">
        <f>IF(I913=0,0,MAX(0,MIN(INDEX(Month!I$2:I$13,MATCH($A913,Month!$A$2:$A$13,0))-K913,I913)))</f>
        <v/>
      </c>
      <c r="O913">
        <f>IF(I913=0,0,MAX(0,MIN(INDEX(Month!J$2:J$13,MATCH($A913,Month!$A$2:$A$13,0))-K913,I913)))</f>
        <v/>
      </c>
      <c r="P913">
        <f>IF(I913=0,0,(MIN(MAX(K913,0),L913)*W913+SUMPRODUCT((Calc!$A$2:$A$1001=A913)*Calc!$G$2:$G$1001*(((K913-(L913+Calc!$J$2:$J$1001))&gt;0)*((K913-(L913+Calc!$J$2:$J$1001))&lt;Calc!$F$2:$F$1001)*(K913-(L913+Calc!$J$2:$J$1001))+((K913-(L913+Calc!$J$2:$J$1001))&gt;=Calc!$F$2:$F$1001)*Calc!$F$2:$F$1001))))</f>
        <v/>
      </c>
      <c r="Q913">
        <f>IF(I913=0,0,(MIN(MAX((K913+M913),0),L913)*W913+SUMPRODUCT((Calc!$A$2:$A$1001=A913)*Calc!$G$2:$G$1001*((((K913+M913)-(L913+Calc!$J$2:$J$1001))&gt;0)*(((K913+M913)-(L913+Calc!$J$2:$J$1001))&lt;Calc!$F$2:$F$1001)*((K913+M913)-(L913+Calc!$J$2:$J$1001))+(((K913+M913)-(L913+Calc!$J$2:$J$1001))&gt;=Calc!$F$2:$F$1001)*Calc!$F$2:$F$1001))))</f>
        <v/>
      </c>
      <c r="R913">
        <f>IF(I913=0,0,(MIN(MAX((K913+N913),0),L913)*W913+SUMPRODUCT((Calc!$A$2:$A$1001=A913)*Calc!$G$2:$G$1001*((((K913+N913)-(L913+Calc!$J$2:$J$1001))&gt;0)*(((K913+N913)-(L913+Calc!$J$2:$J$1001))&lt;Calc!$F$2:$F$1001)*((K913+N913)-(L913+Calc!$J$2:$J$1001))+(((K913+N913)-(L913+Calc!$J$2:$J$1001))&gt;=Calc!$F$2:$F$1001)*Calc!$F$2:$F$1001))))</f>
        <v/>
      </c>
      <c r="S913">
        <f>IF(I913=0,0,(MIN(MAX((K913+O913),0),L913)*W913+SUMPRODUCT((Calc!$A$2:$A$1001=A913)*Calc!$G$2:$G$1001*((((K913+O913)-(L913+Calc!$J$2:$J$1001))&gt;0)*(((K913+O913)-(L913+Calc!$J$2:$J$1001))&lt;Calc!$F$2:$F$1001)*((K913+O913)-(L913+Calc!$J$2:$J$1001))+(((K913+O913)-(L913+Calc!$J$2:$J$1001))&gt;=Calc!$F$2:$F$1001)*Calc!$F$2:$F$1001))))</f>
        <v/>
      </c>
      <c r="T913">
        <f>IF(AND(E913=1,B913="RETURN"),Transactions!E913*Transactions!G913,0)</f>
        <v/>
      </c>
      <c r="U913">
        <f>IF(AND(E913=1,B913="EXPENSE"),Transactions!J913,0)</f>
        <v/>
      </c>
      <c r="V913">
        <f>IF(AND(Transactions!A913&lt;&gt;"",E913=0),ROW(),"")</f>
        <v/>
      </c>
      <c r="W913">
        <f>IFERROR(VLOOKUP(A913,Opening!$A:$D,4,0),0)</f>
        <v/>
      </c>
    </row>
    <row r="914">
      <c r="A914">
        <f>IF(Transactions!D914="","",UPPER(TRIM(Transactions!D914)))</f>
        <v/>
      </c>
      <c r="B914">
        <f>IF(Transactions!C914="","",UPPER(TRIM(Transactions!C914)))</f>
        <v/>
      </c>
      <c r="C914">
        <f>IF(Transactions!B914="",0,YEAR(Transactions!B914)*100+MONTH(Transactions!B914))</f>
        <v/>
      </c>
      <c r="D914">
        <f>IF(Transactions!A914="",1,IF(COUNTIF(Transactions!$A$1:A913,Transactions!A914)&gt;0,1,0))</f>
        <v/>
      </c>
      <c r="E914">
        <f>IF(D914=1,0,IF(B914="RETURN",IF(COUNTIFS($A$1:A913,A914,$B$1:B913,"SALE",$E$1:E913,1)&gt;0,1,0),1))</f>
        <v/>
      </c>
      <c r="F914">
        <f>IF(E914=1,IF(B914="RECEIPT",Transactions!E914,IF(AND(B914="RETURN",LOWER(TRIM(Transactions!H914))="resellable"),Transactions!E914,0)),0)</f>
        <v/>
      </c>
      <c r="G914">
        <f>IF(F914&gt;0,IF(B914="RECEIPT",Transactions!F914,IF(_xlfn.MAXIFS($H$2:H914,$A$2:A914,A914)&gt;0,INDEX(Transactions!$F:$F,_xlfn.MAXIFS($H$2:H914,$A$2:A914,A914)),W914)),0)</f>
        <v/>
      </c>
      <c r="H914">
        <f>IF(AND(E914=1,B914="RECEIPT"),ROW(),0)</f>
        <v/>
      </c>
      <c r="I914">
        <f>IF(E914=1,IF(OR(B914="SALE",B914="WRITEOFF"),Transactions!E914,0),0)</f>
        <v/>
      </c>
      <c r="J914">
        <f>SUMIFS($F$1:F913,$A$1:A913,A914)</f>
        <v/>
      </c>
      <c r="K914">
        <f>SUMIFS($I$1:I913,$A$1:A913,A914)</f>
        <v/>
      </c>
      <c r="L914">
        <f>IFERROR(VLOOKUP(A914,Opening!$A:$C,3,0),0)</f>
        <v/>
      </c>
      <c r="M914">
        <f>IF(I914=0,0,MAX(0,MIN(INDEX(Month!H$2:H$13,MATCH($A914,Month!$A$2:$A$13,0))-K914,I914)))</f>
        <v/>
      </c>
      <c r="N914">
        <f>IF(I914=0,0,MAX(0,MIN(INDEX(Month!I$2:I$13,MATCH($A914,Month!$A$2:$A$13,0))-K914,I914)))</f>
        <v/>
      </c>
      <c r="O914">
        <f>IF(I914=0,0,MAX(0,MIN(INDEX(Month!J$2:J$13,MATCH($A914,Month!$A$2:$A$13,0))-K914,I914)))</f>
        <v/>
      </c>
      <c r="P914">
        <f>IF(I914=0,0,(MIN(MAX(K914,0),L914)*W914+SUMPRODUCT((Calc!$A$2:$A$1001=A914)*Calc!$G$2:$G$1001*(((K914-(L914+Calc!$J$2:$J$1001))&gt;0)*((K914-(L914+Calc!$J$2:$J$1001))&lt;Calc!$F$2:$F$1001)*(K914-(L914+Calc!$J$2:$J$1001))+((K914-(L914+Calc!$J$2:$J$1001))&gt;=Calc!$F$2:$F$1001)*Calc!$F$2:$F$1001))))</f>
        <v/>
      </c>
      <c r="Q914">
        <f>IF(I914=0,0,(MIN(MAX((K914+M914),0),L914)*W914+SUMPRODUCT((Calc!$A$2:$A$1001=A914)*Calc!$G$2:$G$1001*((((K914+M914)-(L914+Calc!$J$2:$J$1001))&gt;0)*(((K914+M914)-(L914+Calc!$J$2:$J$1001))&lt;Calc!$F$2:$F$1001)*((K914+M914)-(L914+Calc!$J$2:$J$1001))+(((K914+M914)-(L914+Calc!$J$2:$J$1001))&gt;=Calc!$F$2:$F$1001)*Calc!$F$2:$F$1001))))</f>
        <v/>
      </c>
      <c r="R914">
        <f>IF(I914=0,0,(MIN(MAX((K914+N914),0),L914)*W914+SUMPRODUCT((Calc!$A$2:$A$1001=A914)*Calc!$G$2:$G$1001*((((K914+N914)-(L914+Calc!$J$2:$J$1001))&gt;0)*(((K914+N914)-(L914+Calc!$J$2:$J$1001))&lt;Calc!$F$2:$F$1001)*((K914+N914)-(L914+Calc!$J$2:$J$1001))+(((K914+N914)-(L914+Calc!$J$2:$J$1001))&gt;=Calc!$F$2:$F$1001)*Calc!$F$2:$F$1001))))</f>
        <v/>
      </c>
      <c r="S914">
        <f>IF(I914=0,0,(MIN(MAX((K914+O914),0),L914)*W914+SUMPRODUCT((Calc!$A$2:$A$1001=A914)*Calc!$G$2:$G$1001*((((K914+O914)-(L914+Calc!$J$2:$J$1001))&gt;0)*(((K914+O914)-(L914+Calc!$J$2:$J$1001))&lt;Calc!$F$2:$F$1001)*((K914+O914)-(L914+Calc!$J$2:$J$1001))+(((K914+O914)-(L914+Calc!$J$2:$J$1001))&gt;=Calc!$F$2:$F$1001)*Calc!$F$2:$F$1001))))</f>
        <v/>
      </c>
      <c r="T914">
        <f>IF(AND(E914=1,B914="RETURN"),Transactions!E914*Transactions!G914,0)</f>
        <v/>
      </c>
      <c r="U914">
        <f>IF(AND(E914=1,B914="EXPENSE"),Transactions!J914,0)</f>
        <v/>
      </c>
      <c r="V914">
        <f>IF(AND(Transactions!A914&lt;&gt;"",E914=0),ROW(),"")</f>
        <v/>
      </c>
      <c r="W914">
        <f>IFERROR(VLOOKUP(A914,Opening!$A:$D,4,0),0)</f>
        <v/>
      </c>
    </row>
    <row r="915">
      <c r="A915">
        <f>IF(Transactions!D915="","",UPPER(TRIM(Transactions!D915)))</f>
        <v/>
      </c>
      <c r="B915">
        <f>IF(Transactions!C915="","",UPPER(TRIM(Transactions!C915)))</f>
        <v/>
      </c>
      <c r="C915">
        <f>IF(Transactions!B915="",0,YEAR(Transactions!B915)*100+MONTH(Transactions!B915))</f>
        <v/>
      </c>
      <c r="D915">
        <f>IF(Transactions!A915="",1,IF(COUNTIF(Transactions!$A$1:A914,Transactions!A915)&gt;0,1,0))</f>
        <v/>
      </c>
      <c r="E915">
        <f>IF(D915=1,0,IF(B915="RETURN",IF(COUNTIFS($A$1:A914,A915,$B$1:B914,"SALE",$E$1:E914,1)&gt;0,1,0),1))</f>
        <v/>
      </c>
      <c r="F915">
        <f>IF(E915=1,IF(B915="RECEIPT",Transactions!E915,IF(AND(B915="RETURN",LOWER(TRIM(Transactions!H915))="resellable"),Transactions!E915,0)),0)</f>
        <v/>
      </c>
      <c r="G915">
        <f>IF(F915&gt;0,IF(B915="RECEIPT",Transactions!F915,IF(_xlfn.MAXIFS($H$2:H915,$A$2:A915,A915)&gt;0,INDEX(Transactions!$F:$F,_xlfn.MAXIFS($H$2:H915,$A$2:A915,A915)),W915)),0)</f>
        <v/>
      </c>
      <c r="H915">
        <f>IF(AND(E915=1,B915="RECEIPT"),ROW(),0)</f>
        <v/>
      </c>
      <c r="I915">
        <f>IF(E915=1,IF(OR(B915="SALE",B915="WRITEOFF"),Transactions!E915,0),0)</f>
        <v/>
      </c>
      <c r="J915">
        <f>SUMIFS($F$1:F914,$A$1:A914,A915)</f>
        <v/>
      </c>
      <c r="K915">
        <f>SUMIFS($I$1:I914,$A$1:A914,A915)</f>
        <v/>
      </c>
      <c r="L915">
        <f>IFERROR(VLOOKUP(A915,Opening!$A:$C,3,0),0)</f>
        <v/>
      </c>
      <c r="M915">
        <f>IF(I915=0,0,MAX(0,MIN(INDEX(Month!H$2:H$13,MATCH($A915,Month!$A$2:$A$13,0))-K915,I915)))</f>
        <v/>
      </c>
      <c r="N915">
        <f>IF(I915=0,0,MAX(0,MIN(INDEX(Month!I$2:I$13,MATCH($A915,Month!$A$2:$A$13,0))-K915,I915)))</f>
        <v/>
      </c>
      <c r="O915">
        <f>IF(I915=0,0,MAX(0,MIN(INDEX(Month!J$2:J$13,MATCH($A915,Month!$A$2:$A$13,0))-K915,I915)))</f>
        <v/>
      </c>
      <c r="P915">
        <f>IF(I915=0,0,(MIN(MAX(K915,0),L915)*W915+SUMPRODUCT((Calc!$A$2:$A$1001=A915)*Calc!$G$2:$G$1001*(((K915-(L915+Calc!$J$2:$J$1001))&gt;0)*((K915-(L915+Calc!$J$2:$J$1001))&lt;Calc!$F$2:$F$1001)*(K915-(L915+Calc!$J$2:$J$1001))+((K915-(L915+Calc!$J$2:$J$1001))&gt;=Calc!$F$2:$F$1001)*Calc!$F$2:$F$1001))))</f>
        <v/>
      </c>
      <c r="Q915">
        <f>IF(I915=0,0,(MIN(MAX((K915+M915),0),L915)*W915+SUMPRODUCT((Calc!$A$2:$A$1001=A915)*Calc!$G$2:$G$1001*((((K915+M915)-(L915+Calc!$J$2:$J$1001))&gt;0)*(((K915+M915)-(L915+Calc!$J$2:$J$1001))&lt;Calc!$F$2:$F$1001)*((K915+M915)-(L915+Calc!$J$2:$J$1001))+(((K915+M915)-(L915+Calc!$J$2:$J$1001))&gt;=Calc!$F$2:$F$1001)*Calc!$F$2:$F$1001))))</f>
        <v/>
      </c>
      <c r="R915">
        <f>IF(I915=0,0,(MIN(MAX((K915+N915),0),L915)*W915+SUMPRODUCT((Calc!$A$2:$A$1001=A915)*Calc!$G$2:$G$1001*((((K915+N915)-(L915+Calc!$J$2:$J$1001))&gt;0)*(((K915+N915)-(L915+Calc!$J$2:$J$1001))&lt;Calc!$F$2:$F$1001)*((K915+N915)-(L915+Calc!$J$2:$J$1001))+(((K915+N915)-(L915+Calc!$J$2:$J$1001))&gt;=Calc!$F$2:$F$1001)*Calc!$F$2:$F$1001))))</f>
        <v/>
      </c>
      <c r="S915">
        <f>IF(I915=0,0,(MIN(MAX((K915+O915),0),L915)*W915+SUMPRODUCT((Calc!$A$2:$A$1001=A915)*Calc!$G$2:$G$1001*((((K915+O915)-(L915+Calc!$J$2:$J$1001))&gt;0)*(((K915+O915)-(L915+Calc!$J$2:$J$1001))&lt;Calc!$F$2:$F$1001)*((K915+O915)-(L915+Calc!$J$2:$J$1001))+(((K915+O915)-(L915+Calc!$J$2:$J$1001))&gt;=Calc!$F$2:$F$1001)*Calc!$F$2:$F$1001))))</f>
        <v/>
      </c>
      <c r="T915">
        <f>IF(AND(E915=1,B915="RETURN"),Transactions!E915*Transactions!G915,0)</f>
        <v/>
      </c>
      <c r="U915">
        <f>IF(AND(E915=1,B915="EXPENSE"),Transactions!J915,0)</f>
        <v/>
      </c>
      <c r="V915">
        <f>IF(AND(Transactions!A915&lt;&gt;"",E915=0),ROW(),"")</f>
        <v/>
      </c>
      <c r="W915">
        <f>IFERROR(VLOOKUP(A915,Opening!$A:$D,4,0),0)</f>
        <v/>
      </c>
    </row>
    <row r="916">
      <c r="A916">
        <f>IF(Transactions!D916="","",UPPER(TRIM(Transactions!D916)))</f>
        <v/>
      </c>
      <c r="B916">
        <f>IF(Transactions!C916="","",UPPER(TRIM(Transactions!C916)))</f>
        <v/>
      </c>
      <c r="C916">
        <f>IF(Transactions!B916="",0,YEAR(Transactions!B916)*100+MONTH(Transactions!B916))</f>
        <v/>
      </c>
      <c r="D916">
        <f>IF(Transactions!A916="",1,IF(COUNTIF(Transactions!$A$1:A915,Transactions!A916)&gt;0,1,0))</f>
        <v/>
      </c>
      <c r="E916">
        <f>IF(D916=1,0,IF(B916="RETURN",IF(COUNTIFS($A$1:A915,A916,$B$1:B915,"SALE",$E$1:E915,1)&gt;0,1,0),1))</f>
        <v/>
      </c>
      <c r="F916">
        <f>IF(E916=1,IF(B916="RECEIPT",Transactions!E916,IF(AND(B916="RETURN",LOWER(TRIM(Transactions!H916))="resellable"),Transactions!E916,0)),0)</f>
        <v/>
      </c>
      <c r="G916">
        <f>IF(F916&gt;0,IF(B916="RECEIPT",Transactions!F916,IF(_xlfn.MAXIFS($H$2:H916,$A$2:A916,A916)&gt;0,INDEX(Transactions!$F:$F,_xlfn.MAXIFS($H$2:H916,$A$2:A916,A916)),W916)),0)</f>
        <v/>
      </c>
      <c r="H916">
        <f>IF(AND(E916=1,B916="RECEIPT"),ROW(),0)</f>
        <v/>
      </c>
      <c r="I916">
        <f>IF(E916=1,IF(OR(B916="SALE",B916="WRITEOFF"),Transactions!E916,0),0)</f>
        <v/>
      </c>
      <c r="J916">
        <f>SUMIFS($F$1:F915,$A$1:A915,A916)</f>
        <v/>
      </c>
      <c r="K916">
        <f>SUMIFS($I$1:I915,$A$1:A915,A916)</f>
        <v/>
      </c>
      <c r="L916">
        <f>IFERROR(VLOOKUP(A916,Opening!$A:$C,3,0),0)</f>
        <v/>
      </c>
      <c r="M916">
        <f>IF(I916=0,0,MAX(0,MIN(INDEX(Month!H$2:H$13,MATCH($A916,Month!$A$2:$A$13,0))-K916,I916)))</f>
        <v/>
      </c>
      <c r="N916">
        <f>IF(I916=0,0,MAX(0,MIN(INDEX(Month!I$2:I$13,MATCH($A916,Month!$A$2:$A$13,0))-K916,I916)))</f>
        <v/>
      </c>
      <c r="O916">
        <f>IF(I916=0,0,MAX(0,MIN(INDEX(Month!J$2:J$13,MATCH($A916,Month!$A$2:$A$13,0))-K916,I916)))</f>
        <v/>
      </c>
      <c r="P916">
        <f>IF(I916=0,0,(MIN(MAX(K916,0),L916)*W916+SUMPRODUCT((Calc!$A$2:$A$1001=A916)*Calc!$G$2:$G$1001*(((K916-(L916+Calc!$J$2:$J$1001))&gt;0)*((K916-(L916+Calc!$J$2:$J$1001))&lt;Calc!$F$2:$F$1001)*(K916-(L916+Calc!$J$2:$J$1001))+((K916-(L916+Calc!$J$2:$J$1001))&gt;=Calc!$F$2:$F$1001)*Calc!$F$2:$F$1001))))</f>
        <v/>
      </c>
      <c r="Q916">
        <f>IF(I916=0,0,(MIN(MAX((K916+M916),0),L916)*W916+SUMPRODUCT((Calc!$A$2:$A$1001=A916)*Calc!$G$2:$G$1001*((((K916+M916)-(L916+Calc!$J$2:$J$1001))&gt;0)*(((K916+M916)-(L916+Calc!$J$2:$J$1001))&lt;Calc!$F$2:$F$1001)*((K916+M916)-(L916+Calc!$J$2:$J$1001))+(((K916+M916)-(L916+Calc!$J$2:$J$1001))&gt;=Calc!$F$2:$F$1001)*Calc!$F$2:$F$1001))))</f>
        <v/>
      </c>
      <c r="R916">
        <f>IF(I916=0,0,(MIN(MAX((K916+N916),0),L916)*W916+SUMPRODUCT((Calc!$A$2:$A$1001=A916)*Calc!$G$2:$G$1001*((((K916+N916)-(L916+Calc!$J$2:$J$1001))&gt;0)*(((K916+N916)-(L916+Calc!$J$2:$J$1001))&lt;Calc!$F$2:$F$1001)*((K916+N916)-(L916+Calc!$J$2:$J$1001))+(((K916+N916)-(L916+Calc!$J$2:$J$1001))&gt;=Calc!$F$2:$F$1001)*Calc!$F$2:$F$1001))))</f>
        <v/>
      </c>
      <c r="S916">
        <f>IF(I916=0,0,(MIN(MAX((K916+O916),0),L916)*W916+SUMPRODUCT((Calc!$A$2:$A$1001=A916)*Calc!$G$2:$G$1001*((((K916+O916)-(L916+Calc!$J$2:$J$1001))&gt;0)*(((K916+O916)-(L916+Calc!$J$2:$J$1001))&lt;Calc!$F$2:$F$1001)*((K916+O916)-(L916+Calc!$J$2:$J$1001))+(((K916+O916)-(L916+Calc!$J$2:$J$1001))&gt;=Calc!$F$2:$F$1001)*Calc!$F$2:$F$1001))))</f>
        <v/>
      </c>
      <c r="T916">
        <f>IF(AND(E916=1,B916="RETURN"),Transactions!E916*Transactions!G916,0)</f>
        <v/>
      </c>
      <c r="U916">
        <f>IF(AND(E916=1,B916="EXPENSE"),Transactions!J916,0)</f>
        <v/>
      </c>
      <c r="V916">
        <f>IF(AND(Transactions!A916&lt;&gt;"",E916=0),ROW(),"")</f>
        <v/>
      </c>
      <c r="W916">
        <f>IFERROR(VLOOKUP(A916,Opening!$A:$D,4,0),0)</f>
        <v/>
      </c>
    </row>
    <row r="917">
      <c r="A917">
        <f>IF(Transactions!D917="","",UPPER(TRIM(Transactions!D917)))</f>
        <v/>
      </c>
      <c r="B917">
        <f>IF(Transactions!C917="","",UPPER(TRIM(Transactions!C917)))</f>
        <v/>
      </c>
      <c r="C917">
        <f>IF(Transactions!B917="",0,YEAR(Transactions!B917)*100+MONTH(Transactions!B917))</f>
        <v/>
      </c>
      <c r="D917">
        <f>IF(Transactions!A917="",1,IF(COUNTIF(Transactions!$A$1:A916,Transactions!A917)&gt;0,1,0))</f>
        <v/>
      </c>
      <c r="E917">
        <f>IF(D917=1,0,IF(B917="RETURN",IF(COUNTIFS($A$1:A916,A917,$B$1:B916,"SALE",$E$1:E916,1)&gt;0,1,0),1))</f>
        <v/>
      </c>
      <c r="F917">
        <f>IF(E917=1,IF(B917="RECEIPT",Transactions!E917,IF(AND(B917="RETURN",LOWER(TRIM(Transactions!H917))="resellable"),Transactions!E917,0)),0)</f>
        <v/>
      </c>
      <c r="G917">
        <f>IF(F917&gt;0,IF(B917="RECEIPT",Transactions!F917,IF(_xlfn.MAXIFS($H$2:H917,$A$2:A917,A917)&gt;0,INDEX(Transactions!$F:$F,_xlfn.MAXIFS($H$2:H917,$A$2:A917,A917)),W917)),0)</f>
        <v/>
      </c>
      <c r="H917">
        <f>IF(AND(E917=1,B917="RECEIPT"),ROW(),0)</f>
        <v/>
      </c>
      <c r="I917">
        <f>IF(E917=1,IF(OR(B917="SALE",B917="WRITEOFF"),Transactions!E917,0),0)</f>
        <v/>
      </c>
      <c r="J917">
        <f>SUMIFS($F$1:F916,$A$1:A916,A917)</f>
        <v/>
      </c>
      <c r="K917">
        <f>SUMIFS($I$1:I916,$A$1:A916,A917)</f>
        <v/>
      </c>
      <c r="L917">
        <f>IFERROR(VLOOKUP(A917,Opening!$A:$C,3,0),0)</f>
        <v/>
      </c>
      <c r="M917">
        <f>IF(I917=0,0,MAX(0,MIN(INDEX(Month!H$2:H$13,MATCH($A917,Month!$A$2:$A$13,0))-K917,I917)))</f>
        <v/>
      </c>
      <c r="N917">
        <f>IF(I917=0,0,MAX(0,MIN(INDEX(Month!I$2:I$13,MATCH($A917,Month!$A$2:$A$13,0))-K917,I917)))</f>
        <v/>
      </c>
      <c r="O917">
        <f>IF(I917=0,0,MAX(0,MIN(INDEX(Month!J$2:J$13,MATCH($A917,Month!$A$2:$A$13,0))-K917,I917)))</f>
        <v/>
      </c>
      <c r="P917">
        <f>IF(I917=0,0,(MIN(MAX(K917,0),L917)*W917+SUMPRODUCT((Calc!$A$2:$A$1001=A917)*Calc!$G$2:$G$1001*(((K917-(L917+Calc!$J$2:$J$1001))&gt;0)*((K917-(L917+Calc!$J$2:$J$1001))&lt;Calc!$F$2:$F$1001)*(K917-(L917+Calc!$J$2:$J$1001))+((K917-(L917+Calc!$J$2:$J$1001))&gt;=Calc!$F$2:$F$1001)*Calc!$F$2:$F$1001))))</f>
        <v/>
      </c>
      <c r="Q917">
        <f>IF(I917=0,0,(MIN(MAX((K917+M917),0),L917)*W917+SUMPRODUCT((Calc!$A$2:$A$1001=A917)*Calc!$G$2:$G$1001*((((K917+M917)-(L917+Calc!$J$2:$J$1001))&gt;0)*(((K917+M917)-(L917+Calc!$J$2:$J$1001))&lt;Calc!$F$2:$F$1001)*((K917+M917)-(L917+Calc!$J$2:$J$1001))+(((K917+M917)-(L917+Calc!$J$2:$J$1001))&gt;=Calc!$F$2:$F$1001)*Calc!$F$2:$F$1001))))</f>
        <v/>
      </c>
      <c r="R917">
        <f>IF(I917=0,0,(MIN(MAX((K917+N917),0),L917)*W917+SUMPRODUCT((Calc!$A$2:$A$1001=A917)*Calc!$G$2:$G$1001*((((K917+N917)-(L917+Calc!$J$2:$J$1001))&gt;0)*(((K917+N917)-(L917+Calc!$J$2:$J$1001))&lt;Calc!$F$2:$F$1001)*((K917+N917)-(L917+Calc!$J$2:$J$1001))+(((K917+N917)-(L917+Calc!$J$2:$J$1001))&gt;=Calc!$F$2:$F$1001)*Calc!$F$2:$F$1001))))</f>
        <v/>
      </c>
      <c r="S917">
        <f>IF(I917=0,0,(MIN(MAX((K917+O917),0),L917)*W917+SUMPRODUCT((Calc!$A$2:$A$1001=A917)*Calc!$G$2:$G$1001*((((K917+O917)-(L917+Calc!$J$2:$J$1001))&gt;0)*(((K917+O917)-(L917+Calc!$J$2:$J$1001))&lt;Calc!$F$2:$F$1001)*((K917+O917)-(L917+Calc!$J$2:$J$1001))+(((K917+O917)-(L917+Calc!$J$2:$J$1001))&gt;=Calc!$F$2:$F$1001)*Calc!$F$2:$F$1001))))</f>
        <v/>
      </c>
      <c r="T917">
        <f>IF(AND(E917=1,B917="RETURN"),Transactions!E917*Transactions!G917,0)</f>
        <v/>
      </c>
      <c r="U917">
        <f>IF(AND(E917=1,B917="EXPENSE"),Transactions!J917,0)</f>
        <v/>
      </c>
      <c r="V917">
        <f>IF(AND(Transactions!A917&lt;&gt;"",E917=0),ROW(),"")</f>
        <v/>
      </c>
      <c r="W917">
        <f>IFERROR(VLOOKUP(A917,Opening!$A:$D,4,0),0)</f>
        <v/>
      </c>
    </row>
    <row r="918">
      <c r="A918">
        <f>IF(Transactions!D918="","",UPPER(TRIM(Transactions!D918)))</f>
        <v/>
      </c>
      <c r="B918">
        <f>IF(Transactions!C918="","",UPPER(TRIM(Transactions!C918)))</f>
        <v/>
      </c>
      <c r="C918">
        <f>IF(Transactions!B918="",0,YEAR(Transactions!B918)*100+MONTH(Transactions!B918))</f>
        <v/>
      </c>
      <c r="D918">
        <f>IF(Transactions!A918="",1,IF(COUNTIF(Transactions!$A$1:A917,Transactions!A918)&gt;0,1,0))</f>
        <v/>
      </c>
      <c r="E918">
        <f>IF(D918=1,0,IF(B918="RETURN",IF(COUNTIFS($A$1:A917,A918,$B$1:B917,"SALE",$E$1:E917,1)&gt;0,1,0),1))</f>
        <v/>
      </c>
      <c r="F918">
        <f>IF(E918=1,IF(B918="RECEIPT",Transactions!E918,IF(AND(B918="RETURN",LOWER(TRIM(Transactions!H918))="resellable"),Transactions!E918,0)),0)</f>
        <v/>
      </c>
      <c r="G918">
        <f>IF(F918&gt;0,IF(B918="RECEIPT",Transactions!F918,IF(_xlfn.MAXIFS($H$2:H918,$A$2:A918,A918)&gt;0,INDEX(Transactions!$F:$F,_xlfn.MAXIFS($H$2:H918,$A$2:A918,A918)),W918)),0)</f>
        <v/>
      </c>
      <c r="H918">
        <f>IF(AND(E918=1,B918="RECEIPT"),ROW(),0)</f>
        <v/>
      </c>
      <c r="I918">
        <f>IF(E918=1,IF(OR(B918="SALE",B918="WRITEOFF"),Transactions!E918,0),0)</f>
        <v/>
      </c>
      <c r="J918">
        <f>SUMIFS($F$1:F917,$A$1:A917,A918)</f>
        <v/>
      </c>
      <c r="K918">
        <f>SUMIFS($I$1:I917,$A$1:A917,A918)</f>
        <v/>
      </c>
      <c r="L918">
        <f>IFERROR(VLOOKUP(A918,Opening!$A:$C,3,0),0)</f>
        <v/>
      </c>
      <c r="M918">
        <f>IF(I918=0,0,MAX(0,MIN(INDEX(Month!H$2:H$13,MATCH($A918,Month!$A$2:$A$13,0))-K918,I918)))</f>
        <v/>
      </c>
      <c r="N918">
        <f>IF(I918=0,0,MAX(0,MIN(INDEX(Month!I$2:I$13,MATCH($A918,Month!$A$2:$A$13,0))-K918,I918)))</f>
        <v/>
      </c>
      <c r="O918">
        <f>IF(I918=0,0,MAX(0,MIN(INDEX(Month!J$2:J$13,MATCH($A918,Month!$A$2:$A$13,0))-K918,I918)))</f>
        <v/>
      </c>
      <c r="P918">
        <f>IF(I918=0,0,(MIN(MAX(K918,0),L918)*W918+SUMPRODUCT((Calc!$A$2:$A$1001=A918)*Calc!$G$2:$G$1001*(((K918-(L918+Calc!$J$2:$J$1001))&gt;0)*((K918-(L918+Calc!$J$2:$J$1001))&lt;Calc!$F$2:$F$1001)*(K918-(L918+Calc!$J$2:$J$1001))+((K918-(L918+Calc!$J$2:$J$1001))&gt;=Calc!$F$2:$F$1001)*Calc!$F$2:$F$1001))))</f>
        <v/>
      </c>
      <c r="Q918">
        <f>IF(I918=0,0,(MIN(MAX((K918+M918),0),L918)*W918+SUMPRODUCT((Calc!$A$2:$A$1001=A918)*Calc!$G$2:$G$1001*((((K918+M918)-(L918+Calc!$J$2:$J$1001))&gt;0)*(((K918+M918)-(L918+Calc!$J$2:$J$1001))&lt;Calc!$F$2:$F$1001)*((K918+M918)-(L918+Calc!$J$2:$J$1001))+(((K918+M918)-(L918+Calc!$J$2:$J$1001))&gt;=Calc!$F$2:$F$1001)*Calc!$F$2:$F$1001))))</f>
        <v/>
      </c>
      <c r="R918">
        <f>IF(I918=0,0,(MIN(MAX((K918+N918),0),L918)*W918+SUMPRODUCT((Calc!$A$2:$A$1001=A918)*Calc!$G$2:$G$1001*((((K918+N918)-(L918+Calc!$J$2:$J$1001))&gt;0)*(((K918+N918)-(L918+Calc!$J$2:$J$1001))&lt;Calc!$F$2:$F$1001)*((K918+N918)-(L918+Calc!$J$2:$J$1001))+(((K918+N918)-(L918+Calc!$J$2:$J$1001))&gt;=Calc!$F$2:$F$1001)*Calc!$F$2:$F$1001))))</f>
        <v/>
      </c>
      <c r="S918">
        <f>IF(I918=0,0,(MIN(MAX((K918+O918),0),L918)*W918+SUMPRODUCT((Calc!$A$2:$A$1001=A918)*Calc!$G$2:$G$1001*((((K918+O918)-(L918+Calc!$J$2:$J$1001))&gt;0)*(((K918+O918)-(L918+Calc!$J$2:$J$1001))&lt;Calc!$F$2:$F$1001)*((K918+O918)-(L918+Calc!$J$2:$J$1001))+(((K918+O918)-(L918+Calc!$J$2:$J$1001))&gt;=Calc!$F$2:$F$1001)*Calc!$F$2:$F$1001))))</f>
        <v/>
      </c>
      <c r="T918">
        <f>IF(AND(E918=1,B918="RETURN"),Transactions!E918*Transactions!G918,0)</f>
        <v/>
      </c>
      <c r="U918">
        <f>IF(AND(E918=1,B918="EXPENSE"),Transactions!J918,0)</f>
        <v/>
      </c>
      <c r="V918">
        <f>IF(AND(Transactions!A918&lt;&gt;"",E918=0),ROW(),"")</f>
        <v/>
      </c>
      <c r="W918">
        <f>IFERROR(VLOOKUP(A918,Opening!$A:$D,4,0),0)</f>
        <v/>
      </c>
    </row>
    <row r="919">
      <c r="A919">
        <f>IF(Transactions!D919="","",UPPER(TRIM(Transactions!D919)))</f>
        <v/>
      </c>
      <c r="B919">
        <f>IF(Transactions!C919="","",UPPER(TRIM(Transactions!C919)))</f>
        <v/>
      </c>
      <c r="C919">
        <f>IF(Transactions!B919="",0,YEAR(Transactions!B919)*100+MONTH(Transactions!B919))</f>
        <v/>
      </c>
      <c r="D919">
        <f>IF(Transactions!A919="",1,IF(COUNTIF(Transactions!$A$1:A918,Transactions!A919)&gt;0,1,0))</f>
        <v/>
      </c>
      <c r="E919">
        <f>IF(D919=1,0,IF(B919="RETURN",IF(COUNTIFS($A$1:A918,A919,$B$1:B918,"SALE",$E$1:E918,1)&gt;0,1,0),1))</f>
        <v/>
      </c>
      <c r="F919">
        <f>IF(E919=1,IF(B919="RECEIPT",Transactions!E919,IF(AND(B919="RETURN",LOWER(TRIM(Transactions!H919))="resellable"),Transactions!E919,0)),0)</f>
        <v/>
      </c>
      <c r="G919">
        <f>IF(F919&gt;0,IF(B919="RECEIPT",Transactions!F919,IF(_xlfn.MAXIFS($H$2:H919,$A$2:A919,A919)&gt;0,INDEX(Transactions!$F:$F,_xlfn.MAXIFS($H$2:H919,$A$2:A919,A919)),W919)),0)</f>
        <v/>
      </c>
      <c r="H919">
        <f>IF(AND(E919=1,B919="RECEIPT"),ROW(),0)</f>
        <v/>
      </c>
      <c r="I919">
        <f>IF(E919=1,IF(OR(B919="SALE",B919="WRITEOFF"),Transactions!E919,0),0)</f>
        <v/>
      </c>
      <c r="J919">
        <f>SUMIFS($F$1:F918,$A$1:A918,A919)</f>
        <v/>
      </c>
      <c r="K919">
        <f>SUMIFS($I$1:I918,$A$1:A918,A919)</f>
        <v/>
      </c>
      <c r="L919">
        <f>IFERROR(VLOOKUP(A919,Opening!$A:$C,3,0),0)</f>
        <v/>
      </c>
      <c r="M919">
        <f>IF(I919=0,0,MAX(0,MIN(INDEX(Month!H$2:H$13,MATCH($A919,Month!$A$2:$A$13,0))-K919,I919)))</f>
        <v/>
      </c>
      <c r="N919">
        <f>IF(I919=0,0,MAX(0,MIN(INDEX(Month!I$2:I$13,MATCH($A919,Month!$A$2:$A$13,0))-K919,I919)))</f>
        <v/>
      </c>
      <c r="O919">
        <f>IF(I919=0,0,MAX(0,MIN(INDEX(Month!J$2:J$13,MATCH($A919,Month!$A$2:$A$13,0))-K919,I919)))</f>
        <v/>
      </c>
      <c r="P919">
        <f>IF(I919=0,0,(MIN(MAX(K919,0),L919)*W919+SUMPRODUCT((Calc!$A$2:$A$1001=A919)*Calc!$G$2:$G$1001*(((K919-(L919+Calc!$J$2:$J$1001))&gt;0)*((K919-(L919+Calc!$J$2:$J$1001))&lt;Calc!$F$2:$F$1001)*(K919-(L919+Calc!$J$2:$J$1001))+((K919-(L919+Calc!$J$2:$J$1001))&gt;=Calc!$F$2:$F$1001)*Calc!$F$2:$F$1001))))</f>
        <v/>
      </c>
      <c r="Q919">
        <f>IF(I919=0,0,(MIN(MAX((K919+M919),0),L919)*W919+SUMPRODUCT((Calc!$A$2:$A$1001=A919)*Calc!$G$2:$G$1001*((((K919+M919)-(L919+Calc!$J$2:$J$1001))&gt;0)*(((K919+M919)-(L919+Calc!$J$2:$J$1001))&lt;Calc!$F$2:$F$1001)*((K919+M919)-(L919+Calc!$J$2:$J$1001))+(((K919+M919)-(L919+Calc!$J$2:$J$1001))&gt;=Calc!$F$2:$F$1001)*Calc!$F$2:$F$1001))))</f>
        <v/>
      </c>
      <c r="R919">
        <f>IF(I919=0,0,(MIN(MAX((K919+N919),0),L919)*W919+SUMPRODUCT((Calc!$A$2:$A$1001=A919)*Calc!$G$2:$G$1001*((((K919+N919)-(L919+Calc!$J$2:$J$1001))&gt;0)*(((K919+N919)-(L919+Calc!$J$2:$J$1001))&lt;Calc!$F$2:$F$1001)*((K919+N919)-(L919+Calc!$J$2:$J$1001))+(((K919+N919)-(L919+Calc!$J$2:$J$1001))&gt;=Calc!$F$2:$F$1001)*Calc!$F$2:$F$1001))))</f>
        <v/>
      </c>
      <c r="S919">
        <f>IF(I919=0,0,(MIN(MAX((K919+O919),0),L919)*W919+SUMPRODUCT((Calc!$A$2:$A$1001=A919)*Calc!$G$2:$G$1001*((((K919+O919)-(L919+Calc!$J$2:$J$1001))&gt;0)*(((K919+O919)-(L919+Calc!$J$2:$J$1001))&lt;Calc!$F$2:$F$1001)*((K919+O919)-(L919+Calc!$J$2:$J$1001))+(((K919+O919)-(L919+Calc!$J$2:$J$1001))&gt;=Calc!$F$2:$F$1001)*Calc!$F$2:$F$1001))))</f>
        <v/>
      </c>
      <c r="T919">
        <f>IF(AND(E919=1,B919="RETURN"),Transactions!E919*Transactions!G919,0)</f>
        <v/>
      </c>
      <c r="U919">
        <f>IF(AND(E919=1,B919="EXPENSE"),Transactions!J919,0)</f>
        <v/>
      </c>
      <c r="V919">
        <f>IF(AND(Transactions!A919&lt;&gt;"",E919=0),ROW(),"")</f>
        <v/>
      </c>
      <c r="W919">
        <f>IFERROR(VLOOKUP(A919,Opening!$A:$D,4,0),0)</f>
        <v/>
      </c>
    </row>
    <row r="920">
      <c r="A920">
        <f>IF(Transactions!D920="","",UPPER(TRIM(Transactions!D920)))</f>
        <v/>
      </c>
      <c r="B920">
        <f>IF(Transactions!C920="","",UPPER(TRIM(Transactions!C920)))</f>
        <v/>
      </c>
      <c r="C920">
        <f>IF(Transactions!B920="",0,YEAR(Transactions!B920)*100+MONTH(Transactions!B920))</f>
        <v/>
      </c>
      <c r="D920">
        <f>IF(Transactions!A920="",1,IF(COUNTIF(Transactions!$A$1:A919,Transactions!A920)&gt;0,1,0))</f>
        <v/>
      </c>
      <c r="E920">
        <f>IF(D920=1,0,IF(B920="RETURN",IF(COUNTIFS($A$1:A919,A920,$B$1:B919,"SALE",$E$1:E919,1)&gt;0,1,0),1))</f>
        <v/>
      </c>
      <c r="F920">
        <f>IF(E920=1,IF(B920="RECEIPT",Transactions!E920,IF(AND(B920="RETURN",LOWER(TRIM(Transactions!H920))="resellable"),Transactions!E920,0)),0)</f>
        <v/>
      </c>
      <c r="G920">
        <f>IF(F920&gt;0,IF(B920="RECEIPT",Transactions!F920,IF(_xlfn.MAXIFS($H$2:H920,$A$2:A920,A920)&gt;0,INDEX(Transactions!$F:$F,_xlfn.MAXIFS($H$2:H920,$A$2:A920,A920)),W920)),0)</f>
        <v/>
      </c>
      <c r="H920">
        <f>IF(AND(E920=1,B920="RECEIPT"),ROW(),0)</f>
        <v/>
      </c>
      <c r="I920">
        <f>IF(E920=1,IF(OR(B920="SALE",B920="WRITEOFF"),Transactions!E920,0),0)</f>
        <v/>
      </c>
      <c r="J920">
        <f>SUMIFS($F$1:F919,$A$1:A919,A920)</f>
        <v/>
      </c>
      <c r="K920">
        <f>SUMIFS($I$1:I919,$A$1:A919,A920)</f>
        <v/>
      </c>
      <c r="L920">
        <f>IFERROR(VLOOKUP(A920,Opening!$A:$C,3,0),0)</f>
        <v/>
      </c>
      <c r="M920">
        <f>IF(I920=0,0,MAX(0,MIN(INDEX(Month!H$2:H$13,MATCH($A920,Month!$A$2:$A$13,0))-K920,I920)))</f>
        <v/>
      </c>
      <c r="N920">
        <f>IF(I920=0,0,MAX(0,MIN(INDEX(Month!I$2:I$13,MATCH($A920,Month!$A$2:$A$13,0))-K920,I920)))</f>
        <v/>
      </c>
      <c r="O920">
        <f>IF(I920=0,0,MAX(0,MIN(INDEX(Month!J$2:J$13,MATCH($A920,Month!$A$2:$A$13,0))-K920,I920)))</f>
        <v/>
      </c>
      <c r="P920">
        <f>IF(I920=0,0,(MIN(MAX(K920,0),L920)*W920+SUMPRODUCT((Calc!$A$2:$A$1001=A920)*Calc!$G$2:$G$1001*(((K920-(L920+Calc!$J$2:$J$1001))&gt;0)*((K920-(L920+Calc!$J$2:$J$1001))&lt;Calc!$F$2:$F$1001)*(K920-(L920+Calc!$J$2:$J$1001))+((K920-(L920+Calc!$J$2:$J$1001))&gt;=Calc!$F$2:$F$1001)*Calc!$F$2:$F$1001))))</f>
        <v/>
      </c>
      <c r="Q920">
        <f>IF(I920=0,0,(MIN(MAX((K920+M920),0),L920)*W920+SUMPRODUCT((Calc!$A$2:$A$1001=A920)*Calc!$G$2:$G$1001*((((K920+M920)-(L920+Calc!$J$2:$J$1001))&gt;0)*(((K920+M920)-(L920+Calc!$J$2:$J$1001))&lt;Calc!$F$2:$F$1001)*((K920+M920)-(L920+Calc!$J$2:$J$1001))+(((K920+M920)-(L920+Calc!$J$2:$J$1001))&gt;=Calc!$F$2:$F$1001)*Calc!$F$2:$F$1001))))</f>
        <v/>
      </c>
      <c r="R920">
        <f>IF(I920=0,0,(MIN(MAX((K920+N920),0),L920)*W920+SUMPRODUCT((Calc!$A$2:$A$1001=A920)*Calc!$G$2:$G$1001*((((K920+N920)-(L920+Calc!$J$2:$J$1001))&gt;0)*(((K920+N920)-(L920+Calc!$J$2:$J$1001))&lt;Calc!$F$2:$F$1001)*((K920+N920)-(L920+Calc!$J$2:$J$1001))+(((K920+N920)-(L920+Calc!$J$2:$J$1001))&gt;=Calc!$F$2:$F$1001)*Calc!$F$2:$F$1001))))</f>
        <v/>
      </c>
      <c r="S920">
        <f>IF(I920=0,0,(MIN(MAX((K920+O920),0),L920)*W920+SUMPRODUCT((Calc!$A$2:$A$1001=A920)*Calc!$G$2:$G$1001*((((K920+O920)-(L920+Calc!$J$2:$J$1001))&gt;0)*(((K920+O920)-(L920+Calc!$J$2:$J$1001))&lt;Calc!$F$2:$F$1001)*((K920+O920)-(L920+Calc!$J$2:$J$1001))+(((K920+O920)-(L920+Calc!$J$2:$J$1001))&gt;=Calc!$F$2:$F$1001)*Calc!$F$2:$F$1001))))</f>
        <v/>
      </c>
      <c r="T920">
        <f>IF(AND(E920=1,B920="RETURN"),Transactions!E920*Transactions!G920,0)</f>
        <v/>
      </c>
      <c r="U920">
        <f>IF(AND(E920=1,B920="EXPENSE"),Transactions!J920,0)</f>
        <v/>
      </c>
      <c r="V920">
        <f>IF(AND(Transactions!A920&lt;&gt;"",E920=0),ROW(),"")</f>
        <v/>
      </c>
      <c r="W920">
        <f>IFERROR(VLOOKUP(A920,Opening!$A:$D,4,0),0)</f>
        <v/>
      </c>
    </row>
    <row r="921">
      <c r="A921">
        <f>IF(Transactions!D921="","",UPPER(TRIM(Transactions!D921)))</f>
        <v/>
      </c>
      <c r="B921">
        <f>IF(Transactions!C921="","",UPPER(TRIM(Transactions!C921)))</f>
        <v/>
      </c>
      <c r="C921">
        <f>IF(Transactions!B921="",0,YEAR(Transactions!B921)*100+MONTH(Transactions!B921))</f>
        <v/>
      </c>
      <c r="D921">
        <f>IF(Transactions!A921="",1,IF(COUNTIF(Transactions!$A$1:A920,Transactions!A921)&gt;0,1,0))</f>
        <v/>
      </c>
      <c r="E921">
        <f>IF(D921=1,0,IF(B921="RETURN",IF(COUNTIFS($A$1:A920,A921,$B$1:B920,"SALE",$E$1:E920,1)&gt;0,1,0),1))</f>
        <v/>
      </c>
      <c r="F921">
        <f>IF(E921=1,IF(B921="RECEIPT",Transactions!E921,IF(AND(B921="RETURN",LOWER(TRIM(Transactions!H921))="resellable"),Transactions!E921,0)),0)</f>
        <v/>
      </c>
      <c r="G921">
        <f>IF(F921&gt;0,IF(B921="RECEIPT",Transactions!F921,IF(_xlfn.MAXIFS($H$2:H921,$A$2:A921,A921)&gt;0,INDEX(Transactions!$F:$F,_xlfn.MAXIFS($H$2:H921,$A$2:A921,A921)),W921)),0)</f>
        <v/>
      </c>
      <c r="H921">
        <f>IF(AND(E921=1,B921="RECEIPT"),ROW(),0)</f>
        <v/>
      </c>
      <c r="I921">
        <f>IF(E921=1,IF(OR(B921="SALE",B921="WRITEOFF"),Transactions!E921,0),0)</f>
        <v/>
      </c>
      <c r="J921">
        <f>SUMIFS($F$1:F920,$A$1:A920,A921)</f>
        <v/>
      </c>
      <c r="K921">
        <f>SUMIFS($I$1:I920,$A$1:A920,A921)</f>
        <v/>
      </c>
      <c r="L921">
        <f>IFERROR(VLOOKUP(A921,Opening!$A:$C,3,0),0)</f>
        <v/>
      </c>
      <c r="M921">
        <f>IF(I921=0,0,MAX(0,MIN(INDEX(Month!H$2:H$13,MATCH($A921,Month!$A$2:$A$13,0))-K921,I921)))</f>
        <v/>
      </c>
      <c r="N921">
        <f>IF(I921=0,0,MAX(0,MIN(INDEX(Month!I$2:I$13,MATCH($A921,Month!$A$2:$A$13,0))-K921,I921)))</f>
        <v/>
      </c>
      <c r="O921">
        <f>IF(I921=0,0,MAX(0,MIN(INDEX(Month!J$2:J$13,MATCH($A921,Month!$A$2:$A$13,0))-K921,I921)))</f>
        <v/>
      </c>
      <c r="P921">
        <f>IF(I921=0,0,(MIN(MAX(K921,0),L921)*W921+SUMPRODUCT((Calc!$A$2:$A$1001=A921)*Calc!$G$2:$G$1001*(((K921-(L921+Calc!$J$2:$J$1001))&gt;0)*((K921-(L921+Calc!$J$2:$J$1001))&lt;Calc!$F$2:$F$1001)*(K921-(L921+Calc!$J$2:$J$1001))+((K921-(L921+Calc!$J$2:$J$1001))&gt;=Calc!$F$2:$F$1001)*Calc!$F$2:$F$1001))))</f>
        <v/>
      </c>
      <c r="Q921">
        <f>IF(I921=0,0,(MIN(MAX((K921+M921),0),L921)*W921+SUMPRODUCT((Calc!$A$2:$A$1001=A921)*Calc!$G$2:$G$1001*((((K921+M921)-(L921+Calc!$J$2:$J$1001))&gt;0)*(((K921+M921)-(L921+Calc!$J$2:$J$1001))&lt;Calc!$F$2:$F$1001)*((K921+M921)-(L921+Calc!$J$2:$J$1001))+(((K921+M921)-(L921+Calc!$J$2:$J$1001))&gt;=Calc!$F$2:$F$1001)*Calc!$F$2:$F$1001))))</f>
        <v/>
      </c>
      <c r="R921">
        <f>IF(I921=0,0,(MIN(MAX((K921+N921),0),L921)*W921+SUMPRODUCT((Calc!$A$2:$A$1001=A921)*Calc!$G$2:$G$1001*((((K921+N921)-(L921+Calc!$J$2:$J$1001))&gt;0)*(((K921+N921)-(L921+Calc!$J$2:$J$1001))&lt;Calc!$F$2:$F$1001)*((K921+N921)-(L921+Calc!$J$2:$J$1001))+(((K921+N921)-(L921+Calc!$J$2:$J$1001))&gt;=Calc!$F$2:$F$1001)*Calc!$F$2:$F$1001))))</f>
        <v/>
      </c>
      <c r="S921">
        <f>IF(I921=0,0,(MIN(MAX((K921+O921),0),L921)*W921+SUMPRODUCT((Calc!$A$2:$A$1001=A921)*Calc!$G$2:$G$1001*((((K921+O921)-(L921+Calc!$J$2:$J$1001))&gt;0)*(((K921+O921)-(L921+Calc!$J$2:$J$1001))&lt;Calc!$F$2:$F$1001)*((K921+O921)-(L921+Calc!$J$2:$J$1001))+(((K921+O921)-(L921+Calc!$J$2:$J$1001))&gt;=Calc!$F$2:$F$1001)*Calc!$F$2:$F$1001))))</f>
        <v/>
      </c>
      <c r="T921">
        <f>IF(AND(E921=1,B921="RETURN"),Transactions!E921*Transactions!G921,0)</f>
        <v/>
      </c>
      <c r="U921">
        <f>IF(AND(E921=1,B921="EXPENSE"),Transactions!J921,0)</f>
        <v/>
      </c>
      <c r="V921">
        <f>IF(AND(Transactions!A921&lt;&gt;"",E921=0),ROW(),"")</f>
        <v/>
      </c>
      <c r="W921">
        <f>IFERROR(VLOOKUP(A921,Opening!$A:$D,4,0),0)</f>
        <v/>
      </c>
    </row>
    <row r="922">
      <c r="A922">
        <f>IF(Transactions!D922="","",UPPER(TRIM(Transactions!D922)))</f>
        <v/>
      </c>
      <c r="B922">
        <f>IF(Transactions!C922="","",UPPER(TRIM(Transactions!C922)))</f>
        <v/>
      </c>
      <c r="C922">
        <f>IF(Transactions!B922="",0,YEAR(Transactions!B922)*100+MONTH(Transactions!B922))</f>
        <v/>
      </c>
      <c r="D922">
        <f>IF(Transactions!A922="",1,IF(COUNTIF(Transactions!$A$1:A921,Transactions!A922)&gt;0,1,0))</f>
        <v/>
      </c>
      <c r="E922">
        <f>IF(D922=1,0,IF(B922="RETURN",IF(COUNTIFS($A$1:A921,A922,$B$1:B921,"SALE",$E$1:E921,1)&gt;0,1,0),1))</f>
        <v/>
      </c>
      <c r="F922">
        <f>IF(E922=1,IF(B922="RECEIPT",Transactions!E922,IF(AND(B922="RETURN",LOWER(TRIM(Transactions!H922))="resellable"),Transactions!E922,0)),0)</f>
        <v/>
      </c>
      <c r="G922">
        <f>IF(F922&gt;0,IF(B922="RECEIPT",Transactions!F922,IF(_xlfn.MAXIFS($H$2:H922,$A$2:A922,A922)&gt;0,INDEX(Transactions!$F:$F,_xlfn.MAXIFS($H$2:H922,$A$2:A922,A922)),W922)),0)</f>
        <v/>
      </c>
      <c r="H922">
        <f>IF(AND(E922=1,B922="RECEIPT"),ROW(),0)</f>
        <v/>
      </c>
      <c r="I922">
        <f>IF(E922=1,IF(OR(B922="SALE",B922="WRITEOFF"),Transactions!E922,0),0)</f>
        <v/>
      </c>
      <c r="J922">
        <f>SUMIFS($F$1:F921,$A$1:A921,A922)</f>
        <v/>
      </c>
      <c r="K922">
        <f>SUMIFS($I$1:I921,$A$1:A921,A922)</f>
        <v/>
      </c>
      <c r="L922">
        <f>IFERROR(VLOOKUP(A922,Opening!$A:$C,3,0),0)</f>
        <v/>
      </c>
      <c r="M922">
        <f>IF(I922=0,0,MAX(0,MIN(INDEX(Month!H$2:H$13,MATCH($A922,Month!$A$2:$A$13,0))-K922,I922)))</f>
        <v/>
      </c>
      <c r="N922">
        <f>IF(I922=0,0,MAX(0,MIN(INDEX(Month!I$2:I$13,MATCH($A922,Month!$A$2:$A$13,0))-K922,I922)))</f>
        <v/>
      </c>
      <c r="O922">
        <f>IF(I922=0,0,MAX(0,MIN(INDEX(Month!J$2:J$13,MATCH($A922,Month!$A$2:$A$13,0))-K922,I922)))</f>
        <v/>
      </c>
      <c r="P922">
        <f>IF(I922=0,0,(MIN(MAX(K922,0),L922)*W922+SUMPRODUCT((Calc!$A$2:$A$1001=A922)*Calc!$G$2:$G$1001*(((K922-(L922+Calc!$J$2:$J$1001))&gt;0)*((K922-(L922+Calc!$J$2:$J$1001))&lt;Calc!$F$2:$F$1001)*(K922-(L922+Calc!$J$2:$J$1001))+((K922-(L922+Calc!$J$2:$J$1001))&gt;=Calc!$F$2:$F$1001)*Calc!$F$2:$F$1001))))</f>
        <v/>
      </c>
      <c r="Q922">
        <f>IF(I922=0,0,(MIN(MAX((K922+M922),0),L922)*W922+SUMPRODUCT((Calc!$A$2:$A$1001=A922)*Calc!$G$2:$G$1001*((((K922+M922)-(L922+Calc!$J$2:$J$1001))&gt;0)*(((K922+M922)-(L922+Calc!$J$2:$J$1001))&lt;Calc!$F$2:$F$1001)*((K922+M922)-(L922+Calc!$J$2:$J$1001))+(((K922+M922)-(L922+Calc!$J$2:$J$1001))&gt;=Calc!$F$2:$F$1001)*Calc!$F$2:$F$1001))))</f>
        <v/>
      </c>
      <c r="R922">
        <f>IF(I922=0,0,(MIN(MAX((K922+N922),0),L922)*W922+SUMPRODUCT((Calc!$A$2:$A$1001=A922)*Calc!$G$2:$G$1001*((((K922+N922)-(L922+Calc!$J$2:$J$1001))&gt;0)*(((K922+N922)-(L922+Calc!$J$2:$J$1001))&lt;Calc!$F$2:$F$1001)*((K922+N922)-(L922+Calc!$J$2:$J$1001))+(((K922+N922)-(L922+Calc!$J$2:$J$1001))&gt;=Calc!$F$2:$F$1001)*Calc!$F$2:$F$1001))))</f>
        <v/>
      </c>
      <c r="S922">
        <f>IF(I922=0,0,(MIN(MAX((K922+O922),0),L922)*W922+SUMPRODUCT((Calc!$A$2:$A$1001=A922)*Calc!$G$2:$G$1001*((((K922+O922)-(L922+Calc!$J$2:$J$1001))&gt;0)*(((K922+O922)-(L922+Calc!$J$2:$J$1001))&lt;Calc!$F$2:$F$1001)*((K922+O922)-(L922+Calc!$J$2:$J$1001))+(((K922+O922)-(L922+Calc!$J$2:$J$1001))&gt;=Calc!$F$2:$F$1001)*Calc!$F$2:$F$1001))))</f>
        <v/>
      </c>
      <c r="T922">
        <f>IF(AND(E922=1,B922="RETURN"),Transactions!E922*Transactions!G922,0)</f>
        <v/>
      </c>
      <c r="U922">
        <f>IF(AND(E922=1,B922="EXPENSE"),Transactions!J922,0)</f>
        <v/>
      </c>
      <c r="V922">
        <f>IF(AND(Transactions!A922&lt;&gt;"",E922=0),ROW(),"")</f>
        <v/>
      </c>
      <c r="W922">
        <f>IFERROR(VLOOKUP(A922,Opening!$A:$D,4,0),0)</f>
        <v/>
      </c>
    </row>
    <row r="923">
      <c r="A923">
        <f>IF(Transactions!D923="","",UPPER(TRIM(Transactions!D923)))</f>
        <v/>
      </c>
      <c r="B923">
        <f>IF(Transactions!C923="","",UPPER(TRIM(Transactions!C923)))</f>
        <v/>
      </c>
      <c r="C923">
        <f>IF(Transactions!B923="",0,YEAR(Transactions!B923)*100+MONTH(Transactions!B923))</f>
        <v/>
      </c>
      <c r="D923">
        <f>IF(Transactions!A923="",1,IF(COUNTIF(Transactions!$A$1:A922,Transactions!A923)&gt;0,1,0))</f>
        <v/>
      </c>
      <c r="E923">
        <f>IF(D923=1,0,IF(B923="RETURN",IF(COUNTIFS($A$1:A922,A923,$B$1:B922,"SALE",$E$1:E922,1)&gt;0,1,0),1))</f>
        <v/>
      </c>
      <c r="F923">
        <f>IF(E923=1,IF(B923="RECEIPT",Transactions!E923,IF(AND(B923="RETURN",LOWER(TRIM(Transactions!H923))="resellable"),Transactions!E923,0)),0)</f>
        <v/>
      </c>
      <c r="G923">
        <f>IF(F923&gt;0,IF(B923="RECEIPT",Transactions!F923,IF(_xlfn.MAXIFS($H$2:H923,$A$2:A923,A923)&gt;0,INDEX(Transactions!$F:$F,_xlfn.MAXIFS($H$2:H923,$A$2:A923,A923)),W923)),0)</f>
        <v/>
      </c>
      <c r="H923">
        <f>IF(AND(E923=1,B923="RECEIPT"),ROW(),0)</f>
        <v/>
      </c>
      <c r="I923">
        <f>IF(E923=1,IF(OR(B923="SALE",B923="WRITEOFF"),Transactions!E923,0),0)</f>
        <v/>
      </c>
      <c r="J923">
        <f>SUMIFS($F$1:F922,$A$1:A922,A923)</f>
        <v/>
      </c>
      <c r="K923">
        <f>SUMIFS($I$1:I922,$A$1:A922,A923)</f>
        <v/>
      </c>
      <c r="L923">
        <f>IFERROR(VLOOKUP(A923,Opening!$A:$C,3,0),0)</f>
        <v/>
      </c>
      <c r="M923">
        <f>IF(I923=0,0,MAX(0,MIN(INDEX(Month!H$2:H$13,MATCH($A923,Month!$A$2:$A$13,0))-K923,I923)))</f>
        <v/>
      </c>
      <c r="N923">
        <f>IF(I923=0,0,MAX(0,MIN(INDEX(Month!I$2:I$13,MATCH($A923,Month!$A$2:$A$13,0))-K923,I923)))</f>
        <v/>
      </c>
      <c r="O923">
        <f>IF(I923=0,0,MAX(0,MIN(INDEX(Month!J$2:J$13,MATCH($A923,Month!$A$2:$A$13,0))-K923,I923)))</f>
        <v/>
      </c>
      <c r="P923">
        <f>IF(I923=0,0,(MIN(MAX(K923,0),L923)*W923+SUMPRODUCT((Calc!$A$2:$A$1001=A923)*Calc!$G$2:$G$1001*(((K923-(L923+Calc!$J$2:$J$1001))&gt;0)*((K923-(L923+Calc!$J$2:$J$1001))&lt;Calc!$F$2:$F$1001)*(K923-(L923+Calc!$J$2:$J$1001))+((K923-(L923+Calc!$J$2:$J$1001))&gt;=Calc!$F$2:$F$1001)*Calc!$F$2:$F$1001))))</f>
        <v/>
      </c>
      <c r="Q923">
        <f>IF(I923=0,0,(MIN(MAX((K923+M923),0),L923)*W923+SUMPRODUCT((Calc!$A$2:$A$1001=A923)*Calc!$G$2:$G$1001*((((K923+M923)-(L923+Calc!$J$2:$J$1001))&gt;0)*(((K923+M923)-(L923+Calc!$J$2:$J$1001))&lt;Calc!$F$2:$F$1001)*((K923+M923)-(L923+Calc!$J$2:$J$1001))+(((K923+M923)-(L923+Calc!$J$2:$J$1001))&gt;=Calc!$F$2:$F$1001)*Calc!$F$2:$F$1001))))</f>
        <v/>
      </c>
      <c r="R923">
        <f>IF(I923=0,0,(MIN(MAX((K923+N923),0),L923)*W923+SUMPRODUCT((Calc!$A$2:$A$1001=A923)*Calc!$G$2:$G$1001*((((K923+N923)-(L923+Calc!$J$2:$J$1001))&gt;0)*(((K923+N923)-(L923+Calc!$J$2:$J$1001))&lt;Calc!$F$2:$F$1001)*((K923+N923)-(L923+Calc!$J$2:$J$1001))+(((K923+N923)-(L923+Calc!$J$2:$J$1001))&gt;=Calc!$F$2:$F$1001)*Calc!$F$2:$F$1001))))</f>
        <v/>
      </c>
      <c r="S923">
        <f>IF(I923=0,0,(MIN(MAX((K923+O923),0),L923)*W923+SUMPRODUCT((Calc!$A$2:$A$1001=A923)*Calc!$G$2:$G$1001*((((K923+O923)-(L923+Calc!$J$2:$J$1001))&gt;0)*(((K923+O923)-(L923+Calc!$J$2:$J$1001))&lt;Calc!$F$2:$F$1001)*((K923+O923)-(L923+Calc!$J$2:$J$1001))+(((K923+O923)-(L923+Calc!$J$2:$J$1001))&gt;=Calc!$F$2:$F$1001)*Calc!$F$2:$F$1001))))</f>
        <v/>
      </c>
      <c r="T923">
        <f>IF(AND(E923=1,B923="RETURN"),Transactions!E923*Transactions!G923,0)</f>
        <v/>
      </c>
      <c r="U923">
        <f>IF(AND(E923=1,B923="EXPENSE"),Transactions!J923,0)</f>
        <v/>
      </c>
      <c r="V923">
        <f>IF(AND(Transactions!A923&lt;&gt;"",E923=0),ROW(),"")</f>
        <v/>
      </c>
      <c r="W923">
        <f>IFERROR(VLOOKUP(A923,Opening!$A:$D,4,0),0)</f>
        <v/>
      </c>
    </row>
    <row r="924">
      <c r="A924">
        <f>IF(Transactions!D924="","",UPPER(TRIM(Transactions!D924)))</f>
        <v/>
      </c>
      <c r="B924">
        <f>IF(Transactions!C924="","",UPPER(TRIM(Transactions!C924)))</f>
        <v/>
      </c>
      <c r="C924">
        <f>IF(Transactions!B924="",0,YEAR(Transactions!B924)*100+MONTH(Transactions!B924))</f>
        <v/>
      </c>
      <c r="D924">
        <f>IF(Transactions!A924="",1,IF(COUNTIF(Transactions!$A$1:A923,Transactions!A924)&gt;0,1,0))</f>
        <v/>
      </c>
      <c r="E924">
        <f>IF(D924=1,0,IF(B924="RETURN",IF(COUNTIFS($A$1:A923,A924,$B$1:B923,"SALE",$E$1:E923,1)&gt;0,1,0),1))</f>
        <v/>
      </c>
      <c r="F924">
        <f>IF(E924=1,IF(B924="RECEIPT",Transactions!E924,IF(AND(B924="RETURN",LOWER(TRIM(Transactions!H924))="resellable"),Transactions!E924,0)),0)</f>
        <v/>
      </c>
      <c r="G924">
        <f>IF(F924&gt;0,IF(B924="RECEIPT",Transactions!F924,IF(_xlfn.MAXIFS($H$2:H924,$A$2:A924,A924)&gt;0,INDEX(Transactions!$F:$F,_xlfn.MAXIFS($H$2:H924,$A$2:A924,A924)),W924)),0)</f>
        <v/>
      </c>
      <c r="H924">
        <f>IF(AND(E924=1,B924="RECEIPT"),ROW(),0)</f>
        <v/>
      </c>
      <c r="I924">
        <f>IF(E924=1,IF(OR(B924="SALE",B924="WRITEOFF"),Transactions!E924,0),0)</f>
        <v/>
      </c>
      <c r="J924">
        <f>SUMIFS($F$1:F923,$A$1:A923,A924)</f>
        <v/>
      </c>
      <c r="K924">
        <f>SUMIFS($I$1:I923,$A$1:A923,A924)</f>
        <v/>
      </c>
      <c r="L924">
        <f>IFERROR(VLOOKUP(A924,Opening!$A:$C,3,0),0)</f>
        <v/>
      </c>
      <c r="M924">
        <f>IF(I924=0,0,MAX(0,MIN(INDEX(Month!H$2:H$13,MATCH($A924,Month!$A$2:$A$13,0))-K924,I924)))</f>
        <v/>
      </c>
      <c r="N924">
        <f>IF(I924=0,0,MAX(0,MIN(INDEX(Month!I$2:I$13,MATCH($A924,Month!$A$2:$A$13,0))-K924,I924)))</f>
        <v/>
      </c>
      <c r="O924">
        <f>IF(I924=0,0,MAX(0,MIN(INDEX(Month!J$2:J$13,MATCH($A924,Month!$A$2:$A$13,0))-K924,I924)))</f>
        <v/>
      </c>
      <c r="P924">
        <f>IF(I924=0,0,(MIN(MAX(K924,0),L924)*W924+SUMPRODUCT((Calc!$A$2:$A$1001=A924)*Calc!$G$2:$G$1001*(((K924-(L924+Calc!$J$2:$J$1001))&gt;0)*((K924-(L924+Calc!$J$2:$J$1001))&lt;Calc!$F$2:$F$1001)*(K924-(L924+Calc!$J$2:$J$1001))+((K924-(L924+Calc!$J$2:$J$1001))&gt;=Calc!$F$2:$F$1001)*Calc!$F$2:$F$1001))))</f>
        <v/>
      </c>
      <c r="Q924">
        <f>IF(I924=0,0,(MIN(MAX((K924+M924),0),L924)*W924+SUMPRODUCT((Calc!$A$2:$A$1001=A924)*Calc!$G$2:$G$1001*((((K924+M924)-(L924+Calc!$J$2:$J$1001))&gt;0)*(((K924+M924)-(L924+Calc!$J$2:$J$1001))&lt;Calc!$F$2:$F$1001)*((K924+M924)-(L924+Calc!$J$2:$J$1001))+(((K924+M924)-(L924+Calc!$J$2:$J$1001))&gt;=Calc!$F$2:$F$1001)*Calc!$F$2:$F$1001))))</f>
        <v/>
      </c>
      <c r="R924">
        <f>IF(I924=0,0,(MIN(MAX((K924+N924),0),L924)*W924+SUMPRODUCT((Calc!$A$2:$A$1001=A924)*Calc!$G$2:$G$1001*((((K924+N924)-(L924+Calc!$J$2:$J$1001))&gt;0)*(((K924+N924)-(L924+Calc!$J$2:$J$1001))&lt;Calc!$F$2:$F$1001)*((K924+N924)-(L924+Calc!$J$2:$J$1001))+(((K924+N924)-(L924+Calc!$J$2:$J$1001))&gt;=Calc!$F$2:$F$1001)*Calc!$F$2:$F$1001))))</f>
        <v/>
      </c>
      <c r="S924">
        <f>IF(I924=0,0,(MIN(MAX((K924+O924),0),L924)*W924+SUMPRODUCT((Calc!$A$2:$A$1001=A924)*Calc!$G$2:$G$1001*((((K924+O924)-(L924+Calc!$J$2:$J$1001))&gt;0)*(((K924+O924)-(L924+Calc!$J$2:$J$1001))&lt;Calc!$F$2:$F$1001)*((K924+O924)-(L924+Calc!$J$2:$J$1001))+(((K924+O924)-(L924+Calc!$J$2:$J$1001))&gt;=Calc!$F$2:$F$1001)*Calc!$F$2:$F$1001))))</f>
        <v/>
      </c>
      <c r="T924">
        <f>IF(AND(E924=1,B924="RETURN"),Transactions!E924*Transactions!G924,0)</f>
        <v/>
      </c>
      <c r="U924">
        <f>IF(AND(E924=1,B924="EXPENSE"),Transactions!J924,0)</f>
        <v/>
      </c>
      <c r="V924">
        <f>IF(AND(Transactions!A924&lt;&gt;"",E924=0),ROW(),"")</f>
        <v/>
      </c>
      <c r="W924">
        <f>IFERROR(VLOOKUP(A924,Opening!$A:$D,4,0),0)</f>
        <v/>
      </c>
    </row>
    <row r="925">
      <c r="A925">
        <f>IF(Transactions!D925="","",UPPER(TRIM(Transactions!D925)))</f>
        <v/>
      </c>
      <c r="B925">
        <f>IF(Transactions!C925="","",UPPER(TRIM(Transactions!C925)))</f>
        <v/>
      </c>
      <c r="C925">
        <f>IF(Transactions!B925="",0,YEAR(Transactions!B925)*100+MONTH(Transactions!B925))</f>
        <v/>
      </c>
      <c r="D925">
        <f>IF(Transactions!A925="",1,IF(COUNTIF(Transactions!$A$1:A924,Transactions!A925)&gt;0,1,0))</f>
        <v/>
      </c>
      <c r="E925">
        <f>IF(D925=1,0,IF(B925="RETURN",IF(COUNTIFS($A$1:A924,A925,$B$1:B924,"SALE",$E$1:E924,1)&gt;0,1,0),1))</f>
        <v/>
      </c>
      <c r="F925">
        <f>IF(E925=1,IF(B925="RECEIPT",Transactions!E925,IF(AND(B925="RETURN",LOWER(TRIM(Transactions!H925))="resellable"),Transactions!E925,0)),0)</f>
        <v/>
      </c>
      <c r="G925">
        <f>IF(F925&gt;0,IF(B925="RECEIPT",Transactions!F925,IF(_xlfn.MAXIFS($H$2:H925,$A$2:A925,A925)&gt;0,INDEX(Transactions!$F:$F,_xlfn.MAXIFS($H$2:H925,$A$2:A925,A925)),W925)),0)</f>
        <v/>
      </c>
      <c r="H925">
        <f>IF(AND(E925=1,B925="RECEIPT"),ROW(),0)</f>
        <v/>
      </c>
      <c r="I925">
        <f>IF(E925=1,IF(OR(B925="SALE",B925="WRITEOFF"),Transactions!E925,0),0)</f>
        <v/>
      </c>
      <c r="J925">
        <f>SUMIFS($F$1:F924,$A$1:A924,A925)</f>
        <v/>
      </c>
      <c r="K925">
        <f>SUMIFS($I$1:I924,$A$1:A924,A925)</f>
        <v/>
      </c>
      <c r="L925">
        <f>IFERROR(VLOOKUP(A925,Opening!$A:$C,3,0),0)</f>
        <v/>
      </c>
      <c r="M925">
        <f>IF(I925=0,0,MAX(0,MIN(INDEX(Month!H$2:H$13,MATCH($A925,Month!$A$2:$A$13,0))-K925,I925)))</f>
        <v/>
      </c>
      <c r="N925">
        <f>IF(I925=0,0,MAX(0,MIN(INDEX(Month!I$2:I$13,MATCH($A925,Month!$A$2:$A$13,0))-K925,I925)))</f>
        <v/>
      </c>
      <c r="O925">
        <f>IF(I925=0,0,MAX(0,MIN(INDEX(Month!J$2:J$13,MATCH($A925,Month!$A$2:$A$13,0))-K925,I925)))</f>
        <v/>
      </c>
      <c r="P925">
        <f>IF(I925=0,0,(MIN(MAX(K925,0),L925)*W925+SUMPRODUCT((Calc!$A$2:$A$1001=A925)*Calc!$G$2:$G$1001*(((K925-(L925+Calc!$J$2:$J$1001))&gt;0)*((K925-(L925+Calc!$J$2:$J$1001))&lt;Calc!$F$2:$F$1001)*(K925-(L925+Calc!$J$2:$J$1001))+((K925-(L925+Calc!$J$2:$J$1001))&gt;=Calc!$F$2:$F$1001)*Calc!$F$2:$F$1001))))</f>
        <v/>
      </c>
      <c r="Q925">
        <f>IF(I925=0,0,(MIN(MAX((K925+M925),0),L925)*W925+SUMPRODUCT((Calc!$A$2:$A$1001=A925)*Calc!$G$2:$G$1001*((((K925+M925)-(L925+Calc!$J$2:$J$1001))&gt;0)*(((K925+M925)-(L925+Calc!$J$2:$J$1001))&lt;Calc!$F$2:$F$1001)*((K925+M925)-(L925+Calc!$J$2:$J$1001))+(((K925+M925)-(L925+Calc!$J$2:$J$1001))&gt;=Calc!$F$2:$F$1001)*Calc!$F$2:$F$1001))))</f>
        <v/>
      </c>
      <c r="R925">
        <f>IF(I925=0,0,(MIN(MAX((K925+N925),0),L925)*W925+SUMPRODUCT((Calc!$A$2:$A$1001=A925)*Calc!$G$2:$G$1001*((((K925+N925)-(L925+Calc!$J$2:$J$1001))&gt;0)*(((K925+N925)-(L925+Calc!$J$2:$J$1001))&lt;Calc!$F$2:$F$1001)*((K925+N925)-(L925+Calc!$J$2:$J$1001))+(((K925+N925)-(L925+Calc!$J$2:$J$1001))&gt;=Calc!$F$2:$F$1001)*Calc!$F$2:$F$1001))))</f>
        <v/>
      </c>
      <c r="S925">
        <f>IF(I925=0,0,(MIN(MAX((K925+O925),0),L925)*W925+SUMPRODUCT((Calc!$A$2:$A$1001=A925)*Calc!$G$2:$G$1001*((((K925+O925)-(L925+Calc!$J$2:$J$1001))&gt;0)*(((K925+O925)-(L925+Calc!$J$2:$J$1001))&lt;Calc!$F$2:$F$1001)*((K925+O925)-(L925+Calc!$J$2:$J$1001))+(((K925+O925)-(L925+Calc!$J$2:$J$1001))&gt;=Calc!$F$2:$F$1001)*Calc!$F$2:$F$1001))))</f>
        <v/>
      </c>
      <c r="T925">
        <f>IF(AND(E925=1,B925="RETURN"),Transactions!E925*Transactions!G925,0)</f>
        <v/>
      </c>
      <c r="U925">
        <f>IF(AND(E925=1,B925="EXPENSE"),Transactions!J925,0)</f>
        <v/>
      </c>
      <c r="V925">
        <f>IF(AND(Transactions!A925&lt;&gt;"",E925=0),ROW(),"")</f>
        <v/>
      </c>
      <c r="W925">
        <f>IFERROR(VLOOKUP(A925,Opening!$A:$D,4,0),0)</f>
        <v/>
      </c>
    </row>
    <row r="926">
      <c r="A926">
        <f>IF(Transactions!D926="","",UPPER(TRIM(Transactions!D926)))</f>
        <v/>
      </c>
      <c r="B926">
        <f>IF(Transactions!C926="","",UPPER(TRIM(Transactions!C926)))</f>
        <v/>
      </c>
      <c r="C926">
        <f>IF(Transactions!B926="",0,YEAR(Transactions!B926)*100+MONTH(Transactions!B926))</f>
        <v/>
      </c>
      <c r="D926">
        <f>IF(Transactions!A926="",1,IF(COUNTIF(Transactions!$A$1:A925,Transactions!A926)&gt;0,1,0))</f>
        <v/>
      </c>
      <c r="E926">
        <f>IF(D926=1,0,IF(B926="RETURN",IF(COUNTIFS($A$1:A925,A926,$B$1:B925,"SALE",$E$1:E925,1)&gt;0,1,0),1))</f>
        <v/>
      </c>
      <c r="F926">
        <f>IF(E926=1,IF(B926="RECEIPT",Transactions!E926,IF(AND(B926="RETURN",LOWER(TRIM(Transactions!H926))="resellable"),Transactions!E926,0)),0)</f>
        <v/>
      </c>
      <c r="G926">
        <f>IF(F926&gt;0,IF(B926="RECEIPT",Transactions!F926,IF(_xlfn.MAXIFS($H$2:H926,$A$2:A926,A926)&gt;0,INDEX(Transactions!$F:$F,_xlfn.MAXIFS($H$2:H926,$A$2:A926,A926)),W926)),0)</f>
        <v/>
      </c>
      <c r="H926">
        <f>IF(AND(E926=1,B926="RECEIPT"),ROW(),0)</f>
        <v/>
      </c>
      <c r="I926">
        <f>IF(E926=1,IF(OR(B926="SALE",B926="WRITEOFF"),Transactions!E926,0),0)</f>
        <v/>
      </c>
      <c r="J926">
        <f>SUMIFS($F$1:F925,$A$1:A925,A926)</f>
        <v/>
      </c>
      <c r="K926">
        <f>SUMIFS($I$1:I925,$A$1:A925,A926)</f>
        <v/>
      </c>
      <c r="L926">
        <f>IFERROR(VLOOKUP(A926,Opening!$A:$C,3,0),0)</f>
        <v/>
      </c>
      <c r="M926">
        <f>IF(I926=0,0,MAX(0,MIN(INDEX(Month!H$2:H$13,MATCH($A926,Month!$A$2:$A$13,0))-K926,I926)))</f>
        <v/>
      </c>
      <c r="N926">
        <f>IF(I926=0,0,MAX(0,MIN(INDEX(Month!I$2:I$13,MATCH($A926,Month!$A$2:$A$13,0))-K926,I926)))</f>
        <v/>
      </c>
      <c r="O926">
        <f>IF(I926=0,0,MAX(0,MIN(INDEX(Month!J$2:J$13,MATCH($A926,Month!$A$2:$A$13,0))-K926,I926)))</f>
        <v/>
      </c>
      <c r="P926">
        <f>IF(I926=0,0,(MIN(MAX(K926,0),L926)*W926+SUMPRODUCT((Calc!$A$2:$A$1001=A926)*Calc!$G$2:$G$1001*(((K926-(L926+Calc!$J$2:$J$1001))&gt;0)*((K926-(L926+Calc!$J$2:$J$1001))&lt;Calc!$F$2:$F$1001)*(K926-(L926+Calc!$J$2:$J$1001))+((K926-(L926+Calc!$J$2:$J$1001))&gt;=Calc!$F$2:$F$1001)*Calc!$F$2:$F$1001))))</f>
        <v/>
      </c>
      <c r="Q926">
        <f>IF(I926=0,0,(MIN(MAX((K926+M926),0),L926)*W926+SUMPRODUCT((Calc!$A$2:$A$1001=A926)*Calc!$G$2:$G$1001*((((K926+M926)-(L926+Calc!$J$2:$J$1001))&gt;0)*(((K926+M926)-(L926+Calc!$J$2:$J$1001))&lt;Calc!$F$2:$F$1001)*((K926+M926)-(L926+Calc!$J$2:$J$1001))+(((K926+M926)-(L926+Calc!$J$2:$J$1001))&gt;=Calc!$F$2:$F$1001)*Calc!$F$2:$F$1001))))</f>
        <v/>
      </c>
      <c r="R926">
        <f>IF(I926=0,0,(MIN(MAX((K926+N926),0),L926)*W926+SUMPRODUCT((Calc!$A$2:$A$1001=A926)*Calc!$G$2:$G$1001*((((K926+N926)-(L926+Calc!$J$2:$J$1001))&gt;0)*(((K926+N926)-(L926+Calc!$J$2:$J$1001))&lt;Calc!$F$2:$F$1001)*((K926+N926)-(L926+Calc!$J$2:$J$1001))+(((K926+N926)-(L926+Calc!$J$2:$J$1001))&gt;=Calc!$F$2:$F$1001)*Calc!$F$2:$F$1001))))</f>
        <v/>
      </c>
      <c r="S926">
        <f>IF(I926=0,0,(MIN(MAX((K926+O926),0),L926)*W926+SUMPRODUCT((Calc!$A$2:$A$1001=A926)*Calc!$G$2:$G$1001*((((K926+O926)-(L926+Calc!$J$2:$J$1001))&gt;0)*(((K926+O926)-(L926+Calc!$J$2:$J$1001))&lt;Calc!$F$2:$F$1001)*((K926+O926)-(L926+Calc!$J$2:$J$1001))+(((K926+O926)-(L926+Calc!$J$2:$J$1001))&gt;=Calc!$F$2:$F$1001)*Calc!$F$2:$F$1001))))</f>
        <v/>
      </c>
      <c r="T926">
        <f>IF(AND(E926=1,B926="RETURN"),Transactions!E926*Transactions!G926,0)</f>
        <v/>
      </c>
      <c r="U926">
        <f>IF(AND(E926=1,B926="EXPENSE"),Transactions!J926,0)</f>
        <v/>
      </c>
      <c r="V926">
        <f>IF(AND(Transactions!A926&lt;&gt;"",E926=0),ROW(),"")</f>
        <v/>
      </c>
      <c r="W926">
        <f>IFERROR(VLOOKUP(A926,Opening!$A:$D,4,0),0)</f>
        <v/>
      </c>
    </row>
    <row r="927">
      <c r="A927">
        <f>IF(Transactions!D927="","",UPPER(TRIM(Transactions!D927)))</f>
        <v/>
      </c>
      <c r="B927">
        <f>IF(Transactions!C927="","",UPPER(TRIM(Transactions!C927)))</f>
        <v/>
      </c>
      <c r="C927">
        <f>IF(Transactions!B927="",0,YEAR(Transactions!B927)*100+MONTH(Transactions!B927))</f>
        <v/>
      </c>
      <c r="D927">
        <f>IF(Transactions!A927="",1,IF(COUNTIF(Transactions!$A$1:A926,Transactions!A927)&gt;0,1,0))</f>
        <v/>
      </c>
      <c r="E927">
        <f>IF(D927=1,0,IF(B927="RETURN",IF(COUNTIFS($A$1:A926,A927,$B$1:B926,"SALE",$E$1:E926,1)&gt;0,1,0),1))</f>
        <v/>
      </c>
      <c r="F927">
        <f>IF(E927=1,IF(B927="RECEIPT",Transactions!E927,IF(AND(B927="RETURN",LOWER(TRIM(Transactions!H927))="resellable"),Transactions!E927,0)),0)</f>
        <v/>
      </c>
      <c r="G927">
        <f>IF(F927&gt;0,IF(B927="RECEIPT",Transactions!F927,IF(_xlfn.MAXIFS($H$2:H927,$A$2:A927,A927)&gt;0,INDEX(Transactions!$F:$F,_xlfn.MAXIFS($H$2:H927,$A$2:A927,A927)),W927)),0)</f>
        <v/>
      </c>
      <c r="H927">
        <f>IF(AND(E927=1,B927="RECEIPT"),ROW(),0)</f>
        <v/>
      </c>
      <c r="I927">
        <f>IF(E927=1,IF(OR(B927="SALE",B927="WRITEOFF"),Transactions!E927,0),0)</f>
        <v/>
      </c>
      <c r="J927">
        <f>SUMIFS($F$1:F926,$A$1:A926,A927)</f>
        <v/>
      </c>
      <c r="K927">
        <f>SUMIFS($I$1:I926,$A$1:A926,A927)</f>
        <v/>
      </c>
      <c r="L927">
        <f>IFERROR(VLOOKUP(A927,Opening!$A:$C,3,0),0)</f>
        <v/>
      </c>
      <c r="M927">
        <f>IF(I927=0,0,MAX(0,MIN(INDEX(Month!H$2:H$13,MATCH($A927,Month!$A$2:$A$13,0))-K927,I927)))</f>
        <v/>
      </c>
      <c r="N927">
        <f>IF(I927=0,0,MAX(0,MIN(INDEX(Month!I$2:I$13,MATCH($A927,Month!$A$2:$A$13,0))-K927,I927)))</f>
        <v/>
      </c>
      <c r="O927">
        <f>IF(I927=0,0,MAX(0,MIN(INDEX(Month!J$2:J$13,MATCH($A927,Month!$A$2:$A$13,0))-K927,I927)))</f>
        <v/>
      </c>
      <c r="P927">
        <f>IF(I927=0,0,(MIN(MAX(K927,0),L927)*W927+SUMPRODUCT((Calc!$A$2:$A$1001=A927)*Calc!$G$2:$G$1001*(((K927-(L927+Calc!$J$2:$J$1001))&gt;0)*((K927-(L927+Calc!$J$2:$J$1001))&lt;Calc!$F$2:$F$1001)*(K927-(L927+Calc!$J$2:$J$1001))+((K927-(L927+Calc!$J$2:$J$1001))&gt;=Calc!$F$2:$F$1001)*Calc!$F$2:$F$1001))))</f>
        <v/>
      </c>
      <c r="Q927">
        <f>IF(I927=0,0,(MIN(MAX((K927+M927),0),L927)*W927+SUMPRODUCT((Calc!$A$2:$A$1001=A927)*Calc!$G$2:$G$1001*((((K927+M927)-(L927+Calc!$J$2:$J$1001))&gt;0)*(((K927+M927)-(L927+Calc!$J$2:$J$1001))&lt;Calc!$F$2:$F$1001)*((K927+M927)-(L927+Calc!$J$2:$J$1001))+(((K927+M927)-(L927+Calc!$J$2:$J$1001))&gt;=Calc!$F$2:$F$1001)*Calc!$F$2:$F$1001))))</f>
        <v/>
      </c>
      <c r="R927">
        <f>IF(I927=0,0,(MIN(MAX((K927+N927),0),L927)*W927+SUMPRODUCT((Calc!$A$2:$A$1001=A927)*Calc!$G$2:$G$1001*((((K927+N927)-(L927+Calc!$J$2:$J$1001))&gt;0)*(((K927+N927)-(L927+Calc!$J$2:$J$1001))&lt;Calc!$F$2:$F$1001)*((K927+N927)-(L927+Calc!$J$2:$J$1001))+(((K927+N927)-(L927+Calc!$J$2:$J$1001))&gt;=Calc!$F$2:$F$1001)*Calc!$F$2:$F$1001))))</f>
        <v/>
      </c>
      <c r="S927">
        <f>IF(I927=0,0,(MIN(MAX((K927+O927),0),L927)*W927+SUMPRODUCT((Calc!$A$2:$A$1001=A927)*Calc!$G$2:$G$1001*((((K927+O927)-(L927+Calc!$J$2:$J$1001))&gt;0)*(((K927+O927)-(L927+Calc!$J$2:$J$1001))&lt;Calc!$F$2:$F$1001)*((K927+O927)-(L927+Calc!$J$2:$J$1001))+(((K927+O927)-(L927+Calc!$J$2:$J$1001))&gt;=Calc!$F$2:$F$1001)*Calc!$F$2:$F$1001))))</f>
        <v/>
      </c>
      <c r="T927">
        <f>IF(AND(E927=1,B927="RETURN"),Transactions!E927*Transactions!G927,0)</f>
        <v/>
      </c>
      <c r="U927">
        <f>IF(AND(E927=1,B927="EXPENSE"),Transactions!J927,0)</f>
        <v/>
      </c>
      <c r="V927">
        <f>IF(AND(Transactions!A927&lt;&gt;"",E927=0),ROW(),"")</f>
        <v/>
      </c>
      <c r="W927">
        <f>IFERROR(VLOOKUP(A927,Opening!$A:$D,4,0),0)</f>
        <v/>
      </c>
    </row>
    <row r="928">
      <c r="A928">
        <f>IF(Transactions!D928="","",UPPER(TRIM(Transactions!D928)))</f>
        <v/>
      </c>
      <c r="B928">
        <f>IF(Transactions!C928="","",UPPER(TRIM(Transactions!C928)))</f>
        <v/>
      </c>
      <c r="C928">
        <f>IF(Transactions!B928="",0,YEAR(Transactions!B928)*100+MONTH(Transactions!B928))</f>
        <v/>
      </c>
      <c r="D928">
        <f>IF(Transactions!A928="",1,IF(COUNTIF(Transactions!$A$1:A927,Transactions!A928)&gt;0,1,0))</f>
        <v/>
      </c>
      <c r="E928">
        <f>IF(D928=1,0,IF(B928="RETURN",IF(COUNTIFS($A$1:A927,A928,$B$1:B927,"SALE",$E$1:E927,1)&gt;0,1,0),1))</f>
        <v/>
      </c>
      <c r="F928">
        <f>IF(E928=1,IF(B928="RECEIPT",Transactions!E928,IF(AND(B928="RETURN",LOWER(TRIM(Transactions!H928))="resellable"),Transactions!E928,0)),0)</f>
        <v/>
      </c>
      <c r="G928">
        <f>IF(F928&gt;0,IF(B928="RECEIPT",Transactions!F928,IF(_xlfn.MAXIFS($H$2:H928,$A$2:A928,A928)&gt;0,INDEX(Transactions!$F:$F,_xlfn.MAXIFS($H$2:H928,$A$2:A928,A928)),W928)),0)</f>
        <v/>
      </c>
      <c r="H928">
        <f>IF(AND(E928=1,B928="RECEIPT"),ROW(),0)</f>
        <v/>
      </c>
      <c r="I928">
        <f>IF(E928=1,IF(OR(B928="SALE",B928="WRITEOFF"),Transactions!E928,0),0)</f>
        <v/>
      </c>
      <c r="J928">
        <f>SUMIFS($F$1:F927,$A$1:A927,A928)</f>
        <v/>
      </c>
      <c r="K928">
        <f>SUMIFS($I$1:I927,$A$1:A927,A928)</f>
        <v/>
      </c>
      <c r="L928">
        <f>IFERROR(VLOOKUP(A928,Opening!$A:$C,3,0),0)</f>
        <v/>
      </c>
      <c r="M928">
        <f>IF(I928=0,0,MAX(0,MIN(INDEX(Month!H$2:H$13,MATCH($A928,Month!$A$2:$A$13,0))-K928,I928)))</f>
        <v/>
      </c>
      <c r="N928">
        <f>IF(I928=0,0,MAX(0,MIN(INDEX(Month!I$2:I$13,MATCH($A928,Month!$A$2:$A$13,0))-K928,I928)))</f>
        <v/>
      </c>
      <c r="O928">
        <f>IF(I928=0,0,MAX(0,MIN(INDEX(Month!J$2:J$13,MATCH($A928,Month!$A$2:$A$13,0))-K928,I928)))</f>
        <v/>
      </c>
      <c r="P928">
        <f>IF(I928=0,0,(MIN(MAX(K928,0),L928)*W928+SUMPRODUCT((Calc!$A$2:$A$1001=A928)*Calc!$G$2:$G$1001*(((K928-(L928+Calc!$J$2:$J$1001))&gt;0)*((K928-(L928+Calc!$J$2:$J$1001))&lt;Calc!$F$2:$F$1001)*(K928-(L928+Calc!$J$2:$J$1001))+((K928-(L928+Calc!$J$2:$J$1001))&gt;=Calc!$F$2:$F$1001)*Calc!$F$2:$F$1001))))</f>
        <v/>
      </c>
      <c r="Q928">
        <f>IF(I928=0,0,(MIN(MAX((K928+M928),0),L928)*W928+SUMPRODUCT((Calc!$A$2:$A$1001=A928)*Calc!$G$2:$G$1001*((((K928+M928)-(L928+Calc!$J$2:$J$1001))&gt;0)*(((K928+M928)-(L928+Calc!$J$2:$J$1001))&lt;Calc!$F$2:$F$1001)*((K928+M928)-(L928+Calc!$J$2:$J$1001))+(((K928+M928)-(L928+Calc!$J$2:$J$1001))&gt;=Calc!$F$2:$F$1001)*Calc!$F$2:$F$1001))))</f>
        <v/>
      </c>
      <c r="R928">
        <f>IF(I928=0,0,(MIN(MAX((K928+N928),0),L928)*W928+SUMPRODUCT((Calc!$A$2:$A$1001=A928)*Calc!$G$2:$G$1001*((((K928+N928)-(L928+Calc!$J$2:$J$1001))&gt;0)*(((K928+N928)-(L928+Calc!$J$2:$J$1001))&lt;Calc!$F$2:$F$1001)*((K928+N928)-(L928+Calc!$J$2:$J$1001))+(((K928+N928)-(L928+Calc!$J$2:$J$1001))&gt;=Calc!$F$2:$F$1001)*Calc!$F$2:$F$1001))))</f>
        <v/>
      </c>
      <c r="S928">
        <f>IF(I928=0,0,(MIN(MAX((K928+O928),0),L928)*W928+SUMPRODUCT((Calc!$A$2:$A$1001=A928)*Calc!$G$2:$G$1001*((((K928+O928)-(L928+Calc!$J$2:$J$1001))&gt;0)*(((K928+O928)-(L928+Calc!$J$2:$J$1001))&lt;Calc!$F$2:$F$1001)*((K928+O928)-(L928+Calc!$J$2:$J$1001))+(((K928+O928)-(L928+Calc!$J$2:$J$1001))&gt;=Calc!$F$2:$F$1001)*Calc!$F$2:$F$1001))))</f>
        <v/>
      </c>
      <c r="T928">
        <f>IF(AND(E928=1,B928="RETURN"),Transactions!E928*Transactions!G928,0)</f>
        <v/>
      </c>
      <c r="U928">
        <f>IF(AND(E928=1,B928="EXPENSE"),Transactions!J928,0)</f>
        <v/>
      </c>
      <c r="V928">
        <f>IF(AND(Transactions!A928&lt;&gt;"",E928=0),ROW(),"")</f>
        <v/>
      </c>
      <c r="W928">
        <f>IFERROR(VLOOKUP(A928,Opening!$A:$D,4,0),0)</f>
        <v/>
      </c>
    </row>
    <row r="929">
      <c r="A929">
        <f>IF(Transactions!D929="","",UPPER(TRIM(Transactions!D929)))</f>
        <v/>
      </c>
      <c r="B929">
        <f>IF(Transactions!C929="","",UPPER(TRIM(Transactions!C929)))</f>
        <v/>
      </c>
      <c r="C929">
        <f>IF(Transactions!B929="",0,YEAR(Transactions!B929)*100+MONTH(Transactions!B929))</f>
        <v/>
      </c>
      <c r="D929">
        <f>IF(Transactions!A929="",1,IF(COUNTIF(Transactions!$A$1:A928,Transactions!A929)&gt;0,1,0))</f>
        <v/>
      </c>
      <c r="E929">
        <f>IF(D929=1,0,IF(B929="RETURN",IF(COUNTIFS($A$1:A928,A929,$B$1:B928,"SALE",$E$1:E928,1)&gt;0,1,0),1))</f>
        <v/>
      </c>
      <c r="F929">
        <f>IF(E929=1,IF(B929="RECEIPT",Transactions!E929,IF(AND(B929="RETURN",LOWER(TRIM(Transactions!H929))="resellable"),Transactions!E929,0)),0)</f>
        <v/>
      </c>
      <c r="G929">
        <f>IF(F929&gt;0,IF(B929="RECEIPT",Transactions!F929,IF(_xlfn.MAXIFS($H$2:H929,$A$2:A929,A929)&gt;0,INDEX(Transactions!$F:$F,_xlfn.MAXIFS($H$2:H929,$A$2:A929,A929)),W929)),0)</f>
        <v/>
      </c>
      <c r="H929">
        <f>IF(AND(E929=1,B929="RECEIPT"),ROW(),0)</f>
        <v/>
      </c>
      <c r="I929">
        <f>IF(E929=1,IF(OR(B929="SALE",B929="WRITEOFF"),Transactions!E929,0),0)</f>
        <v/>
      </c>
      <c r="J929">
        <f>SUMIFS($F$1:F928,$A$1:A928,A929)</f>
        <v/>
      </c>
      <c r="K929">
        <f>SUMIFS($I$1:I928,$A$1:A928,A929)</f>
        <v/>
      </c>
      <c r="L929">
        <f>IFERROR(VLOOKUP(A929,Opening!$A:$C,3,0),0)</f>
        <v/>
      </c>
      <c r="M929">
        <f>IF(I929=0,0,MAX(0,MIN(INDEX(Month!H$2:H$13,MATCH($A929,Month!$A$2:$A$13,0))-K929,I929)))</f>
        <v/>
      </c>
      <c r="N929">
        <f>IF(I929=0,0,MAX(0,MIN(INDEX(Month!I$2:I$13,MATCH($A929,Month!$A$2:$A$13,0))-K929,I929)))</f>
        <v/>
      </c>
      <c r="O929">
        <f>IF(I929=0,0,MAX(0,MIN(INDEX(Month!J$2:J$13,MATCH($A929,Month!$A$2:$A$13,0))-K929,I929)))</f>
        <v/>
      </c>
      <c r="P929">
        <f>IF(I929=0,0,(MIN(MAX(K929,0),L929)*W929+SUMPRODUCT((Calc!$A$2:$A$1001=A929)*Calc!$G$2:$G$1001*(((K929-(L929+Calc!$J$2:$J$1001))&gt;0)*((K929-(L929+Calc!$J$2:$J$1001))&lt;Calc!$F$2:$F$1001)*(K929-(L929+Calc!$J$2:$J$1001))+((K929-(L929+Calc!$J$2:$J$1001))&gt;=Calc!$F$2:$F$1001)*Calc!$F$2:$F$1001))))</f>
        <v/>
      </c>
      <c r="Q929">
        <f>IF(I929=0,0,(MIN(MAX((K929+M929),0),L929)*W929+SUMPRODUCT((Calc!$A$2:$A$1001=A929)*Calc!$G$2:$G$1001*((((K929+M929)-(L929+Calc!$J$2:$J$1001))&gt;0)*(((K929+M929)-(L929+Calc!$J$2:$J$1001))&lt;Calc!$F$2:$F$1001)*((K929+M929)-(L929+Calc!$J$2:$J$1001))+(((K929+M929)-(L929+Calc!$J$2:$J$1001))&gt;=Calc!$F$2:$F$1001)*Calc!$F$2:$F$1001))))</f>
        <v/>
      </c>
      <c r="R929">
        <f>IF(I929=0,0,(MIN(MAX((K929+N929),0),L929)*W929+SUMPRODUCT((Calc!$A$2:$A$1001=A929)*Calc!$G$2:$G$1001*((((K929+N929)-(L929+Calc!$J$2:$J$1001))&gt;0)*(((K929+N929)-(L929+Calc!$J$2:$J$1001))&lt;Calc!$F$2:$F$1001)*((K929+N929)-(L929+Calc!$J$2:$J$1001))+(((K929+N929)-(L929+Calc!$J$2:$J$1001))&gt;=Calc!$F$2:$F$1001)*Calc!$F$2:$F$1001))))</f>
        <v/>
      </c>
      <c r="S929">
        <f>IF(I929=0,0,(MIN(MAX((K929+O929),0),L929)*W929+SUMPRODUCT((Calc!$A$2:$A$1001=A929)*Calc!$G$2:$G$1001*((((K929+O929)-(L929+Calc!$J$2:$J$1001))&gt;0)*(((K929+O929)-(L929+Calc!$J$2:$J$1001))&lt;Calc!$F$2:$F$1001)*((K929+O929)-(L929+Calc!$J$2:$J$1001))+(((K929+O929)-(L929+Calc!$J$2:$J$1001))&gt;=Calc!$F$2:$F$1001)*Calc!$F$2:$F$1001))))</f>
        <v/>
      </c>
      <c r="T929">
        <f>IF(AND(E929=1,B929="RETURN"),Transactions!E929*Transactions!G929,0)</f>
        <v/>
      </c>
      <c r="U929">
        <f>IF(AND(E929=1,B929="EXPENSE"),Transactions!J929,0)</f>
        <v/>
      </c>
      <c r="V929">
        <f>IF(AND(Transactions!A929&lt;&gt;"",E929=0),ROW(),"")</f>
        <v/>
      </c>
      <c r="W929">
        <f>IFERROR(VLOOKUP(A929,Opening!$A:$D,4,0),0)</f>
        <v/>
      </c>
    </row>
    <row r="930">
      <c r="A930">
        <f>IF(Transactions!D930="","",UPPER(TRIM(Transactions!D930)))</f>
        <v/>
      </c>
      <c r="B930">
        <f>IF(Transactions!C930="","",UPPER(TRIM(Transactions!C930)))</f>
        <v/>
      </c>
      <c r="C930">
        <f>IF(Transactions!B930="",0,YEAR(Transactions!B930)*100+MONTH(Transactions!B930))</f>
        <v/>
      </c>
      <c r="D930">
        <f>IF(Transactions!A930="",1,IF(COUNTIF(Transactions!$A$1:A929,Transactions!A930)&gt;0,1,0))</f>
        <v/>
      </c>
      <c r="E930">
        <f>IF(D930=1,0,IF(B930="RETURN",IF(COUNTIFS($A$1:A929,A930,$B$1:B929,"SALE",$E$1:E929,1)&gt;0,1,0),1))</f>
        <v/>
      </c>
      <c r="F930">
        <f>IF(E930=1,IF(B930="RECEIPT",Transactions!E930,IF(AND(B930="RETURN",LOWER(TRIM(Transactions!H930))="resellable"),Transactions!E930,0)),0)</f>
        <v/>
      </c>
      <c r="G930">
        <f>IF(F930&gt;0,IF(B930="RECEIPT",Transactions!F930,IF(_xlfn.MAXIFS($H$2:H930,$A$2:A930,A930)&gt;0,INDEX(Transactions!$F:$F,_xlfn.MAXIFS($H$2:H930,$A$2:A930,A930)),W930)),0)</f>
        <v/>
      </c>
      <c r="H930">
        <f>IF(AND(E930=1,B930="RECEIPT"),ROW(),0)</f>
        <v/>
      </c>
      <c r="I930">
        <f>IF(E930=1,IF(OR(B930="SALE",B930="WRITEOFF"),Transactions!E930,0),0)</f>
        <v/>
      </c>
      <c r="J930">
        <f>SUMIFS($F$1:F929,$A$1:A929,A930)</f>
        <v/>
      </c>
      <c r="K930">
        <f>SUMIFS($I$1:I929,$A$1:A929,A930)</f>
        <v/>
      </c>
      <c r="L930">
        <f>IFERROR(VLOOKUP(A930,Opening!$A:$C,3,0),0)</f>
        <v/>
      </c>
      <c r="M930">
        <f>IF(I930=0,0,MAX(0,MIN(INDEX(Month!H$2:H$13,MATCH($A930,Month!$A$2:$A$13,0))-K930,I930)))</f>
        <v/>
      </c>
      <c r="N930">
        <f>IF(I930=0,0,MAX(0,MIN(INDEX(Month!I$2:I$13,MATCH($A930,Month!$A$2:$A$13,0))-K930,I930)))</f>
        <v/>
      </c>
      <c r="O930">
        <f>IF(I930=0,0,MAX(0,MIN(INDEX(Month!J$2:J$13,MATCH($A930,Month!$A$2:$A$13,0))-K930,I930)))</f>
        <v/>
      </c>
      <c r="P930">
        <f>IF(I930=0,0,(MIN(MAX(K930,0),L930)*W930+SUMPRODUCT((Calc!$A$2:$A$1001=A930)*Calc!$G$2:$G$1001*(((K930-(L930+Calc!$J$2:$J$1001))&gt;0)*((K930-(L930+Calc!$J$2:$J$1001))&lt;Calc!$F$2:$F$1001)*(K930-(L930+Calc!$J$2:$J$1001))+((K930-(L930+Calc!$J$2:$J$1001))&gt;=Calc!$F$2:$F$1001)*Calc!$F$2:$F$1001))))</f>
        <v/>
      </c>
      <c r="Q930">
        <f>IF(I930=0,0,(MIN(MAX((K930+M930),0),L930)*W930+SUMPRODUCT((Calc!$A$2:$A$1001=A930)*Calc!$G$2:$G$1001*((((K930+M930)-(L930+Calc!$J$2:$J$1001))&gt;0)*(((K930+M930)-(L930+Calc!$J$2:$J$1001))&lt;Calc!$F$2:$F$1001)*((K930+M930)-(L930+Calc!$J$2:$J$1001))+(((K930+M930)-(L930+Calc!$J$2:$J$1001))&gt;=Calc!$F$2:$F$1001)*Calc!$F$2:$F$1001))))</f>
        <v/>
      </c>
      <c r="R930">
        <f>IF(I930=0,0,(MIN(MAX((K930+N930),0),L930)*W930+SUMPRODUCT((Calc!$A$2:$A$1001=A930)*Calc!$G$2:$G$1001*((((K930+N930)-(L930+Calc!$J$2:$J$1001))&gt;0)*(((K930+N930)-(L930+Calc!$J$2:$J$1001))&lt;Calc!$F$2:$F$1001)*((K930+N930)-(L930+Calc!$J$2:$J$1001))+(((K930+N930)-(L930+Calc!$J$2:$J$1001))&gt;=Calc!$F$2:$F$1001)*Calc!$F$2:$F$1001))))</f>
        <v/>
      </c>
      <c r="S930">
        <f>IF(I930=0,0,(MIN(MAX((K930+O930),0),L930)*W930+SUMPRODUCT((Calc!$A$2:$A$1001=A930)*Calc!$G$2:$G$1001*((((K930+O930)-(L930+Calc!$J$2:$J$1001))&gt;0)*(((K930+O930)-(L930+Calc!$J$2:$J$1001))&lt;Calc!$F$2:$F$1001)*((K930+O930)-(L930+Calc!$J$2:$J$1001))+(((K930+O930)-(L930+Calc!$J$2:$J$1001))&gt;=Calc!$F$2:$F$1001)*Calc!$F$2:$F$1001))))</f>
        <v/>
      </c>
      <c r="T930">
        <f>IF(AND(E930=1,B930="RETURN"),Transactions!E930*Transactions!G930,0)</f>
        <v/>
      </c>
      <c r="U930">
        <f>IF(AND(E930=1,B930="EXPENSE"),Transactions!J930,0)</f>
        <v/>
      </c>
      <c r="V930">
        <f>IF(AND(Transactions!A930&lt;&gt;"",E930=0),ROW(),"")</f>
        <v/>
      </c>
      <c r="W930">
        <f>IFERROR(VLOOKUP(A930,Opening!$A:$D,4,0),0)</f>
        <v/>
      </c>
    </row>
    <row r="931">
      <c r="A931">
        <f>IF(Transactions!D931="","",UPPER(TRIM(Transactions!D931)))</f>
        <v/>
      </c>
      <c r="B931">
        <f>IF(Transactions!C931="","",UPPER(TRIM(Transactions!C931)))</f>
        <v/>
      </c>
      <c r="C931">
        <f>IF(Transactions!B931="",0,YEAR(Transactions!B931)*100+MONTH(Transactions!B931))</f>
        <v/>
      </c>
      <c r="D931">
        <f>IF(Transactions!A931="",1,IF(COUNTIF(Transactions!$A$1:A930,Transactions!A931)&gt;0,1,0))</f>
        <v/>
      </c>
      <c r="E931">
        <f>IF(D931=1,0,IF(B931="RETURN",IF(COUNTIFS($A$1:A930,A931,$B$1:B930,"SALE",$E$1:E930,1)&gt;0,1,0),1))</f>
        <v/>
      </c>
      <c r="F931">
        <f>IF(E931=1,IF(B931="RECEIPT",Transactions!E931,IF(AND(B931="RETURN",LOWER(TRIM(Transactions!H931))="resellable"),Transactions!E931,0)),0)</f>
        <v/>
      </c>
      <c r="G931">
        <f>IF(F931&gt;0,IF(B931="RECEIPT",Transactions!F931,IF(_xlfn.MAXIFS($H$2:H931,$A$2:A931,A931)&gt;0,INDEX(Transactions!$F:$F,_xlfn.MAXIFS($H$2:H931,$A$2:A931,A931)),W931)),0)</f>
        <v/>
      </c>
      <c r="H931">
        <f>IF(AND(E931=1,B931="RECEIPT"),ROW(),0)</f>
        <v/>
      </c>
      <c r="I931">
        <f>IF(E931=1,IF(OR(B931="SALE",B931="WRITEOFF"),Transactions!E931,0),0)</f>
        <v/>
      </c>
      <c r="J931">
        <f>SUMIFS($F$1:F930,$A$1:A930,A931)</f>
        <v/>
      </c>
      <c r="K931">
        <f>SUMIFS($I$1:I930,$A$1:A930,A931)</f>
        <v/>
      </c>
      <c r="L931">
        <f>IFERROR(VLOOKUP(A931,Opening!$A:$C,3,0),0)</f>
        <v/>
      </c>
      <c r="M931">
        <f>IF(I931=0,0,MAX(0,MIN(INDEX(Month!H$2:H$13,MATCH($A931,Month!$A$2:$A$13,0))-K931,I931)))</f>
        <v/>
      </c>
      <c r="N931">
        <f>IF(I931=0,0,MAX(0,MIN(INDEX(Month!I$2:I$13,MATCH($A931,Month!$A$2:$A$13,0))-K931,I931)))</f>
        <v/>
      </c>
      <c r="O931">
        <f>IF(I931=0,0,MAX(0,MIN(INDEX(Month!J$2:J$13,MATCH($A931,Month!$A$2:$A$13,0))-K931,I931)))</f>
        <v/>
      </c>
      <c r="P931">
        <f>IF(I931=0,0,(MIN(MAX(K931,0),L931)*W931+SUMPRODUCT((Calc!$A$2:$A$1001=A931)*Calc!$G$2:$G$1001*(((K931-(L931+Calc!$J$2:$J$1001))&gt;0)*((K931-(L931+Calc!$J$2:$J$1001))&lt;Calc!$F$2:$F$1001)*(K931-(L931+Calc!$J$2:$J$1001))+((K931-(L931+Calc!$J$2:$J$1001))&gt;=Calc!$F$2:$F$1001)*Calc!$F$2:$F$1001))))</f>
        <v/>
      </c>
      <c r="Q931">
        <f>IF(I931=0,0,(MIN(MAX((K931+M931),0),L931)*W931+SUMPRODUCT((Calc!$A$2:$A$1001=A931)*Calc!$G$2:$G$1001*((((K931+M931)-(L931+Calc!$J$2:$J$1001))&gt;0)*(((K931+M931)-(L931+Calc!$J$2:$J$1001))&lt;Calc!$F$2:$F$1001)*((K931+M931)-(L931+Calc!$J$2:$J$1001))+(((K931+M931)-(L931+Calc!$J$2:$J$1001))&gt;=Calc!$F$2:$F$1001)*Calc!$F$2:$F$1001))))</f>
        <v/>
      </c>
      <c r="R931">
        <f>IF(I931=0,0,(MIN(MAX((K931+N931),0),L931)*W931+SUMPRODUCT((Calc!$A$2:$A$1001=A931)*Calc!$G$2:$G$1001*((((K931+N931)-(L931+Calc!$J$2:$J$1001))&gt;0)*(((K931+N931)-(L931+Calc!$J$2:$J$1001))&lt;Calc!$F$2:$F$1001)*((K931+N931)-(L931+Calc!$J$2:$J$1001))+(((K931+N931)-(L931+Calc!$J$2:$J$1001))&gt;=Calc!$F$2:$F$1001)*Calc!$F$2:$F$1001))))</f>
        <v/>
      </c>
      <c r="S931">
        <f>IF(I931=0,0,(MIN(MAX((K931+O931),0),L931)*W931+SUMPRODUCT((Calc!$A$2:$A$1001=A931)*Calc!$G$2:$G$1001*((((K931+O931)-(L931+Calc!$J$2:$J$1001))&gt;0)*(((K931+O931)-(L931+Calc!$J$2:$J$1001))&lt;Calc!$F$2:$F$1001)*((K931+O931)-(L931+Calc!$J$2:$J$1001))+(((K931+O931)-(L931+Calc!$J$2:$J$1001))&gt;=Calc!$F$2:$F$1001)*Calc!$F$2:$F$1001))))</f>
        <v/>
      </c>
      <c r="T931">
        <f>IF(AND(E931=1,B931="RETURN"),Transactions!E931*Transactions!G931,0)</f>
        <v/>
      </c>
      <c r="U931">
        <f>IF(AND(E931=1,B931="EXPENSE"),Transactions!J931,0)</f>
        <v/>
      </c>
      <c r="V931">
        <f>IF(AND(Transactions!A931&lt;&gt;"",E931=0),ROW(),"")</f>
        <v/>
      </c>
      <c r="W931">
        <f>IFERROR(VLOOKUP(A931,Opening!$A:$D,4,0),0)</f>
        <v/>
      </c>
    </row>
    <row r="932">
      <c r="A932">
        <f>IF(Transactions!D932="","",UPPER(TRIM(Transactions!D932)))</f>
        <v/>
      </c>
      <c r="B932">
        <f>IF(Transactions!C932="","",UPPER(TRIM(Transactions!C932)))</f>
        <v/>
      </c>
      <c r="C932">
        <f>IF(Transactions!B932="",0,YEAR(Transactions!B932)*100+MONTH(Transactions!B932))</f>
        <v/>
      </c>
      <c r="D932">
        <f>IF(Transactions!A932="",1,IF(COUNTIF(Transactions!$A$1:A931,Transactions!A932)&gt;0,1,0))</f>
        <v/>
      </c>
      <c r="E932">
        <f>IF(D932=1,0,IF(B932="RETURN",IF(COUNTIFS($A$1:A931,A932,$B$1:B931,"SALE",$E$1:E931,1)&gt;0,1,0),1))</f>
        <v/>
      </c>
      <c r="F932">
        <f>IF(E932=1,IF(B932="RECEIPT",Transactions!E932,IF(AND(B932="RETURN",LOWER(TRIM(Transactions!H932))="resellable"),Transactions!E932,0)),0)</f>
        <v/>
      </c>
      <c r="G932">
        <f>IF(F932&gt;0,IF(B932="RECEIPT",Transactions!F932,IF(_xlfn.MAXIFS($H$2:H932,$A$2:A932,A932)&gt;0,INDEX(Transactions!$F:$F,_xlfn.MAXIFS($H$2:H932,$A$2:A932,A932)),W932)),0)</f>
        <v/>
      </c>
      <c r="H932">
        <f>IF(AND(E932=1,B932="RECEIPT"),ROW(),0)</f>
        <v/>
      </c>
      <c r="I932">
        <f>IF(E932=1,IF(OR(B932="SALE",B932="WRITEOFF"),Transactions!E932,0),0)</f>
        <v/>
      </c>
      <c r="J932">
        <f>SUMIFS($F$1:F931,$A$1:A931,A932)</f>
        <v/>
      </c>
      <c r="K932">
        <f>SUMIFS($I$1:I931,$A$1:A931,A932)</f>
        <v/>
      </c>
      <c r="L932">
        <f>IFERROR(VLOOKUP(A932,Opening!$A:$C,3,0),0)</f>
        <v/>
      </c>
      <c r="M932">
        <f>IF(I932=0,0,MAX(0,MIN(INDEX(Month!H$2:H$13,MATCH($A932,Month!$A$2:$A$13,0))-K932,I932)))</f>
        <v/>
      </c>
      <c r="N932">
        <f>IF(I932=0,0,MAX(0,MIN(INDEX(Month!I$2:I$13,MATCH($A932,Month!$A$2:$A$13,0))-K932,I932)))</f>
        <v/>
      </c>
      <c r="O932">
        <f>IF(I932=0,0,MAX(0,MIN(INDEX(Month!J$2:J$13,MATCH($A932,Month!$A$2:$A$13,0))-K932,I932)))</f>
        <v/>
      </c>
      <c r="P932">
        <f>IF(I932=0,0,(MIN(MAX(K932,0),L932)*W932+SUMPRODUCT((Calc!$A$2:$A$1001=A932)*Calc!$G$2:$G$1001*(((K932-(L932+Calc!$J$2:$J$1001))&gt;0)*((K932-(L932+Calc!$J$2:$J$1001))&lt;Calc!$F$2:$F$1001)*(K932-(L932+Calc!$J$2:$J$1001))+((K932-(L932+Calc!$J$2:$J$1001))&gt;=Calc!$F$2:$F$1001)*Calc!$F$2:$F$1001))))</f>
        <v/>
      </c>
      <c r="Q932">
        <f>IF(I932=0,0,(MIN(MAX((K932+M932),0),L932)*W932+SUMPRODUCT((Calc!$A$2:$A$1001=A932)*Calc!$G$2:$G$1001*((((K932+M932)-(L932+Calc!$J$2:$J$1001))&gt;0)*(((K932+M932)-(L932+Calc!$J$2:$J$1001))&lt;Calc!$F$2:$F$1001)*((K932+M932)-(L932+Calc!$J$2:$J$1001))+(((K932+M932)-(L932+Calc!$J$2:$J$1001))&gt;=Calc!$F$2:$F$1001)*Calc!$F$2:$F$1001))))</f>
        <v/>
      </c>
      <c r="R932">
        <f>IF(I932=0,0,(MIN(MAX((K932+N932),0),L932)*W932+SUMPRODUCT((Calc!$A$2:$A$1001=A932)*Calc!$G$2:$G$1001*((((K932+N932)-(L932+Calc!$J$2:$J$1001))&gt;0)*(((K932+N932)-(L932+Calc!$J$2:$J$1001))&lt;Calc!$F$2:$F$1001)*((K932+N932)-(L932+Calc!$J$2:$J$1001))+(((K932+N932)-(L932+Calc!$J$2:$J$1001))&gt;=Calc!$F$2:$F$1001)*Calc!$F$2:$F$1001))))</f>
        <v/>
      </c>
      <c r="S932">
        <f>IF(I932=0,0,(MIN(MAX((K932+O932),0),L932)*W932+SUMPRODUCT((Calc!$A$2:$A$1001=A932)*Calc!$G$2:$G$1001*((((K932+O932)-(L932+Calc!$J$2:$J$1001))&gt;0)*(((K932+O932)-(L932+Calc!$J$2:$J$1001))&lt;Calc!$F$2:$F$1001)*((K932+O932)-(L932+Calc!$J$2:$J$1001))+(((K932+O932)-(L932+Calc!$J$2:$J$1001))&gt;=Calc!$F$2:$F$1001)*Calc!$F$2:$F$1001))))</f>
        <v/>
      </c>
      <c r="T932">
        <f>IF(AND(E932=1,B932="RETURN"),Transactions!E932*Transactions!G932,0)</f>
        <v/>
      </c>
      <c r="U932">
        <f>IF(AND(E932=1,B932="EXPENSE"),Transactions!J932,0)</f>
        <v/>
      </c>
      <c r="V932">
        <f>IF(AND(Transactions!A932&lt;&gt;"",E932=0),ROW(),"")</f>
        <v/>
      </c>
      <c r="W932">
        <f>IFERROR(VLOOKUP(A932,Opening!$A:$D,4,0),0)</f>
        <v/>
      </c>
    </row>
    <row r="933">
      <c r="A933">
        <f>IF(Transactions!D933="","",UPPER(TRIM(Transactions!D933)))</f>
        <v/>
      </c>
      <c r="B933">
        <f>IF(Transactions!C933="","",UPPER(TRIM(Transactions!C933)))</f>
        <v/>
      </c>
      <c r="C933">
        <f>IF(Transactions!B933="",0,YEAR(Transactions!B933)*100+MONTH(Transactions!B933))</f>
        <v/>
      </c>
      <c r="D933">
        <f>IF(Transactions!A933="",1,IF(COUNTIF(Transactions!$A$1:A932,Transactions!A933)&gt;0,1,0))</f>
        <v/>
      </c>
      <c r="E933">
        <f>IF(D933=1,0,IF(B933="RETURN",IF(COUNTIFS($A$1:A932,A933,$B$1:B932,"SALE",$E$1:E932,1)&gt;0,1,0),1))</f>
        <v/>
      </c>
      <c r="F933">
        <f>IF(E933=1,IF(B933="RECEIPT",Transactions!E933,IF(AND(B933="RETURN",LOWER(TRIM(Transactions!H933))="resellable"),Transactions!E933,0)),0)</f>
        <v/>
      </c>
      <c r="G933">
        <f>IF(F933&gt;0,IF(B933="RECEIPT",Transactions!F933,IF(_xlfn.MAXIFS($H$2:H933,$A$2:A933,A933)&gt;0,INDEX(Transactions!$F:$F,_xlfn.MAXIFS($H$2:H933,$A$2:A933,A933)),W933)),0)</f>
        <v/>
      </c>
      <c r="H933">
        <f>IF(AND(E933=1,B933="RECEIPT"),ROW(),0)</f>
        <v/>
      </c>
      <c r="I933">
        <f>IF(E933=1,IF(OR(B933="SALE",B933="WRITEOFF"),Transactions!E933,0),0)</f>
        <v/>
      </c>
      <c r="J933">
        <f>SUMIFS($F$1:F932,$A$1:A932,A933)</f>
        <v/>
      </c>
      <c r="K933">
        <f>SUMIFS($I$1:I932,$A$1:A932,A933)</f>
        <v/>
      </c>
      <c r="L933">
        <f>IFERROR(VLOOKUP(A933,Opening!$A:$C,3,0),0)</f>
        <v/>
      </c>
      <c r="M933">
        <f>IF(I933=0,0,MAX(0,MIN(INDEX(Month!H$2:H$13,MATCH($A933,Month!$A$2:$A$13,0))-K933,I933)))</f>
        <v/>
      </c>
      <c r="N933">
        <f>IF(I933=0,0,MAX(0,MIN(INDEX(Month!I$2:I$13,MATCH($A933,Month!$A$2:$A$13,0))-K933,I933)))</f>
        <v/>
      </c>
      <c r="O933">
        <f>IF(I933=0,0,MAX(0,MIN(INDEX(Month!J$2:J$13,MATCH($A933,Month!$A$2:$A$13,0))-K933,I933)))</f>
        <v/>
      </c>
      <c r="P933">
        <f>IF(I933=0,0,(MIN(MAX(K933,0),L933)*W933+SUMPRODUCT((Calc!$A$2:$A$1001=A933)*Calc!$G$2:$G$1001*(((K933-(L933+Calc!$J$2:$J$1001))&gt;0)*((K933-(L933+Calc!$J$2:$J$1001))&lt;Calc!$F$2:$F$1001)*(K933-(L933+Calc!$J$2:$J$1001))+((K933-(L933+Calc!$J$2:$J$1001))&gt;=Calc!$F$2:$F$1001)*Calc!$F$2:$F$1001))))</f>
        <v/>
      </c>
      <c r="Q933">
        <f>IF(I933=0,0,(MIN(MAX((K933+M933),0),L933)*W933+SUMPRODUCT((Calc!$A$2:$A$1001=A933)*Calc!$G$2:$G$1001*((((K933+M933)-(L933+Calc!$J$2:$J$1001))&gt;0)*(((K933+M933)-(L933+Calc!$J$2:$J$1001))&lt;Calc!$F$2:$F$1001)*((K933+M933)-(L933+Calc!$J$2:$J$1001))+(((K933+M933)-(L933+Calc!$J$2:$J$1001))&gt;=Calc!$F$2:$F$1001)*Calc!$F$2:$F$1001))))</f>
        <v/>
      </c>
      <c r="R933">
        <f>IF(I933=0,0,(MIN(MAX((K933+N933),0),L933)*W933+SUMPRODUCT((Calc!$A$2:$A$1001=A933)*Calc!$G$2:$G$1001*((((K933+N933)-(L933+Calc!$J$2:$J$1001))&gt;0)*(((K933+N933)-(L933+Calc!$J$2:$J$1001))&lt;Calc!$F$2:$F$1001)*((K933+N933)-(L933+Calc!$J$2:$J$1001))+(((K933+N933)-(L933+Calc!$J$2:$J$1001))&gt;=Calc!$F$2:$F$1001)*Calc!$F$2:$F$1001))))</f>
        <v/>
      </c>
      <c r="S933">
        <f>IF(I933=0,0,(MIN(MAX((K933+O933),0),L933)*W933+SUMPRODUCT((Calc!$A$2:$A$1001=A933)*Calc!$G$2:$G$1001*((((K933+O933)-(L933+Calc!$J$2:$J$1001))&gt;0)*(((K933+O933)-(L933+Calc!$J$2:$J$1001))&lt;Calc!$F$2:$F$1001)*((K933+O933)-(L933+Calc!$J$2:$J$1001))+(((K933+O933)-(L933+Calc!$J$2:$J$1001))&gt;=Calc!$F$2:$F$1001)*Calc!$F$2:$F$1001))))</f>
        <v/>
      </c>
      <c r="T933">
        <f>IF(AND(E933=1,B933="RETURN"),Transactions!E933*Transactions!G933,0)</f>
        <v/>
      </c>
      <c r="U933">
        <f>IF(AND(E933=1,B933="EXPENSE"),Transactions!J933,0)</f>
        <v/>
      </c>
      <c r="V933">
        <f>IF(AND(Transactions!A933&lt;&gt;"",E933=0),ROW(),"")</f>
        <v/>
      </c>
      <c r="W933">
        <f>IFERROR(VLOOKUP(A933,Opening!$A:$D,4,0),0)</f>
        <v/>
      </c>
    </row>
    <row r="934">
      <c r="A934">
        <f>IF(Transactions!D934="","",UPPER(TRIM(Transactions!D934)))</f>
        <v/>
      </c>
      <c r="B934">
        <f>IF(Transactions!C934="","",UPPER(TRIM(Transactions!C934)))</f>
        <v/>
      </c>
      <c r="C934">
        <f>IF(Transactions!B934="",0,YEAR(Transactions!B934)*100+MONTH(Transactions!B934))</f>
        <v/>
      </c>
      <c r="D934">
        <f>IF(Transactions!A934="",1,IF(COUNTIF(Transactions!$A$1:A933,Transactions!A934)&gt;0,1,0))</f>
        <v/>
      </c>
      <c r="E934">
        <f>IF(D934=1,0,IF(B934="RETURN",IF(COUNTIFS($A$1:A933,A934,$B$1:B933,"SALE",$E$1:E933,1)&gt;0,1,0),1))</f>
        <v/>
      </c>
      <c r="F934">
        <f>IF(E934=1,IF(B934="RECEIPT",Transactions!E934,IF(AND(B934="RETURN",LOWER(TRIM(Transactions!H934))="resellable"),Transactions!E934,0)),0)</f>
        <v/>
      </c>
      <c r="G934">
        <f>IF(F934&gt;0,IF(B934="RECEIPT",Transactions!F934,IF(_xlfn.MAXIFS($H$2:H934,$A$2:A934,A934)&gt;0,INDEX(Transactions!$F:$F,_xlfn.MAXIFS($H$2:H934,$A$2:A934,A934)),W934)),0)</f>
        <v/>
      </c>
      <c r="H934">
        <f>IF(AND(E934=1,B934="RECEIPT"),ROW(),0)</f>
        <v/>
      </c>
      <c r="I934">
        <f>IF(E934=1,IF(OR(B934="SALE",B934="WRITEOFF"),Transactions!E934,0),0)</f>
        <v/>
      </c>
      <c r="J934">
        <f>SUMIFS($F$1:F933,$A$1:A933,A934)</f>
        <v/>
      </c>
      <c r="K934">
        <f>SUMIFS($I$1:I933,$A$1:A933,A934)</f>
        <v/>
      </c>
      <c r="L934">
        <f>IFERROR(VLOOKUP(A934,Opening!$A:$C,3,0),0)</f>
        <v/>
      </c>
      <c r="M934">
        <f>IF(I934=0,0,MAX(0,MIN(INDEX(Month!H$2:H$13,MATCH($A934,Month!$A$2:$A$13,0))-K934,I934)))</f>
        <v/>
      </c>
      <c r="N934">
        <f>IF(I934=0,0,MAX(0,MIN(INDEX(Month!I$2:I$13,MATCH($A934,Month!$A$2:$A$13,0))-K934,I934)))</f>
        <v/>
      </c>
      <c r="O934">
        <f>IF(I934=0,0,MAX(0,MIN(INDEX(Month!J$2:J$13,MATCH($A934,Month!$A$2:$A$13,0))-K934,I934)))</f>
        <v/>
      </c>
      <c r="P934">
        <f>IF(I934=0,0,(MIN(MAX(K934,0),L934)*W934+SUMPRODUCT((Calc!$A$2:$A$1001=A934)*Calc!$G$2:$G$1001*(((K934-(L934+Calc!$J$2:$J$1001))&gt;0)*((K934-(L934+Calc!$J$2:$J$1001))&lt;Calc!$F$2:$F$1001)*(K934-(L934+Calc!$J$2:$J$1001))+((K934-(L934+Calc!$J$2:$J$1001))&gt;=Calc!$F$2:$F$1001)*Calc!$F$2:$F$1001))))</f>
        <v/>
      </c>
      <c r="Q934">
        <f>IF(I934=0,0,(MIN(MAX((K934+M934),0),L934)*W934+SUMPRODUCT((Calc!$A$2:$A$1001=A934)*Calc!$G$2:$G$1001*((((K934+M934)-(L934+Calc!$J$2:$J$1001))&gt;0)*(((K934+M934)-(L934+Calc!$J$2:$J$1001))&lt;Calc!$F$2:$F$1001)*((K934+M934)-(L934+Calc!$J$2:$J$1001))+(((K934+M934)-(L934+Calc!$J$2:$J$1001))&gt;=Calc!$F$2:$F$1001)*Calc!$F$2:$F$1001))))</f>
        <v/>
      </c>
      <c r="R934">
        <f>IF(I934=0,0,(MIN(MAX((K934+N934),0),L934)*W934+SUMPRODUCT((Calc!$A$2:$A$1001=A934)*Calc!$G$2:$G$1001*((((K934+N934)-(L934+Calc!$J$2:$J$1001))&gt;0)*(((K934+N934)-(L934+Calc!$J$2:$J$1001))&lt;Calc!$F$2:$F$1001)*((K934+N934)-(L934+Calc!$J$2:$J$1001))+(((K934+N934)-(L934+Calc!$J$2:$J$1001))&gt;=Calc!$F$2:$F$1001)*Calc!$F$2:$F$1001))))</f>
        <v/>
      </c>
      <c r="S934">
        <f>IF(I934=0,0,(MIN(MAX((K934+O934),0),L934)*W934+SUMPRODUCT((Calc!$A$2:$A$1001=A934)*Calc!$G$2:$G$1001*((((K934+O934)-(L934+Calc!$J$2:$J$1001))&gt;0)*(((K934+O934)-(L934+Calc!$J$2:$J$1001))&lt;Calc!$F$2:$F$1001)*((K934+O934)-(L934+Calc!$J$2:$J$1001))+(((K934+O934)-(L934+Calc!$J$2:$J$1001))&gt;=Calc!$F$2:$F$1001)*Calc!$F$2:$F$1001))))</f>
        <v/>
      </c>
      <c r="T934">
        <f>IF(AND(E934=1,B934="RETURN"),Transactions!E934*Transactions!G934,0)</f>
        <v/>
      </c>
      <c r="U934">
        <f>IF(AND(E934=1,B934="EXPENSE"),Transactions!J934,0)</f>
        <v/>
      </c>
      <c r="V934">
        <f>IF(AND(Transactions!A934&lt;&gt;"",E934=0),ROW(),"")</f>
        <v/>
      </c>
      <c r="W934">
        <f>IFERROR(VLOOKUP(A934,Opening!$A:$D,4,0),0)</f>
        <v/>
      </c>
    </row>
    <row r="935">
      <c r="A935">
        <f>IF(Transactions!D935="","",UPPER(TRIM(Transactions!D935)))</f>
        <v/>
      </c>
      <c r="B935">
        <f>IF(Transactions!C935="","",UPPER(TRIM(Transactions!C935)))</f>
        <v/>
      </c>
      <c r="C935">
        <f>IF(Transactions!B935="",0,YEAR(Transactions!B935)*100+MONTH(Transactions!B935))</f>
        <v/>
      </c>
      <c r="D935">
        <f>IF(Transactions!A935="",1,IF(COUNTIF(Transactions!$A$1:A934,Transactions!A935)&gt;0,1,0))</f>
        <v/>
      </c>
      <c r="E935">
        <f>IF(D935=1,0,IF(B935="RETURN",IF(COUNTIFS($A$1:A934,A935,$B$1:B934,"SALE",$E$1:E934,1)&gt;0,1,0),1))</f>
        <v/>
      </c>
      <c r="F935">
        <f>IF(E935=1,IF(B935="RECEIPT",Transactions!E935,IF(AND(B935="RETURN",LOWER(TRIM(Transactions!H935))="resellable"),Transactions!E935,0)),0)</f>
        <v/>
      </c>
      <c r="G935">
        <f>IF(F935&gt;0,IF(B935="RECEIPT",Transactions!F935,IF(_xlfn.MAXIFS($H$2:H935,$A$2:A935,A935)&gt;0,INDEX(Transactions!$F:$F,_xlfn.MAXIFS($H$2:H935,$A$2:A935,A935)),W935)),0)</f>
        <v/>
      </c>
      <c r="H935">
        <f>IF(AND(E935=1,B935="RECEIPT"),ROW(),0)</f>
        <v/>
      </c>
      <c r="I935">
        <f>IF(E935=1,IF(OR(B935="SALE",B935="WRITEOFF"),Transactions!E935,0),0)</f>
        <v/>
      </c>
      <c r="J935">
        <f>SUMIFS($F$1:F934,$A$1:A934,A935)</f>
        <v/>
      </c>
      <c r="K935">
        <f>SUMIFS($I$1:I934,$A$1:A934,A935)</f>
        <v/>
      </c>
      <c r="L935">
        <f>IFERROR(VLOOKUP(A935,Opening!$A:$C,3,0),0)</f>
        <v/>
      </c>
      <c r="M935">
        <f>IF(I935=0,0,MAX(0,MIN(INDEX(Month!H$2:H$13,MATCH($A935,Month!$A$2:$A$13,0))-K935,I935)))</f>
        <v/>
      </c>
      <c r="N935">
        <f>IF(I935=0,0,MAX(0,MIN(INDEX(Month!I$2:I$13,MATCH($A935,Month!$A$2:$A$13,0))-K935,I935)))</f>
        <v/>
      </c>
      <c r="O935">
        <f>IF(I935=0,0,MAX(0,MIN(INDEX(Month!J$2:J$13,MATCH($A935,Month!$A$2:$A$13,0))-K935,I935)))</f>
        <v/>
      </c>
      <c r="P935">
        <f>IF(I935=0,0,(MIN(MAX(K935,0),L935)*W935+SUMPRODUCT((Calc!$A$2:$A$1001=A935)*Calc!$G$2:$G$1001*(((K935-(L935+Calc!$J$2:$J$1001))&gt;0)*((K935-(L935+Calc!$J$2:$J$1001))&lt;Calc!$F$2:$F$1001)*(K935-(L935+Calc!$J$2:$J$1001))+((K935-(L935+Calc!$J$2:$J$1001))&gt;=Calc!$F$2:$F$1001)*Calc!$F$2:$F$1001))))</f>
        <v/>
      </c>
      <c r="Q935">
        <f>IF(I935=0,0,(MIN(MAX((K935+M935),0),L935)*W935+SUMPRODUCT((Calc!$A$2:$A$1001=A935)*Calc!$G$2:$G$1001*((((K935+M935)-(L935+Calc!$J$2:$J$1001))&gt;0)*(((K935+M935)-(L935+Calc!$J$2:$J$1001))&lt;Calc!$F$2:$F$1001)*((K935+M935)-(L935+Calc!$J$2:$J$1001))+(((K935+M935)-(L935+Calc!$J$2:$J$1001))&gt;=Calc!$F$2:$F$1001)*Calc!$F$2:$F$1001))))</f>
        <v/>
      </c>
      <c r="R935">
        <f>IF(I935=0,0,(MIN(MAX((K935+N935),0),L935)*W935+SUMPRODUCT((Calc!$A$2:$A$1001=A935)*Calc!$G$2:$G$1001*((((K935+N935)-(L935+Calc!$J$2:$J$1001))&gt;0)*(((K935+N935)-(L935+Calc!$J$2:$J$1001))&lt;Calc!$F$2:$F$1001)*((K935+N935)-(L935+Calc!$J$2:$J$1001))+(((K935+N935)-(L935+Calc!$J$2:$J$1001))&gt;=Calc!$F$2:$F$1001)*Calc!$F$2:$F$1001))))</f>
        <v/>
      </c>
      <c r="S935">
        <f>IF(I935=0,0,(MIN(MAX((K935+O935),0),L935)*W935+SUMPRODUCT((Calc!$A$2:$A$1001=A935)*Calc!$G$2:$G$1001*((((K935+O935)-(L935+Calc!$J$2:$J$1001))&gt;0)*(((K935+O935)-(L935+Calc!$J$2:$J$1001))&lt;Calc!$F$2:$F$1001)*((K935+O935)-(L935+Calc!$J$2:$J$1001))+(((K935+O935)-(L935+Calc!$J$2:$J$1001))&gt;=Calc!$F$2:$F$1001)*Calc!$F$2:$F$1001))))</f>
        <v/>
      </c>
      <c r="T935">
        <f>IF(AND(E935=1,B935="RETURN"),Transactions!E935*Transactions!G935,0)</f>
        <v/>
      </c>
      <c r="U935">
        <f>IF(AND(E935=1,B935="EXPENSE"),Transactions!J935,0)</f>
        <v/>
      </c>
      <c r="V935">
        <f>IF(AND(Transactions!A935&lt;&gt;"",E935=0),ROW(),"")</f>
        <v/>
      </c>
      <c r="W935">
        <f>IFERROR(VLOOKUP(A935,Opening!$A:$D,4,0),0)</f>
        <v/>
      </c>
    </row>
    <row r="936">
      <c r="A936">
        <f>IF(Transactions!D936="","",UPPER(TRIM(Transactions!D936)))</f>
        <v/>
      </c>
      <c r="B936">
        <f>IF(Transactions!C936="","",UPPER(TRIM(Transactions!C936)))</f>
        <v/>
      </c>
      <c r="C936">
        <f>IF(Transactions!B936="",0,YEAR(Transactions!B936)*100+MONTH(Transactions!B936))</f>
        <v/>
      </c>
      <c r="D936">
        <f>IF(Transactions!A936="",1,IF(COUNTIF(Transactions!$A$1:A935,Transactions!A936)&gt;0,1,0))</f>
        <v/>
      </c>
      <c r="E936">
        <f>IF(D936=1,0,IF(B936="RETURN",IF(COUNTIFS($A$1:A935,A936,$B$1:B935,"SALE",$E$1:E935,1)&gt;0,1,0),1))</f>
        <v/>
      </c>
      <c r="F936">
        <f>IF(E936=1,IF(B936="RECEIPT",Transactions!E936,IF(AND(B936="RETURN",LOWER(TRIM(Transactions!H936))="resellable"),Transactions!E936,0)),0)</f>
        <v/>
      </c>
      <c r="G936">
        <f>IF(F936&gt;0,IF(B936="RECEIPT",Transactions!F936,IF(_xlfn.MAXIFS($H$2:H936,$A$2:A936,A936)&gt;0,INDEX(Transactions!$F:$F,_xlfn.MAXIFS($H$2:H936,$A$2:A936,A936)),W936)),0)</f>
        <v/>
      </c>
      <c r="H936">
        <f>IF(AND(E936=1,B936="RECEIPT"),ROW(),0)</f>
        <v/>
      </c>
      <c r="I936">
        <f>IF(E936=1,IF(OR(B936="SALE",B936="WRITEOFF"),Transactions!E936,0),0)</f>
        <v/>
      </c>
      <c r="J936">
        <f>SUMIFS($F$1:F935,$A$1:A935,A936)</f>
        <v/>
      </c>
      <c r="K936">
        <f>SUMIFS($I$1:I935,$A$1:A935,A936)</f>
        <v/>
      </c>
      <c r="L936">
        <f>IFERROR(VLOOKUP(A936,Opening!$A:$C,3,0),0)</f>
        <v/>
      </c>
      <c r="M936">
        <f>IF(I936=0,0,MAX(0,MIN(INDEX(Month!H$2:H$13,MATCH($A936,Month!$A$2:$A$13,0))-K936,I936)))</f>
        <v/>
      </c>
      <c r="N936">
        <f>IF(I936=0,0,MAX(0,MIN(INDEX(Month!I$2:I$13,MATCH($A936,Month!$A$2:$A$13,0))-K936,I936)))</f>
        <v/>
      </c>
      <c r="O936">
        <f>IF(I936=0,0,MAX(0,MIN(INDEX(Month!J$2:J$13,MATCH($A936,Month!$A$2:$A$13,0))-K936,I936)))</f>
        <v/>
      </c>
      <c r="P936">
        <f>IF(I936=0,0,(MIN(MAX(K936,0),L936)*W936+SUMPRODUCT((Calc!$A$2:$A$1001=A936)*Calc!$G$2:$G$1001*(((K936-(L936+Calc!$J$2:$J$1001))&gt;0)*((K936-(L936+Calc!$J$2:$J$1001))&lt;Calc!$F$2:$F$1001)*(K936-(L936+Calc!$J$2:$J$1001))+((K936-(L936+Calc!$J$2:$J$1001))&gt;=Calc!$F$2:$F$1001)*Calc!$F$2:$F$1001))))</f>
        <v/>
      </c>
      <c r="Q936">
        <f>IF(I936=0,0,(MIN(MAX((K936+M936),0),L936)*W936+SUMPRODUCT((Calc!$A$2:$A$1001=A936)*Calc!$G$2:$G$1001*((((K936+M936)-(L936+Calc!$J$2:$J$1001))&gt;0)*(((K936+M936)-(L936+Calc!$J$2:$J$1001))&lt;Calc!$F$2:$F$1001)*((K936+M936)-(L936+Calc!$J$2:$J$1001))+(((K936+M936)-(L936+Calc!$J$2:$J$1001))&gt;=Calc!$F$2:$F$1001)*Calc!$F$2:$F$1001))))</f>
        <v/>
      </c>
      <c r="R936">
        <f>IF(I936=0,0,(MIN(MAX((K936+N936),0),L936)*W936+SUMPRODUCT((Calc!$A$2:$A$1001=A936)*Calc!$G$2:$G$1001*((((K936+N936)-(L936+Calc!$J$2:$J$1001))&gt;0)*(((K936+N936)-(L936+Calc!$J$2:$J$1001))&lt;Calc!$F$2:$F$1001)*((K936+N936)-(L936+Calc!$J$2:$J$1001))+(((K936+N936)-(L936+Calc!$J$2:$J$1001))&gt;=Calc!$F$2:$F$1001)*Calc!$F$2:$F$1001))))</f>
        <v/>
      </c>
      <c r="S936">
        <f>IF(I936=0,0,(MIN(MAX((K936+O936),0),L936)*W936+SUMPRODUCT((Calc!$A$2:$A$1001=A936)*Calc!$G$2:$G$1001*((((K936+O936)-(L936+Calc!$J$2:$J$1001))&gt;0)*(((K936+O936)-(L936+Calc!$J$2:$J$1001))&lt;Calc!$F$2:$F$1001)*((K936+O936)-(L936+Calc!$J$2:$J$1001))+(((K936+O936)-(L936+Calc!$J$2:$J$1001))&gt;=Calc!$F$2:$F$1001)*Calc!$F$2:$F$1001))))</f>
        <v/>
      </c>
      <c r="T936">
        <f>IF(AND(E936=1,B936="RETURN"),Transactions!E936*Transactions!G936,0)</f>
        <v/>
      </c>
      <c r="U936">
        <f>IF(AND(E936=1,B936="EXPENSE"),Transactions!J936,0)</f>
        <v/>
      </c>
      <c r="V936">
        <f>IF(AND(Transactions!A936&lt;&gt;"",E936=0),ROW(),"")</f>
        <v/>
      </c>
      <c r="W936">
        <f>IFERROR(VLOOKUP(A936,Opening!$A:$D,4,0),0)</f>
        <v/>
      </c>
    </row>
    <row r="937">
      <c r="A937">
        <f>IF(Transactions!D937="","",UPPER(TRIM(Transactions!D937)))</f>
        <v/>
      </c>
      <c r="B937">
        <f>IF(Transactions!C937="","",UPPER(TRIM(Transactions!C937)))</f>
        <v/>
      </c>
      <c r="C937">
        <f>IF(Transactions!B937="",0,YEAR(Transactions!B937)*100+MONTH(Transactions!B937))</f>
        <v/>
      </c>
      <c r="D937">
        <f>IF(Transactions!A937="",1,IF(COUNTIF(Transactions!$A$1:A936,Transactions!A937)&gt;0,1,0))</f>
        <v/>
      </c>
      <c r="E937">
        <f>IF(D937=1,0,IF(B937="RETURN",IF(COUNTIFS($A$1:A936,A937,$B$1:B936,"SALE",$E$1:E936,1)&gt;0,1,0),1))</f>
        <v/>
      </c>
      <c r="F937">
        <f>IF(E937=1,IF(B937="RECEIPT",Transactions!E937,IF(AND(B937="RETURN",LOWER(TRIM(Transactions!H937))="resellable"),Transactions!E937,0)),0)</f>
        <v/>
      </c>
      <c r="G937">
        <f>IF(F937&gt;0,IF(B937="RECEIPT",Transactions!F937,IF(_xlfn.MAXIFS($H$2:H937,$A$2:A937,A937)&gt;0,INDEX(Transactions!$F:$F,_xlfn.MAXIFS($H$2:H937,$A$2:A937,A937)),W937)),0)</f>
        <v/>
      </c>
      <c r="H937">
        <f>IF(AND(E937=1,B937="RECEIPT"),ROW(),0)</f>
        <v/>
      </c>
      <c r="I937">
        <f>IF(E937=1,IF(OR(B937="SALE",B937="WRITEOFF"),Transactions!E937,0),0)</f>
        <v/>
      </c>
      <c r="J937">
        <f>SUMIFS($F$1:F936,$A$1:A936,A937)</f>
        <v/>
      </c>
      <c r="K937">
        <f>SUMIFS($I$1:I936,$A$1:A936,A937)</f>
        <v/>
      </c>
      <c r="L937">
        <f>IFERROR(VLOOKUP(A937,Opening!$A:$C,3,0),0)</f>
        <v/>
      </c>
      <c r="M937">
        <f>IF(I937=0,0,MAX(0,MIN(INDEX(Month!H$2:H$13,MATCH($A937,Month!$A$2:$A$13,0))-K937,I937)))</f>
        <v/>
      </c>
      <c r="N937">
        <f>IF(I937=0,0,MAX(0,MIN(INDEX(Month!I$2:I$13,MATCH($A937,Month!$A$2:$A$13,0))-K937,I937)))</f>
        <v/>
      </c>
      <c r="O937">
        <f>IF(I937=0,0,MAX(0,MIN(INDEX(Month!J$2:J$13,MATCH($A937,Month!$A$2:$A$13,0))-K937,I937)))</f>
        <v/>
      </c>
      <c r="P937">
        <f>IF(I937=0,0,(MIN(MAX(K937,0),L937)*W937+SUMPRODUCT((Calc!$A$2:$A$1001=A937)*Calc!$G$2:$G$1001*(((K937-(L937+Calc!$J$2:$J$1001))&gt;0)*((K937-(L937+Calc!$J$2:$J$1001))&lt;Calc!$F$2:$F$1001)*(K937-(L937+Calc!$J$2:$J$1001))+((K937-(L937+Calc!$J$2:$J$1001))&gt;=Calc!$F$2:$F$1001)*Calc!$F$2:$F$1001))))</f>
        <v/>
      </c>
      <c r="Q937">
        <f>IF(I937=0,0,(MIN(MAX((K937+M937),0),L937)*W937+SUMPRODUCT((Calc!$A$2:$A$1001=A937)*Calc!$G$2:$G$1001*((((K937+M937)-(L937+Calc!$J$2:$J$1001))&gt;0)*(((K937+M937)-(L937+Calc!$J$2:$J$1001))&lt;Calc!$F$2:$F$1001)*((K937+M937)-(L937+Calc!$J$2:$J$1001))+(((K937+M937)-(L937+Calc!$J$2:$J$1001))&gt;=Calc!$F$2:$F$1001)*Calc!$F$2:$F$1001))))</f>
        <v/>
      </c>
      <c r="R937">
        <f>IF(I937=0,0,(MIN(MAX((K937+N937),0),L937)*W937+SUMPRODUCT((Calc!$A$2:$A$1001=A937)*Calc!$G$2:$G$1001*((((K937+N937)-(L937+Calc!$J$2:$J$1001))&gt;0)*(((K937+N937)-(L937+Calc!$J$2:$J$1001))&lt;Calc!$F$2:$F$1001)*((K937+N937)-(L937+Calc!$J$2:$J$1001))+(((K937+N937)-(L937+Calc!$J$2:$J$1001))&gt;=Calc!$F$2:$F$1001)*Calc!$F$2:$F$1001))))</f>
        <v/>
      </c>
      <c r="S937">
        <f>IF(I937=0,0,(MIN(MAX((K937+O937),0),L937)*W937+SUMPRODUCT((Calc!$A$2:$A$1001=A937)*Calc!$G$2:$G$1001*((((K937+O937)-(L937+Calc!$J$2:$J$1001))&gt;0)*(((K937+O937)-(L937+Calc!$J$2:$J$1001))&lt;Calc!$F$2:$F$1001)*((K937+O937)-(L937+Calc!$J$2:$J$1001))+(((K937+O937)-(L937+Calc!$J$2:$J$1001))&gt;=Calc!$F$2:$F$1001)*Calc!$F$2:$F$1001))))</f>
        <v/>
      </c>
      <c r="T937">
        <f>IF(AND(E937=1,B937="RETURN"),Transactions!E937*Transactions!G937,0)</f>
        <v/>
      </c>
      <c r="U937">
        <f>IF(AND(E937=1,B937="EXPENSE"),Transactions!J937,0)</f>
        <v/>
      </c>
      <c r="V937">
        <f>IF(AND(Transactions!A937&lt;&gt;"",E937=0),ROW(),"")</f>
        <v/>
      </c>
      <c r="W937">
        <f>IFERROR(VLOOKUP(A937,Opening!$A:$D,4,0),0)</f>
        <v/>
      </c>
    </row>
    <row r="938">
      <c r="A938">
        <f>IF(Transactions!D938="","",UPPER(TRIM(Transactions!D938)))</f>
        <v/>
      </c>
      <c r="B938">
        <f>IF(Transactions!C938="","",UPPER(TRIM(Transactions!C938)))</f>
        <v/>
      </c>
      <c r="C938">
        <f>IF(Transactions!B938="",0,YEAR(Transactions!B938)*100+MONTH(Transactions!B938))</f>
        <v/>
      </c>
      <c r="D938">
        <f>IF(Transactions!A938="",1,IF(COUNTIF(Transactions!$A$1:A937,Transactions!A938)&gt;0,1,0))</f>
        <v/>
      </c>
      <c r="E938">
        <f>IF(D938=1,0,IF(B938="RETURN",IF(COUNTIFS($A$1:A937,A938,$B$1:B937,"SALE",$E$1:E937,1)&gt;0,1,0),1))</f>
        <v/>
      </c>
      <c r="F938">
        <f>IF(E938=1,IF(B938="RECEIPT",Transactions!E938,IF(AND(B938="RETURN",LOWER(TRIM(Transactions!H938))="resellable"),Transactions!E938,0)),0)</f>
        <v/>
      </c>
      <c r="G938">
        <f>IF(F938&gt;0,IF(B938="RECEIPT",Transactions!F938,IF(_xlfn.MAXIFS($H$2:H938,$A$2:A938,A938)&gt;0,INDEX(Transactions!$F:$F,_xlfn.MAXIFS($H$2:H938,$A$2:A938,A938)),W938)),0)</f>
        <v/>
      </c>
      <c r="H938">
        <f>IF(AND(E938=1,B938="RECEIPT"),ROW(),0)</f>
        <v/>
      </c>
      <c r="I938">
        <f>IF(E938=1,IF(OR(B938="SALE",B938="WRITEOFF"),Transactions!E938,0),0)</f>
        <v/>
      </c>
      <c r="J938">
        <f>SUMIFS($F$1:F937,$A$1:A937,A938)</f>
        <v/>
      </c>
      <c r="K938">
        <f>SUMIFS($I$1:I937,$A$1:A937,A938)</f>
        <v/>
      </c>
      <c r="L938">
        <f>IFERROR(VLOOKUP(A938,Opening!$A:$C,3,0),0)</f>
        <v/>
      </c>
      <c r="M938">
        <f>IF(I938=0,0,MAX(0,MIN(INDEX(Month!H$2:H$13,MATCH($A938,Month!$A$2:$A$13,0))-K938,I938)))</f>
        <v/>
      </c>
      <c r="N938">
        <f>IF(I938=0,0,MAX(0,MIN(INDEX(Month!I$2:I$13,MATCH($A938,Month!$A$2:$A$13,0))-K938,I938)))</f>
        <v/>
      </c>
      <c r="O938">
        <f>IF(I938=0,0,MAX(0,MIN(INDEX(Month!J$2:J$13,MATCH($A938,Month!$A$2:$A$13,0))-K938,I938)))</f>
        <v/>
      </c>
      <c r="P938">
        <f>IF(I938=0,0,(MIN(MAX(K938,0),L938)*W938+SUMPRODUCT((Calc!$A$2:$A$1001=A938)*Calc!$G$2:$G$1001*(((K938-(L938+Calc!$J$2:$J$1001))&gt;0)*((K938-(L938+Calc!$J$2:$J$1001))&lt;Calc!$F$2:$F$1001)*(K938-(L938+Calc!$J$2:$J$1001))+((K938-(L938+Calc!$J$2:$J$1001))&gt;=Calc!$F$2:$F$1001)*Calc!$F$2:$F$1001))))</f>
        <v/>
      </c>
      <c r="Q938">
        <f>IF(I938=0,0,(MIN(MAX((K938+M938),0),L938)*W938+SUMPRODUCT((Calc!$A$2:$A$1001=A938)*Calc!$G$2:$G$1001*((((K938+M938)-(L938+Calc!$J$2:$J$1001))&gt;0)*(((K938+M938)-(L938+Calc!$J$2:$J$1001))&lt;Calc!$F$2:$F$1001)*((K938+M938)-(L938+Calc!$J$2:$J$1001))+(((K938+M938)-(L938+Calc!$J$2:$J$1001))&gt;=Calc!$F$2:$F$1001)*Calc!$F$2:$F$1001))))</f>
        <v/>
      </c>
      <c r="R938">
        <f>IF(I938=0,0,(MIN(MAX((K938+N938),0),L938)*W938+SUMPRODUCT((Calc!$A$2:$A$1001=A938)*Calc!$G$2:$G$1001*((((K938+N938)-(L938+Calc!$J$2:$J$1001))&gt;0)*(((K938+N938)-(L938+Calc!$J$2:$J$1001))&lt;Calc!$F$2:$F$1001)*((K938+N938)-(L938+Calc!$J$2:$J$1001))+(((K938+N938)-(L938+Calc!$J$2:$J$1001))&gt;=Calc!$F$2:$F$1001)*Calc!$F$2:$F$1001))))</f>
        <v/>
      </c>
      <c r="S938">
        <f>IF(I938=0,0,(MIN(MAX((K938+O938),0),L938)*W938+SUMPRODUCT((Calc!$A$2:$A$1001=A938)*Calc!$G$2:$G$1001*((((K938+O938)-(L938+Calc!$J$2:$J$1001))&gt;0)*(((K938+O938)-(L938+Calc!$J$2:$J$1001))&lt;Calc!$F$2:$F$1001)*((K938+O938)-(L938+Calc!$J$2:$J$1001))+(((K938+O938)-(L938+Calc!$J$2:$J$1001))&gt;=Calc!$F$2:$F$1001)*Calc!$F$2:$F$1001))))</f>
        <v/>
      </c>
      <c r="T938">
        <f>IF(AND(E938=1,B938="RETURN"),Transactions!E938*Transactions!G938,0)</f>
        <v/>
      </c>
      <c r="U938">
        <f>IF(AND(E938=1,B938="EXPENSE"),Transactions!J938,0)</f>
        <v/>
      </c>
      <c r="V938">
        <f>IF(AND(Transactions!A938&lt;&gt;"",E938=0),ROW(),"")</f>
        <v/>
      </c>
      <c r="W938">
        <f>IFERROR(VLOOKUP(A938,Opening!$A:$D,4,0),0)</f>
        <v/>
      </c>
    </row>
    <row r="939">
      <c r="A939">
        <f>IF(Transactions!D939="","",UPPER(TRIM(Transactions!D939)))</f>
        <v/>
      </c>
      <c r="B939">
        <f>IF(Transactions!C939="","",UPPER(TRIM(Transactions!C939)))</f>
        <v/>
      </c>
      <c r="C939">
        <f>IF(Transactions!B939="",0,YEAR(Transactions!B939)*100+MONTH(Transactions!B939))</f>
        <v/>
      </c>
      <c r="D939">
        <f>IF(Transactions!A939="",1,IF(COUNTIF(Transactions!$A$1:A938,Transactions!A939)&gt;0,1,0))</f>
        <v/>
      </c>
      <c r="E939">
        <f>IF(D939=1,0,IF(B939="RETURN",IF(COUNTIFS($A$1:A938,A939,$B$1:B938,"SALE",$E$1:E938,1)&gt;0,1,0),1))</f>
        <v/>
      </c>
      <c r="F939">
        <f>IF(E939=1,IF(B939="RECEIPT",Transactions!E939,IF(AND(B939="RETURN",LOWER(TRIM(Transactions!H939))="resellable"),Transactions!E939,0)),0)</f>
        <v/>
      </c>
      <c r="G939">
        <f>IF(F939&gt;0,IF(B939="RECEIPT",Transactions!F939,IF(_xlfn.MAXIFS($H$2:H939,$A$2:A939,A939)&gt;0,INDEX(Transactions!$F:$F,_xlfn.MAXIFS($H$2:H939,$A$2:A939,A939)),W939)),0)</f>
        <v/>
      </c>
      <c r="H939">
        <f>IF(AND(E939=1,B939="RECEIPT"),ROW(),0)</f>
        <v/>
      </c>
      <c r="I939">
        <f>IF(E939=1,IF(OR(B939="SALE",B939="WRITEOFF"),Transactions!E939,0),0)</f>
        <v/>
      </c>
      <c r="J939">
        <f>SUMIFS($F$1:F938,$A$1:A938,A939)</f>
        <v/>
      </c>
      <c r="K939">
        <f>SUMIFS($I$1:I938,$A$1:A938,A939)</f>
        <v/>
      </c>
      <c r="L939">
        <f>IFERROR(VLOOKUP(A939,Opening!$A:$C,3,0),0)</f>
        <v/>
      </c>
      <c r="M939">
        <f>IF(I939=0,0,MAX(0,MIN(INDEX(Month!H$2:H$13,MATCH($A939,Month!$A$2:$A$13,0))-K939,I939)))</f>
        <v/>
      </c>
      <c r="N939">
        <f>IF(I939=0,0,MAX(0,MIN(INDEX(Month!I$2:I$13,MATCH($A939,Month!$A$2:$A$13,0))-K939,I939)))</f>
        <v/>
      </c>
      <c r="O939">
        <f>IF(I939=0,0,MAX(0,MIN(INDEX(Month!J$2:J$13,MATCH($A939,Month!$A$2:$A$13,0))-K939,I939)))</f>
        <v/>
      </c>
      <c r="P939">
        <f>IF(I939=0,0,(MIN(MAX(K939,0),L939)*W939+SUMPRODUCT((Calc!$A$2:$A$1001=A939)*Calc!$G$2:$G$1001*(((K939-(L939+Calc!$J$2:$J$1001))&gt;0)*((K939-(L939+Calc!$J$2:$J$1001))&lt;Calc!$F$2:$F$1001)*(K939-(L939+Calc!$J$2:$J$1001))+((K939-(L939+Calc!$J$2:$J$1001))&gt;=Calc!$F$2:$F$1001)*Calc!$F$2:$F$1001))))</f>
        <v/>
      </c>
      <c r="Q939">
        <f>IF(I939=0,0,(MIN(MAX((K939+M939),0),L939)*W939+SUMPRODUCT((Calc!$A$2:$A$1001=A939)*Calc!$G$2:$G$1001*((((K939+M939)-(L939+Calc!$J$2:$J$1001))&gt;0)*(((K939+M939)-(L939+Calc!$J$2:$J$1001))&lt;Calc!$F$2:$F$1001)*((K939+M939)-(L939+Calc!$J$2:$J$1001))+(((K939+M939)-(L939+Calc!$J$2:$J$1001))&gt;=Calc!$F$2:$F$1001)*Calc!$F$2:$F$1001))))</f>
        <v/>
      </c>
      <c r="R939">
        <f>IF(I939=0,0,(MIN(MAX((K939+N939),0),L939)*W939+SUMPRODUCT((Calc!$A$2:$A$1001=A939)*Calc!$G$2:$G$1001*((((K939+N939)-(L939+Calc!$J$2:$J$1001))&gt;0)*(((K939+N939)-(L939+Calc!$J$2:$J$1001))&lt;Calc!$F$2:$F$1001)*((K939+N939)-(L939+Calc!$J$2:$J$1001))+(((K939+N939)-(L939+Calc!$J$2:$J$1001))&gt;=Calc!$F$2:$F$1001)*Calc!$F$2:$F$1001))))</f>
        <v/>
      </c>
      <c r="S939">
        <f>IF(I939=0,0,(MIN(MAX((K939+O939),0),L939)*W939+SUMPRODUCT((Calc!$A$2:$A$1001=A939)*Calc!$G$2:$G$1001*((((K939+O939)-(L939+Calc!$J$2:$J$1001))&gt;0)*(((K939+O939)-(L939+Calc!$J$2:$J$1001))&lt;Calc!$F$2:$F$1001)*((K939+O939)-(L939+Calc!$J$2:$J$1001))+(((K939+O939)-(L939+Calc!$J$2:$J$1001))&gt;=Calc!$F$2:$F$1001)*Calc!$F$2:$F$1001))))</f>
        <v/>
      </c>
      <c r="T939">
        <f>IF(AND(E939=1,B939="RETURN"),Transactions!E939*Transactions!G939,0)</f>
        <v/>
      </c>
      <c r="U939">
        <f>IF(AND(E939=1,B939="EXPENSE"),Transactions!J939,0)</f>
        <v/>
      </c>
      <c r="V939">
        <f>IF(AND(Transactions!A939&lt;&gt;"",E939=0),ROW(),"")</f>
        <v/>
      </c>
      <c r="W939">
        <f>IFERROR(VLOOKUP(A939,Opening!$A:$D,4,0),0)</f>
        <v/>
      </c>
    </row>
    <row r="940">
      <c r="A940">
        <f>IF(Transactions!D940="","",UPPER(TRIM(Transactions!D940)))</f>
        <v/>
      </c>
      <c r="B940">
        <f>IF(Transactions!C940="","",UPPER(TRIM(Transactions!C940)))</f>
        <v/>
      </c>
      <c r="C940">
        <f>IF(Transactions!B940="",0,YEAR(Transactions!B940)*100+MONTH(Transactions!B940))</f>
        <v/>
      </c>
      <c r="D940">
        <f>IF(Transactions!A940="",1,IF(COUNTIF(Transactions!$A$1:A939,Transactions!A940)&gt;0,1,0))</f>
        <v/>
      </c>
      <c r="E940">
        <f>IF(D940=1,0,IF(B940="RETURN",IF(COUNTIFS($A$1:A939,A940,$B$1:B939,"SALE",$E$1:E939,1)&gt;0,1,0),1))</f>
        <v/>
      </c>
      <c r="F940">
        <f>IF(E940=1,IF(B940="RECEIPT",Transactions!E940,IF(AND(B940="RETURN",LOWER(TRIM(Transactions!H940))="resellable"),Transactions!E940,0)),0)</f>
        <v/>
      </c>
      <c r="G940">
        <f>IF(F940&gt;0,IF(B940="RECEIPT",Transactions!F940,IF(_xlfn.MAXIFS($H$2:H940,$A$2:A940,A940)&gt;0,INDEX(Transactions!$F:$F,_xlfn.MAXIFS($H$2:H940,$A$2:A940,A940)),W940)),0)</f>
        <v/>
      </c>
      <c r="H940">
        <f>IF(AND(E940=1,B940="RECEIPT"),ROW(),0)</f>
        <v/>
      </c>
      <c r="I940">
        <f>IF(E940=1,IF(OR(B940="SALE",B940="WRITEOFF"),Transactions!E940,0),0)</f>
        <v/>
      </c>
      <c r="J940">
        <f>SUMIFS($F$1:F939,$A$1:A939,A940)</f>
        <v/>
      </c>
      <c r="K940">
        <f>SUMIFS($I$1:I939,$A$1:A939,A940)</f>
        <v/>
      </c>
      <c r="L940">
        <f>IFERROR(VLOOKUP(A940,Opening!$A:$C,3,0),0)</f>
        <v/>
      </c>
      <c r="M940">
        <f>IF(I940=0,0,MAX(0,MIN(INDEX(Month!H$2:H$13,MATCH($A940,Month!$A$2:$A$13,0))-K940,I940)))</f>
        <v/>
      </c>
      <c r="N940">
        <f>IF(I940=0,0,MAX(0,MIN(INDEX(Month!I$2:I$13,MATCH($A940,Month!$A$2:$A$13,0))-K940,I940)))</f>
        <v/>
      </c>
      <c r="O940">
        <f>IF(I940=0,0,MAX(0,MIN(INDEX(Month!J$2:J$13,MATCH($A940,Month!$A$2:$A$13,0))-K940,I940)))</f>
        <v/>
      </c>
      <c r="P940">
        <f>IF(I940=0,0,(MIN(MAX(K940,0),L940)*W940+SUMPRODUCT((Calc!$A$2:$A$1001=A940)*Calc!$G$2:$G$1001*(((K940-(L940+Calc!$J$2:$J$1001))&gt;0)*((K940-(L940+Calc!$J$2:$J$1001))&lt;Calc!$F$2:$F$1001)*(K940-(L940+Calc!$J$2:$J$1001))+((K940-(L940+Calc!$J$2:$J$1001))&gt;=Calc!$F$2:$F$1001)*Calc!$F$2:$F$1001))))</f>
        <v/>
      </c>
      <c r="Q940">
        <f>IF(I940=0,0,(MIN(MAX((K940+M940),0),L940)*W940+SUMPRODUCT((Calc!$A$2:$A$1001=A940)*Calc!$G$2:$G$1001*((((K940+M940)-(L940+Calc!$J$2:$J$1001))&gt;0)*(((K940+M940)-(L940+Calc!$J$2:$J$1001))&lt;Calc!$F$2:$F$1001)*((K940+M940)-(L940+Calc!$J$2:$J$1001))+(((K940+M940)-(L940+Calc!$J$2:$J$1001))&gt;=Calc!$F$2:$F$1001)*Calc!$F$2:$F$1001))))</f>
        <v/>
      </c>
      <c r="R940">
        <f>IF(I940=0,0,(MIN(MAX((K940+N940),0),L940)*W940+SUMPRODUCT((Calc!$A$2:$A$1001=A940)*Calc!$G$2:$G$1001*((((K940+N940)-(L940+Calc!$J$2:$J$1001))&gt;0)*(((K940+N940)-(L940+Calc!$J$2:$J$1001))&lt;Calc!$F$2:$F$1001)*((K940+N940)-(L940+Calc!$J$2:$J$1001))+(((K940+N940)-(L940+Calc!$J$2:$J$1001))&gt;=Calc!$F$2:$F$1001)*Calc!$F$2:$F$1001))))</f>
        <v/>
      </c>
      <c r="S940">
        <f>IF(I940=0,0,(MIN(MAX((K940+O940),0),L940)*W940+SUMPRODUCT((Calc!$A$2:$A$1001=A940)*Calc!$G$2:$G$1001*((((K940+O940)-(L940+Calc!$J$2:$J$1001))&gt;0)*(((K940+O940)-(L940+Calc!$J$2:$J$1001))&lt;Calc!$F$2:$F$1001)*((K940+O940)-(L940+Calc!$J$2:$J$1001))+(((K940+O940)-(L940+Calc!$J$2:$J$1001))&gt;=Calc!$F$2:$F$1001)*Calc!$F$2:$F$1001))))</f>
        <v/>
      </c>
      <c r="T940">
        <f>IF(AND(E940=1,B940="RETURN"),Transactions!E940*Transactions!G940,0)</f>
        <v/>
      </c>
      <c r="U940">
        <f>IF(AND(E940=1,B940="EXPENSE"),Transactions!J940,0)</f>
        <v/>
      </c>
      <c r="V940">
        <f>IF(AND(Transactions!A940&lt;&gt;"",E940=0),ROW(),"")</f>
        <v/>
      </c>
      <c r="W940">
        <f>IFERROR(VLOOKUP(A940,Opening!$A:$D,4,0),0)</f>
        <v/>
      </c>
    </row>
    <row r="941">
      <c r="A941">
        <f>IF(Transactions!D941="","",UPPER(TRIM(Transactions!D941)))</f>
        <v/>
      </c>
      <c r="B941">
        <f>IF(Transactions!C941="","",UPPER(TRIM(Transactions!C941)))</f>
        <v/>
      </c>
      <c r="C941">
        <f>IF(Transactions!B941="",0,YEAR(Transactions!B941)*100+MONTH(Transactions!B941))</f>
        <v/>
      </c>
      <c r="D941">
        <f>IF(Transactions!A941="",1,IF(COUNTIF(Transactions!$A$1:A940,Transactions!A941)&gt;0,1,0))</f>
        <v/>
      </c>
      <c r="E941">
        <f>IF(D941=1,0,IF(B941="RETURN",IF(COUNTIFS($A$1:A940,A941,$B$1:B940,"SALE",$E$1:E940,1)&gt;0,1,0),1))</f>
        <v/>
      </c>
      <c r="F941">
        <f>IF(E941=1,IF(B941="RECEIPT",Transactions!E941,IF(AND(B941="RETURN",LOWER(TRIM(Transactions!H941))="resellable"),Transactions!E941,0)),0)</f>
        <v/>
      </c>
      <c r="G941">
        <f>IF(F941&gt;0,IF(B941="RECEIPT",Transactions!F941,IF(_xlfn.MAXIFS($H$2:H941,$A$2:A941,A941)&gt;0,INDEX(Transactions!$F:$F,_xlfn.MAXIFS($H$2:H941,$A$2:A941,A941)),W941)),0)</f>
        <v/>
      </c>
      <c r="H941">
        <f>IF(AND(E941=1,B941="RECEIPT"),ROW(),0)</f>
        <v/>
      </c>
      <c r="I941">
        <f>IF(E941=1,IF(OR(B941="SALE",B941="WRITEOFF"),Transactions!E941,0),0)</f>
        <v/>
      </c>
      <c r="J941">
        <f>SUMIFS($F$1:F940,$A$1:A940,A941)</f>
        <v/>
      </c>
      <c r="K941">
        <f>SUMIFS($I$1:I940,$A$1:A940,A941)</f>
        <v/>
      </c>
      <c r="L941">
        <f>IFERROR(VLOOKUP(A941,Opening!$A:$C,3,0),0)</f>
        <v/>
      </c>
      <c r="M941">
        <f>IF(I941=0,0,MAX(0,MIN(INDEX(Month!H$2:H$13,MATCH($A941,Month!$A$2:$A$13,0))-K941,I941)))</f>
        <v/>
      </c>
      <c r="N941">
        <f>IF(I941=0,0,MAX(0,MIN(INDEX(Month!I$2:I$13,MATCH($A941,Month!$A$2:$A$13,0))-K941,I941)))</f>
        <v/>
      </c>
      <c r="O941">
        <f>IF(I941=0,0,MAX(0,MIN(INDEX(Month!J$2:J$13,MATCH($A941,Month!$A$2:$A$13,0))-K941,I941)))</f>
        <v/>
      </c>
      <c r="P941">
        <f>IF(I941=0,0,(MIN(MAX(K941,0),L941)*W941+SUMPRODUCT((Calc!$A$2:$A$1001=A941)*Calc!$G$2:$G$1001*(((K941-(L941+Calc!$J$2:$J$1001))&gt;0)*((K941-(L941+Calc!$J$2:$J$1001))&lt;Calc!$F$2:$F$1001)*(K941-(L941+Calc!$J$2:$J$1001))+((K941-(L941+Calc!$J$2:$J$1001))&gt;=Calc!$F$2:$F$1001)*Calc!$F$2:$F$1001))))</f>
        <v/>
      </c>
      <c r="Q941">
        <f>IF(I941=0,0,(MIN(MAX((K941+M941),0),L941)*W941+SUMPRODUCT((Calc!$A$2:$A$1001=A941)*Calc!$G$2:$G$1001*((((K941+M941)-(L941+Calc!$J$2:$J$1001))&gt;0)*(((K941+M941)-(L941+Calc!$J$2:$J$1001))&lt;Calc!$F$2:$F$1001)*((K941+M941)-(L941+Calc!$J$2:$J$1001))+(((K941+M941)-(L941+Calc!$J$2:$J$1001))&gt;=Calc!$F$2:$F$1001)*Calc!$F$2:$F$1001))))</f>
        <v/>
      </c>
      <c r="R941">
        <f>IF(I941=0,0,(MIN(MAX((K941+N941),0),L941)*W941+SUMPRODUCT((Calc!$A$2:$A$1001=A941)*Calc!$G$2:$G$1001*((((K941+N941)-(L941+Calc!$J$2:$J$1001))&gt;0)*(((K941+N941)-(L941+Calc!$J$2:$J$1001))&lt;Calc!$F$2:$F$1001)*((K941+N941)-(L941+Calc!$J$2:$J$1001))+(((K941+N941)-(L941+Calc!$J$2:$J$1001))&gt;=Calc!$F$2:$F$1001)*Calc!$F$2:$F$1001))))</f>
        <v/>
      </c>
      <c r="S941">
        <f>IF(I941=0,0,(MIN(MAX((K941+O941),0),L941)*W941+SUMPRODUCT((Calc!$A$2:$A$1001=A941)*Calc!$G$2:$G$1001*((((K941+O941)-(L941+Calc!$J$2:$J$1001))&gt;0)*(((K941+O941)-(L941+Calc!$J$2:$J$1001))&lt;Calc!$F$2:$F$1001)*((K941+O941)-(L941+Calc!$J$2:$J$1001))+(((K941+O941)-(L941+Calc!$J$2:$J$1001))&gt;=Calc!$F$2:$F$1001)*Calc!$F$2:$F$1001))))</f>
        <v/>
      </c>
      <c r="T941">
        <f>IF(AND(E941=1,B941="RETURN"),Transactions!E941*Transactions!G941,0)</f>
        <v/>
      </c>
      <c r="U941">
        <f>IF(AND(E941=1,B941="EXPENSE"),Transactions!J941,0)</f>
        <v/>
      </c>
      <c r="V941">
        <f>IF(AND(Transactions!A941&lt;&gt;"",E941=0),ROW(),"")</f>
        <v/>
      </c>
      <c r="W941">
        <f>IFERROR(VLOOKUP(A941,Opening!$A:$D,4,0),0)</f>
        <v/>
      </c>
    </row>
    <row r="942">
      <c r="A942">
        <f>IF(Transactions!D942="","",UPPER(TRIM(Transactions!D942)))</f>
        <v/>
      </c>
      <c r="B942">
        <f>IF(Transactions!C942="","",UPPER(TRIM(Transactions!C942)))</f>
        <v/>
      </c>
      <c r="C942">
        <f>IF(Transactions!B942="",0,YEAR(Transactions!B942)*100+MONTH(Transactions!B942))</f>
        <v/>
      </c>
      <c r="D942">
        <f>IF(Transactions!A942="",1,IF(COUNTIF(Transactions!$A$1:A941,Transactions!A942)&gt;0,1,0))</f>
        <v/>
      </c>
      <c r="E942">
        <f>IF(D942=1,0,IF(B942="RETURN",IF(COUNTIFS($A$1:A941,A942,$B$1:B941,"SALE",$E$1:E941,1)&gt;0,1,0),1))</f>
        <v/>
      </c>
      <c r="F942">
        <f>IF(E942=1,IF(B942="RECEIPT",Transactions!E942,IF(AND(B942="RETURN",LOWER(TRIM(Transactions!H942))="resellable"),Transactions!E942,0)),0)</f>
        <v/>
      </c>
      <c r="G942">
        <f>IF(F942&gt;0,IF(B942="RECEIPT",Transactions!F942,IF(_xlfn.MAXIFS($H$2:H942,$A$2:A942,A942)&gt;0,INDEX(Transactions!$F:$F,_xlfn.MAXIFS($H$2:H942,$A$2:A942,A942)),W942)),0)</f>
        <v/>
      </c>
      <c r="H942">
        <f>IF(AND(E942=1,B942="RECEIPT"),ROW(),0)</f>
        <v/>
      </c>
      <c r="I942">
        <f>IF(E942=1,IF(OR(B942="SALE",B942="WRITEOFF"),Transactions!E942,0),0)</f>
        <v/>
      </c>
      <c r="J942">
        <f>SUMIFS($F$1:F941,$A$1:A941,A942)</f>
        <v/>
      </c>
      <c r="K942">
        <f>SUMIFS($I$1:I941,$A$1:A941,A942)</f>
        <v/>
      </c>
      <c r="L942">
        <f>IFERROR(VLOOKUP(A942,Opening!$A:$C,3,0),0)</f>
        <v/>
      </c>
      <c r="M942">
        <f>IF(I942=0,0,MAX(0,MIN(INDEX(Month!H$2:H$13,MATCH($A942,Month!$A$2:$A$13,0))-K942,I942)))</f>
        <v/>
      </c>
      <c r="N942">
        <f>IF(I942=0,0,MAX(0,MIN(INDEX(Month!I$2:I$13,MATCH($A942,Month!$A$2:$A$13,0))-K942,I942)))</f>
        <v/>
      </c>
      <c r="O942">
        <f>IF(I942=0,0,MAX(0,MIN(INDEX(Month!J$2:J$13,MATCH($A942,Month!$A$2:$A$13,0))-K942,I942)))</f>
        <v/>
      </c>
      <c r="P942">
        <f>IF(I942=0,0,(MIN(MAX(K942,0),L942)*W942+SUMPRODUCT((Calc!$A$2:$A$1001=A942)*Calc!$G$2:$G$1001*(((K942-(L942+Calc!$J$2:$J$1001))&gt;0)*((K942-(L942+Calc!$J$2:$J$1001))&lt;Calc!$F$2:$F$1001)*(K942-(L942+Calc!$J$2:$J$1001))+((K942-(L942+Calc!$J$2:$J$1001))&gt;=Calc!$F$2:$F$1001)*Calc!$F$2:$F$1001))))</f>
        <v/>
      </c>
      <c r="Q942">
        <f>IF(I942=0,0,(MIN(MAX((K942+M942),0),L942)*W942+SUMPRODUCT((Calc!$A$2:$A$1001=A942)*Calc!$G$2:$G$1001*((((K942+M942)-(L942+Calc!$J$2:$J$1001))&gt;0)*(((K942+M942)-(L942+Calc!$J$2:$J$1001))&lt;Calc!$F$2:$F$1001)*((K942+M942)-(L942+Calc!$J$2:$J$1001))+(((K942+M942)-(L942+Calc!$J$2:$J$1001))&gt;=Calc!$F$2:$F$1001)*Calc!$F$2:$F$1001))))</f>
        <v/>
      </c>
      <c r="R942">
        <f>IF(I942=0,0,(MIN(MAX((K942+N942),0),L942)*W942+SUMPRODUCT((Calc!$A$2:$A$1001=A942)*Calc!$G$2:$G$1001*((((K942+N942)-(L942+Calc!$J$2:$J$1001))&gt;0)*(((K942+N942)-(L942+Calc!$J$2:$J$1001))&lt;Calc!$F$2:$F$1001)*((K942+N942)-(L942+Calc!$J$2:$J$1001))+(((K942+N942)-(L942+Calc!$J$2:$J$1001))&gt;=Calc!$F$2:$F$1001)*Calc!$F$2:$F$1001))))</f>
        <v/>
      </c>
      <c r="S942">
        <f>IF(I942=0,0,(MIN(MAX((K942+O942),0),L942)*W942+SUMPRODUCT((Calc!$A$2:$A$1001=A942)*Calc!$G$2:$G$1001*((((K942+O942)-(L942+Calc!$J$2:$J$1001))&gt;0)*(((K942+O942)-(L942+Calc!$J$2:$J$1001))&lt;Calc!$F$2:$F$1001)*((K942+O942)-(L942+Calc!$J$2:$J$1001))+(((K942+O942)-(L942+Calc!$J$2:$J$1001))&gt;=Calc!$F$2:$F$1001)*Calc!$F$2:$F$1001))))</f>
        <v/>
      </c>
      <c r="T942">
        <f>IF(AND(E942=1,B942="RETURN"),Transactions!E942*Transactions!G942,0)</f>
        <v/>
      </c>
      <c r="U942">
        <f>IF(AND(E942=1,B942="EXPENSE"),Transactions!J942,0)</f>
        <v/>
      </c>
      <c r="V942">
        <f>IF(AND(Transactions!A942&lt;&gt;"",E942=0),ROW(),"")</f>
        <v/>
      </c>
      <c r="W942">
        <f>IFERROR(VLOOKUP(A942,Opening!$A:$D,4,0),0)</f>
        <v/>
      </c>
    </row>
    <row r="943">
      <c r="A943">
        <f>IF(Transactions!D943="","",UPPER(TRIM(Transactions!D943)))</f>
        <v/>
      </c>
      <c r="B943">
        <f>IF(Transactions!C943="","",UPPER(TRIM(Transactions!C943)))</f>
        <v/>
      </c>
      <c r="C943">
        <f>IF(Transactions!B943="",0,YEAR(Transactions!B943)*100+MONTH(Transactions!B943))</f>
        <v/>
      </c>
      <c r="D943">
        <f>IF(Transactions!A943="",1,IF(COUNTIF(Transactions!$A$1:A942,Transactions!A943)&gt;0,1,0))</f>
        <v/>
      </c>
      <c r="E943">
        <f>IF(D943=1,0,IF(B943="RETURN",IF(COUNTIFS($A$1:A942,A943,$B$1:B942,"SALE",$E$1:E942,1)&gt;0,1,0),1))</f>
        <v/>
      </c>
      <c r="F943">
        <f>IF(E943=1,IF(B943="RECEIPT",Transactions!E943,IF(AND(B943="RETURN",LOWER(TRIM(Transactions!H943))="resellable"),Transactions!E943,0)),0)</f>
        <v/>
      </c>
      <c r="G943">
        <f>IF(F943&gt;0,IF(B943="RECEIPT",Transactions!F943,IF(_xlfn.MAXIFS($H$2:H943,$A$2:A943,A943)&gt;0,INDEX(Transactions!$F:$F,_xlfn.MAXIFS($H$2:H943,$A$2:A943,A943)),W943)),0)</f>
        <v/>
      </c>
      <c r="H943">
        <f>IF(AND(E943=1,B943="RECEIPT"),ROW(),0)</f>
        <v/>
      </c>
      <c r="I943">
        <f>IF(E943=1,IF(OR(B943="SALE",B943="WRITEOFF"),Transactions!E943,0),0)</f>
        <v/>
      </c>
      <c r="J943">
        <f>SUMIFS($F$1:F942,$A$1:A942,A943)</f>
        <v/>
      </c>
      <c r="K943">
        <f>SUMIFS($I$1:I942,$A$1:A942,A943)</f>
        <v/>
      </c>
      <c r="L943">
        <f>IFERROR(VLOOKUP(A943,Opening!$A:$C,3,0),0)</f>
        <v/>
      </c>
      <c r="M943">
        <f>IF(I943=0,0,MAX(0,MIN(INDEX(Month!H$2:H$13,MATCH($A943,Month!$A$2:$A$13,0))-K943,I943)))</f>
        <v/>
      </c>
      <c r="N943">
        <f>IF(I943=0,0,MAX(0,MIN(INDEX(Month!I$2:I$13,MATCH($A943,Month!$A$2:$A$13,0))-K943,I943)))</f>
        <v/>
      </c>
      <c r="O943">
        <f>IF(I943=0,0,MAX(0,MIN(INDEX(Month!J$2:J$13,MATCH($A943,Month!$A$2:$A$13,0))-K943,I943)))</f>
        <v/>
      </c>
      <c r="P943">
        <f>IF(I943=0,0,(MIN(MAX(K943,0),L943)*W943+SUMPRODUCT((Calc!$A$2:$A$1001=A943)*Calc!$G$2:$G$1001*(((K943-(L943+Calc!$J$2:$J$1001))&gt;0)*((K943-(L943+Calc!$J$2:$J$1001))&lt;Calc!$F$2:$F$1001)*(K943-(L943+Calc!$J$2:$J$1001))+((K943-(L943+Calc!$J$2:$J$1001))&gt;=Calc!$F$2:$F$1001)*Calc!$F$2:$F$1001))))</f>
        <v/>
      </c>
      <c r="Q943">
        <f>IF(I943=0,0,(MIN(MAX((K943+M943),0),L943)*W943+SUMPRODUCT((Calc!$A$2:$A$1001=A943)*Calc!$G$2:$G$1001*((((K943+M943)-(L943+Calc!$J$2:$J$1001))&gt;0)*(((K943+M943)-(L943+Calc!$J$2:$J$1001))&lt;Calc!$F$2:$F$1001)*((K943+M943)-(L943+Calc!$J$2:$J$1001))+(((K943+M943)-(L943+Calc!$J$2:$J$1001))&gt;=Calc!$F$2:$F$1001)*Calc!$F$2:$F$1001))))</f>
        <v/>
      </c>
      <c r="R943">
        <f>IF(I943=0,0,(MIN(MAX((K943+N943),0),L943)*W943+SUMPRODUCT((Calc!$A$2:$A$1001=A943)*Calc!$G$2:$G$1001*((((K943+N943)-(L943+Calc!$J$2:$J$1001))&gt;0)*(((K943+N943)-(L943+Calc!$J$2:$J$1001))&lt;Calc!$F$2:$F$1001)*((K943+N943)-(L943+Calc!$J$2:$J$1001))+(((K943+N943)-(L943+Calc!$J$2:$J$1001))&gt;=Calc!$F$2:$F$1001)*Calc!$F$2:$F$1001))))</f>
        <v/>
      </c>
      <c r="S943">
        <f>IF(I943=0,0,(MIN(MAX((K943+O943),0),L943)*W943+SUMPRODUCT((Calc!$A$2:$A$1001=A943)*Calc!$G$2:$G$1001*((((K943+O943)-(L943+Calc!$J$2:$J$1001))&gt;0)*(((K943+O943)-(L943+Calc!$J$2:$J$1001))&lt;Calc!$F$2:$F$1001)*((K943+O943)-(L943+Calc!$J$2:$J$1001))+(((K943+O943)-(L943+Calc!$J$2:$J$1001))&gt;=Calc!$F$2:$F$1001)*Calc!$F$2:$F$1001))))</f>
        <v/>
      </c>
      <c r="T943">
        <f>IF(AND(E943=1,B943="RETURN"),Transactions!E943*Transactions!G943,0)</f>
        <v/>
      </c>
      <c r="U943">
        <f>IF(AND(E943=1,B943="EXPENSE"),Transactions!J943,0)</f>
        <v/>
      </c>
      <c r="V943">
        <f>IF(AND(Transactions!A943&lt;&gt;"",E943=0),ROW(),"")</f>
        <v/>
      </c>
      <c r="W943">
        <f>IFERROR(VLOOKUP(A943,Opening!$A:$D,4,0),0)</f>
        <v/>
      </c>
    </row>
    <row r="944">
      <c r="A944">
        <f>IF(Transactions!D944="","",UPPER(TRIM(Transactions!D944)))</f>
        <v/>
      </c>
      <c r="B944">
        <f>IF(Transactions!C944="","",UPPER(TRIM(Transactions!C944)))</f>
        <v/>
      </c>
      <c r="C944">
        <f>IF(Transactions!B944="",0,YEAR(Transactions!B944)*100+MONTH(Transactions!B944))</f>
        <v/>
      </c>
      <c r="D944">
        <f>IF(Transactions!A944="",1,IF(COUNTIF(Transactions!$A$1:A943,Transactions!A944)&gt;0,1,0))</f>
        <v/>
      </c>
      <c r="E944">
        <f>IF(D944=1,0,IF(B944="RETURN",IF(COUNTIFS($A$1:A943,A944,$B$1:B943,"SALE",$E$1:E943,1)&gt;0,1,0),1))</f>
        <v/>
      </c>
      <c r="F944">
        <f>IF(E944=1,IF(B944="RECEIPT",Transactions!E944,IF(AND(B944="RETURN",LOWER(TRIM(Transactions!H944))="resellable"),Transactions!E944,0)),0)</f>
        <v/>
      </c>
      <c r="G944">
        <f>IF(F944&gt;0,IF(B944="RECEIPT",Transactions!F944,IF(_xlfn.MAXIFS($H$2:H944,$A$2:A944,A944)&gt;0,INDEX(Transactions!$F:$F,_xlfn.MAXIFS($H$2:H944,$A$2:A944,A944)),W944)),0)</f>
        <v/>
      </c>
      <c r="H944">
        <f>IF(AND(E944=1,B944="RECEIPT"),ROW(),0)</f>
        <v/>
      </c>
      <c r="I944">
        <f>IF(E944=1,IF(OR(B944="SALE",B944="WRITEOFF"),Transactions!E944,0),0)</f>
        <v/>
      </c>
      <c r="J944">
        <f>SUMIFS($F$1:F943,$A$1:A943,A944)</f>
        <v/>
      </c>
      <c r="K944">
        <f>SUMIFS($I$1:I943,$A$1:A943,A944)</f>
        <v/>
      </c>
      <c r="L944">
        <f>IFERROR(VLOOKUP(A944,Opening!$A:$C,3,0),0)</f>
        <v/>
      </c>
      <c r="M944">
        <f>IF(I944=0,0,MAX(0,MIN(INDEX(Month!H$2:H$13,MATCH($A944,Month!$A$2:$A$13,0))-K944,I944)))</f>
        <v/>
      </c>
      <c r="N944">
        <f>IF(I944=0,0,MAX(0,MIN(INDEX(Month!I$2:I$13,MATCH($A944,Month!$A$2:$A$13,0))-K944,I944)))</f>
        <v/>
      </c>
      <c r="O944">
        <f>IF(I944=0,0,MAX(0,MIN(INDEX(Month!J$2:J$13,MATCH($A944,Month!$A$2:$A$13,0))-K944,I944)))</f>
        <v/>
      </c>
      <c r="P944">
        <f>IF(I944=0,0,(MIN(MAX(K944,0),L944)*W944+SUMPRODUCT((Calc!$A$2:$A$1001=A944)*Calc!$G$2:$G$1001*(((K944-(L944+Calc!$J$2:$J$1001))&gt;0)*((K944-(L944+Calc!$J$2:$J$1001))&lt;Calc!$F$2:$F$1001)*(K944-(L944+Calc!$J$2:$J$1001))+((K944-(L944+Calc!$J$2:$J$1001))&gt;=Calc!$F$2:$F$1001)*Calc!$F$2:$F$1001))))</f>
        <v/>
      </c>
      <c r="Q944">
        <f>IF(I944=0,0,(MIN(MAX((K944+M944),0),L944)*W944+SUMPRODUCT((Calc!$A$2:$A$1001=A944)*Calc!$G$2:$G$1001*((((K944+M944)-(L944+Calc!$J$2:$J$1001))&gt;0)*(((K944+M944)-(L944+Calc!$J$2:$J$1001))&lt;Calc!$F$2:$F$1001)*((K944+M944)-(L944+Calc!$J$2:$J$1001))+(((K944+M944)-(L944+Calc!$J$2:$J$1001))&gt;=Calc!$F$2:$F$1001)*Calc!$F$2:$F$1001))))</f>
        <v/>
      </c>
      <c r="R944">
        <f>IF(I944=0,0,(MIN(MAX((K944+N944),0),L944)*W944+SUMPRODUCT((Calc!$A$2:$A$1001=A944)*Calc!$G$2:$G$1001*((((K944+N944)-(L944+Calc!$J$2:$J$1001))&gt;0)*(((K944+N944)-(L944+Calc!$J$2:$J$1001))&lt;Calc!$F$2:$F$1001)*((K944+N944)-(L944+Calc!$J$2:$J$1001))+(((K944+N944)-(L944+Calc!$J$2:$J$1001))&gt;=Calc!$F$2:$F$1001)*Calc!$F$2:$F$1001))))</f>
        <v/>
      </c>
      <c r="S944">
        <f>IF(I944=0,0,(MIN(MAX((K944+O944),0),L944)*W944+SUMPRODUCT((Calc!$A$2:$A$1001=A944)*Calc!$G$2:$G$1001*((((K944+O944)-(L944+Calc!$J$2:$J$1001))&gt;0)*(((K944+O944)-(L944+Calc!$J$2:$J$1001))&lt;Calc!$F$2:$F$1001)*((K944+O944)-(L944+Calc!$J$2:$J$1001))+(((K944+O944)-(L944+Calc!$J$2:$J$1001))&gt;=Calc!$F$2:$F$1001)*Calc!$F$2:$F$1001))))</f>
        <v/>
      </c>
      <c r="T944">
        <f>IF(AND(E944=1,B944="RETURN"),Transactions!E944*Transactions!G944,0)</f>
        <v/>
      </c>
      <c r="U944">
        <f>IF(AND(E944=1,B944="EXPENSE"),Transactions!J944,0)</f>
        <v/>
      </c>
      <c r="V944">
        <f>IF(AND(Transactions!A944&lt;&gt;"",E944=0),ROW(),"")</f>
        <v/>
      </c>
      <c r="W944">
        <f>IFERROR(VLOOKUP(A944,Opening!$A:$D,4,0),0)</f>
        <v/>
      </c>
    </row>
    <row r="945">
      <c r="A945">
        <f>IF(Transactions!D945="","",UPPER(TRIM(Transactions!D945)))</f>
        <v/>
      </c>
      <c r="B945">
        <f>IF(Transactions!C945="","",UPPER(TRIM(Transactions!C945)))</f>
        <v/>
      </c>
      <c r="C945">
        <f>IF(Transactions!B945="",0,YEAR(Transactions!B945)*100+MONTH(Transactions!B945))</f>
        <v/>
      </c>
      <c r="D945">
        <f>IF(Transactions!A945="",1,IF(COUNTIF(Transactions!$A$1:A944,Transactions!A945)&gt;0,1,0))</f>
        <v/>
      </c>
      <c r="E945">
        <f>IF(D945=1,0,IF(B945="RETURN",IF(COUNTIFS($A$1:A944,A945,$B$1:B944,"SALE",$E$1:E944,1)&gt;0,1,0),1))</f>
        <v/>
      </c>
      <c r="F945">
        <f>IF(E945=1,IF(B945="RECEIPT",Transactions!E945,IF(AND(B945="RETURN",LOWER(TRIM(Transactions!H945))="resellable"),Transactions!E945,0)),0)</f>
        <v/>
      </c>
      <c r="G945">
        <f>IF(F945&gt;0,IF(B945="RECEIPT",Transactions!F945,IF(_xlfn.MAXIFS($H$2:H945,$A$2:A945,A945)&gt;0,INDEX(Transactions!$F:$F,_xlfn.MAXIFS($H$2:H945,$A$2:A945,A945)),W945)),0)</f>
        <v/>
      </c>
      <c r="H945">
        <f>IF(AND(E945=1,B945="RECEIPT"),ROW(),0)</f>
        <v/>
      </c>
      <c r="I945">
        <f>IF(E945=1,IF(OR(B945="SALE",B945="WRITEOFF"),Transactions!E945,0),0)</f>
        <v/>
      </c>
      <c r="J945">
        <f>SUMIFS($F$1:F944,$A$1:A944,A945)</f>
        <v/>
      </c>
      <c r="K945">
        <f>SUMIFS($I$1:I944,$A$1:A944,A945)</f>
        <v/>
      </c>
      <c r="L945">
        <f>IFERROR(VLOOKUP(A945,Opening!$A:$C,3,0),0)</f>
        <v/>
      </c>
      <c r="M945">
        <f>IF(I945=0,0,MAX(0,MIN(INDEX(Month!H$2:H$13,MATCH($A945,Month!$A$2:$A$13,0))-K945,I945)))</f>
        <v/>
      </c>
      <c r="N945">
        <f>IF(I945=0,0,MAX(0,MIN(INDEX(Month!I$2:I$13,MATCH($A945,Month!$A$2:$A$13,0))-K945,I945)))</f>
        <v/>
      </c>
      <c r="O945">
        <f>IF(I945=0,0,MAX(0,MIN(INDEX(Month!J$2:J$13,MATCH($A945,Month!$A$2:$A$13,0))-K945,I945)))</f>
        <v/>
      </c>
      <c r="P945">
        <f>IF(I945=0,0,(MIN(MAX(K945,0),L945)*W945+SUMPRODUCT((Calc!$A$2:$A$1001=A945)*Calc!$G$2:$G$1001*(((K945-(L945+Calc!$J$2:$J$1001))&gt;0)*((K945-(L945+Calc!$J$2:$J$1001))&lt;Calc!$F$2:$F$1001)*(K945-(L945+Calc!$J$2:$J$1001))+((K945-(L945+Calc!$J$2:$J$1001))&gt;=Calc!$F$2:$F$1001)*Calc!$F$2:$F$1001))))</f>
        <v/>
      </c>
      <c r="Q945">
        <f>IF(I945=0,0,(MIN(MAX((K945+M945),0),L945)*W945+SUMPRODUCT((Calc!$A$2:$A$1001=A945)*Calc!$G$2:$G$1001*((((K945+M945)-(L945+Calc!$J$2:$J$1001))&gt;0)*(((K945+M945)-(L945+Calc!$J$2:$J$1001))&lt;Calc!$F$2:$F$1001)*((K945+M945)-(L945+Calc!$J$2:$J$1001))+(((K945+M945)-(L945+Calc!$J$2:$J$1001))&gt;=Calc!$F$2:$F$1001)*Calc!$F$2:$F$1001))))</f>
        <v/>
      </c>
      <c r="R945">
        <f>IF(I945=0,0,(MIN(MAX((K945+N945),0),L945)*W945+SUMPRODUCT((Calc!$A$2:$A$1001=A945)*Calc!$G$2:$G$1001*((((K945+N945)-(L945+Calc!$J$2:$J$1001))&gt;0)*(((K945+N945)-(L945+Calc!$J$2:$J$1001))&lt;Calc!$F$2:$F$1001)*((K945+N945)-(L945+Calc!$J$2:$J$1001))+(((K945+N945)-(L945+Calc!$J$2:$J$1001))&gt;=Calc!$F$2:$F$1001)*Calc!$F$2:$F$1001))))</f>
        <v/>
      </c>
      <c r="S945">
        <f>IF(I945=0,0,(MIN(MAX((K945+O945),0),L945)*W945+SUMPRODUCT((Calc!$A$2:$A$1001=A945)*Calc!$G$2:$G$1001*((((K945+O945)-(L945+Calc!$J$2:$J$1001))&gt;0)*(((K945+O945)-(L945+Calc!$J$2:$J$1001))&lt;Calc!$F$2:$F$1001)*((K945+O945)-(L945+Calc!$J$2:$J$1001))+(((K945+O945)-(L945+Calc!$J$2:$J$1001))&gt;=Calc!$F$2:$F$1001)*Calc!$F$2:$F$1001))))</f>
        <v/>
      </c>
      <c r="T945">
        <f>IF(AND(E945=1,B945="RETURN"),Transactions!E945*Transactions!G945,0)</f>
        <v/>
      </c>
      <c r="U945">
        <f>IF(AND(E945=1,B945="EXPENSE"),Transactions!J945,0)</f>
        <v/>
      </c>
      <c r="V945">
        <f>IF(AND(Transactions!A945&lt;&gt;"",E945=0),ROW(),"")</f>
        <v/>
      </c>
      <c r="W945">
        <f>IFERROR(VLOOKUP(A945,Opening!$A:$D,4,0),0)</f>
        <v/>
      </c>
    </row>
    <row r="946">
      <c r="A946">
        <f>IF(Transactions!D946="","",UPPER(TRIM(Transactions!D946)))</f>
        <v/>
      </c>
      <c r="B946">
        <f>IF(Transactions!C946="","",UPPER(TRIM(Transactions!C946)))</f>
        <v/>
      </c>
      <c r="C946">
        <f>IF(Transactions!B946="",0,YEAR(Transactions!B946)*100+MONTH(Transactions!B946))</f>
        <v/>
      </c>
      <c r="D946">
        <f>IF(Transactions!A946="",1,IF(COUNTIF(Transactions!$A$1:A945,Transactions!A946)&gt;0,1,0))</f>
        <v/>
      </c>
      <c r="E946">
        <f>IF(D946=1,0,IF(B946="RETURN",IF(COUNTIFS($A$1:A945,A946,$B$1:B945,"SALE",$E$1:E945,1)&gt;0,1,0),1))</f>
        <v/>
      </c>
      <c r="F946">
        <f>IF(E946=1,IF(B946="RECEIPT",Transactions!E946,IF(AND(B946="RETURN",LOWER(TRIM(Transactions!H946))="resellable"),Transactions!E946,0)),0)</f>
        <v/>
      </c>
      <c r="G946">
        <f>IF(F946&gt;0,IF(B946="RECEIPT",Transactions!F946,IF(_xlfn.MAXIFS($H$2:H946,$A$2:A946,A946)&gt;0,INDEX(Transactions!$F:$F,_xlfn.MAXIFS($H$2:H946,$A$2:A946,A946)),W946)),0)</f>
        <v/>
      </c>
      <c r="H946">
        <f>IF(AND(E946=1,B946="RECEIPT"),ROW(),0)</f>
        <v/>
      </c>
      <c r="I946">
        <f>IF(E946=1,IF(OR(B946="SALE",B946="WRITEOFF"),Transactions!E946,0),0)</f>
        <v/>
      </c>
      <c r="J946">
        <f>SUMIFS($F$1:F945,$A$1:A945,A946)</f>
        <v/>
      </c>
      <c r="K946">
        <f>SUMIFS($I$1:I945,$A$1:A945,A946)</f>
        <v/>
      </c>
      <c r="L946">
        <f>IFERROR(VLOOKUP(A946,Opening!$A:$C,3,0),0)</f>
        <v/>
      </c>
      <c r="M946">
        <f>IF(I946=0,0,MAX(0,MIN(INDEX(Month!H$2:H$13,MATCH($A946,Month!$A$2:$A$13,0))-K946,I946)))</f>
        <v/>
      </c>
      <c r="N946">
        <f>IF(I946=0,0,MAX(0,MIN(INDEX(Month!I$2:I$13,MATCH($A946,Month!$A$2:$A$13,0))-K946,I946)))</f>
        <v/>
      </c>
      <c r="O946">
        <f>IF(I946=0,0,MAX(0,MIN(INDEX(Month!J$2:J$13,MATCH($A946,Month!$A$2:$A$13,0))-K946,I946)))</f>
        <v/>
      </c>
      <c r="P946">
        <f>IF(I946=0,0,(MIN(MAX(K946,0),L946)*W946+SUMPRODUCT((Calc!$A$2:$A$1001=A946)*Calc!$G$2:$G$1001*(((K946-(L946+Calc!$J$2:$J$1001))&gt;0)*((K946-(L946+Calc!$J$2:$J$1001))&lt;Calc!$F$2:$F$1001)*(K946-(L946+Calc!$J$2:$J$1001))+((K946-(L946+Calc!$J$2:$J$1001))&gt;=Calc!$F$2:$F$1001)*Calc!$F$2:$F$1001))))</f>
        <v/>
      </c>
      <c r="Q946">
        <f>IF(I946=0,0,(MIN(MAX((K946+M946),0),L946)*W946+SUMPRODUCT((Calc!$A$2:$A$1001=A946)*Calc!$G$2:$G$1001*((((K946+M946)-(L946+Calc!$J$2:$J$1001))&gt;0)*(((K946+M946)-(L946+Calc!$J$2:$J$1001))&lt;Calc!$F$2:$F$1001)*((K946+M946)-(L946+Calc!$J$2:$J$1001))+(((K946+M946)-(L946+Calc!$J$2:$J$1001))&gt;=Calc!$F$2:$F$1001)*Calc!$F$2:$F$1001))))</f>
        <v/>
      </c>
      <c r="R946">
        <f>IF(I946=0,0,(MIN(MAX((K946+N946),0),L946)*W946+SUMPRODUCT((Calc!$A$2:$A$1001=A946)*Calc!$G$2:$G$1001*((((K946+N946)-(L946+Calc!$J$2:$J$1001))&gt;0)*(((K946+N946)-(L946+Calc!$J$2:$J$1001))&lt;Calc!$F$2:$F$1001)*((K946+N946)-(L946+Calc!$J$2:$J$1001))+(((K946+N946)-(L946+Calc!$J$2:$J$1001))&gt;=Calc!$F$2:$F$1001)*Calc!$F$2:$F$1001))))</f>
        <v/>
      </c>
      <c r="S946">
        <f>IF(I946=0,0,(MIN(MAX((K946+O946),0),L946)*W946+SUMPRODUCT((Calc!$A$2:$A$1001=A946)*Calc!$G$2:$G$1001*((((K946+O946)-(L946+Calc!$J$2:$J$1001))&gt;0)*(((K946+O946)-(L946+Calc!$J$2:$J$1001))&lt;Calc!$F$2:$F$1001)*((K946+O946)-(L946+Calc!$J$2:$J$1001))+(((K946+O946)-(L946+Calc!$J$2:$J$1001))&gt;=Calc!$F$2:$F$1001)*Calc!$F$2:$F$1001))))</f>
        <v/>
      </c>
      <c r="T946">
        <f>IF(AND(E946=1,B946="RETURN"),Transactions!E946*Transactions!G946,0)</f>
        <v/>
      </c>
      <c r="U946">
        <f>IF(AND(E946=1,B946="EXPENSE"),Transactions!J946,0)</f>
        <v/>
      </c>
      <c r="V946">
        <f>IF(AND(Transactions!A946&lt;&gt;"",E946=0),ROW(),"")</f>
        <v/>
      </c>
      <c r="W946">
        <f>IFERROR(VLOOKUP(A946,Opening!$A:$D,4,0),0)</f>
        <v/>
      </c>
    </row>
    <row r="947">
      <c r="A947">
        <f>IF(Transactions!D947="","",UPPER(TRIM(Transactions!D947)))</f>
        <v/>
      </c>
      <c r="B947">
        <f>IF(Transactions!C947="","",UPPER(TRIM(Transactions!C947)))</f>
        <v/>
      </c>
      <c r="C947">
        <f>IF(Transactions!B947="",0,YEAR(Transactions!B947)*100+MONTH(Transactions!B947))</f>
        <v/>
      </c>
      <c r="D947">
        <f>IF(Transactions!A947="",1,IF(COUNTIF(Transactions!$A$1:A946,Transactions!A947)&gt;0,1,0))</f>
        <v/>
      </c>
      <c r="E947">
        <f>IF(D947=1,0,IF(B947="RETURN",IF(COUNTIFS($A$1:A946,A947,$B$1:B946,"SALE",$E$1:E946,1)&gt;0,1,0),1))</f>
        <v/>
      </c>
      <c r="F947">
        <f>IF(E947=1,IF(B947="RECEIPT",Transactions!E947,IF(AND(B947="RETURN",LOWER(TRIM(Transactions!H947))="resellable"),Transactions!E947,0)),0)</f>
        <v/>
      </c>
      <c r="G947">
        <f>IF(F947&gt;0,IF(B947="RECEIPT",Transactions!F947,IF(_xlfn.MAXIFS($H$2:H947,$A$2:A947,A947)&gt;0,INDEX(Transactions!$F:$F,_xlfn.MAXIFS($H$2:H947,$A$2:A947,A947)),W947)),0)</f>
        <v/>
      </c>
      <c r="H947">
        <f>IF(AND(E947=1,B947="RECEIPT"),ROW(),0)</f>
        <v/>
      </c>
      <c r="I947">
        <f>IF(E947=1,IF(OR(B947="SALE",B947="WRITEOFF"),Transactions!E947,0),0)</f>
        <v/>
      </c>
      <c r="J947">
        <f>SUMIFS($F$1:F946,$A$1:A946,A947)</f>
        <v/>
      </c>
      <c r="K947">
        <f>SUMIFS($I$1:I946,$A$1:A946,A947)</f>
        <v/>
      </c>
      <c r="L947">
        <f>IFERROR(VLOOKUP(A947,Opening!$A:$C,3,0),0)</f>
        <v/>
      </c>
      <c r="M947">
        <f>IF(I947=0,0,MAX(0,MIN(INDEX(Month!H$2:H$13,MATCH($A947,Month!$A$2:$A$13,0))-K947,I947)))</f>
        <v/>
      </c>
      <c r="N947">
        <f>IF(I947=0,0,MAX(0,MIN(INDEX(Month!I$2:I$13,MATCH($A947,Month!$A$2:$A$13,0))-K947,I947)))</f>
        <v/>
      </c>
      <c r="O947">
        <f>IF(I947=0,0,MAX(0,MIN(INDEX(Month!J$2:J$13,MATCH($A947,Month!$A$2:$A$13,0))-K947,I947)))</f>
        <v/>
      </c>
      <c r="P947">
        <f>IF(I947=0,0,(MIN(MAX(K947,0),L947)*W947+SUMPRODUCT((Calc!$A$2:$A$1001=A947)*Calc!$G$2:$G$1001*(((K947-(L947+Calc!$J$2:$J$1001))&gt;0)*((K947-(L947+Calc!$J$2:$J$1001))&lt;Calc!$F$2:$F$1001)*(K947-(L947+Calc!$J$2:$J$1001))+((K947-(L947+Calc!$J$2:$J$1001))&gt;=Calc!$F$2:$F$1001)*Calc!$F$2:$F$1001))))</f>
        <v/>
      </c>
      <c r="Q947">
        <f>IF(I947=0,0,(MIN(MAX((K947+M947),0),L947)*W947+SUMPRODUCT((Calc!$A$2:$A$1001=A947)*Calc!$G$2:$G$1001*((((K947+M947)-(L947+Calc!$J$2:$J$1001))&gt;0)*(((K947+M947)-(L947+Calc!$J$2:$J$1001))&lt;Calc!$F$2:$F$1001)*((K947+M947)-(L947+Calc!$J$2:$J$1001))+(((K947+M947)-(L947+Calc!$J$2:$J$1001))&gt;=Calc!$F$2:$F$1001)*Calc!$F$2:$F$1001))))</f>
        <v/>
      </c>
      <c r="R947">
        <f>IF(I947=0,0,(MIN(MAX((K947+N947),0),L947)*W947+SUMPRODUCT((Calc!$A$2:$A$1001=A947)*Calc!$G$2:$G$1001*((((K947+N947)-(L947+Calc!$J$2:$J$1001))&gt;0)*(((K947+N947)-(L947+Calc!$J$2:$J$1001))&lt;Calc!$F$2:$F$1001)*((K947+N947)-(L947+Calc!$J$2:$J$1001))+(((K947+N947)-(L947+Calc!$J$2:$J$1001))&gt;=Calc!$F$2:$F$1001)*Calc!$F$2:$F$1001))))</f>
        <v/>
      </c>
      <c r="S947">
        <f>IF(I947=0,0,(MIN(MAX((K947+O947),0),L947)*W947+SUMPRODUCT((Calc!$A$2:$A$1001=A947)*Calc!$G$2:$G$1001*((((K947+O947)-(L947+Calc!$J$2:$J$1001))&gt;0)*(((K947+O947)-(L947+Calc!$J$2:$J$1001))&lt;Calc!$F$2:$F$1001)*((K947+O947)-(L947+Calc!$J$2:$J$1001))+(((K947+O947)-(L947+Calc!$J$2:$J$1001))&gt;=Calc!$F$2:$F$1001)*Calc!$F$2:$F$1001))))</f>
        <v/>
      </c>
      <c r="T947">
        <f>IF(AND(E947=1,B947="RETURN"),Transactions!E947*Transactions!G947,0)</f>
        <v/>
      </c>
      <c r="U947">
        <f>IF(AND(E947=1,B947="EXPENSE"),Transactions!J947,0)</f>
        <v/>
      </c>
      <c r="V947">
        <f>IF(AND(Transactions!A947&lt;&gt;"",E947=0),ROW(),"")</f>
        <v/>
      </c>
      <c r="W947">
        <f>IFERROR(VLOOKUP(A947,Opening!$A:$D,4,0),0)</f>
        <v/>
      </c>
    </row>
    <row r="948">
      <c r="A948">
        <f>IF(Transactions!D948="","",UPPER(TRIM(Transactions!D948)))</f>
        <v/>
      </c>
      <c r="B948">
        <f>IF(Transactions!C948="","",UPPER(TRIM(Transactions!C948)))</f>
        <v/>
      </c>
      <c r="C948">
        <f>IF(Transactions!B948="",0,YEAR(Transactions!B948)*100+MONTH(Transactions!B948))</f>
        <v/>
      </c>
      <c r="D948">
        <f>IF(Transactions!A948="",1,IF(COUNTIF(Transactions!$A$1:A947,Transactions!A948)&gt;0,1,0))</f>
        <v/>
      </c>
      <c r="E948">
        <f>IF(D948=1,0,IF(B948="RETURN",IF(COUNTIFS($A$1:A947,A948,$B$1:B947,"SALE",$E$1:E947,1)&gt;0,1,0),1))</f>
        <v/>
      </c>
      <c r="F948">
        <f>IF(E948=1,IF(B948="RECEIPT",Transactions!E948,IF(AND(B948="RETURN",LOWER(TRIM(Transactions!H948))="resellable"),Transactions!E948,0)),0)</f>
        <v/>
      </c>
      <c r="G948">
        <f>IF(F948&gt;0,IF(B948="RECEIPT",Transactions!F948,IF(_xlfn.MAXIFS($H$2:H948,$A$2:A948,A948)&gt;0,INDEX(Transactions!$F:$F,_xlfn.MAXIFS($H$2:H948,$A$2:A948,A948)),W948)),0)</f>
        <v/>
      </c>
      <c r="H948">
        <f>IF(AND(E948=1,B948="RECEIPT"),ROW(),0)</f>
        <v/>
      </c>
      <c r="I948">
        <f>IF(E948=1,IF(OR(B948="SALE",B948="WRITEOFF"),Transactions!E948,0),0)</f>
        <v/>
      </c>
      <c r="J948">
        <f>SUMIFS($F$1:F947,$A$1:A947,A948)</f>
        <v/>
      </c>
      <c r="K948">
        <f>SUMIFS($I$1:I947,$A$1:A947,A948)</f>
        <v/>
      </c>
      <c r="L948">
        <f>IFERROR(VLOOKUP(A948,Opening!$A:$C,3,0),0)</f>
        <v/>
      </c>
      <c r="M948">
        <f>IF(I948=0,0,MAX(0,MIN(INDEX(Month!H$2:H$13,MATCH($A948,Month!$A$2:$A$13,0))-K948,I948)))</f>
        <v/>
      </c>
      <c r="N948">
        <f>IF(I948=0,0,MAX(0,MIN(INDEX(Month!I$2:I$13,MATCH($A948,Month!$A$2:$A$13,0))-K948,I948)))</f>
        <v/>
      </c>
      <c r="O948">
        <f>IF(I948=0,0,MAX(0,MIN(INDEX(Month!J$2:J$13,MATCH($A948,Month!$A$2:$A$13,0))-K948,I948)))</f>
        <v/>
      </c>
      <c r="P948">
        <f>IF(I948=0,0,(MIN(MAX(K948,0),L948)*W948+SUMPRODUCT((Calc!$A$2:$A$1001=A948)*Calc!$G$2:$G$1001*(((K948-(L948+Calc!$J$2:$J$1001))&gt;0)*((K948-(L948+Calc!$J$2:$J$1001))&lt;Calc!$F$2:$F$1001)*(K948-(L948+Calc!$J$2:$J$1001))+((K948-(L948+Calc!$J$2:$J$1001))&gt;=Calc!$F$2:$F$1001)*Calc!$F$2:$F$1001))))</f>
        <v/>
      </c>
      <c r="Q948">
        <f>IF(I948=0,0,(MIN(MAX((K948+M948),0),L948)*W948+SUMPRODUCT((Calc!$A$2:$A$1001=A948)*Calc!$G$2:$G$1001*((((K948+M948)-(L948+Calc!$J$2:$J$1001))&gt;0)*(((K948+M948)-(L948+Calc!$J$2:$J$1001))&lt;Calc!$F$2:$F$1001)*((K948+M948)-(L948+Calc!$J$2:$J$1001))+(((K948+M948)-(L948+Calc!$J$2:$J$1001))&gt;=Calc!$F$2:$F$1001)*Calc!$F$2:$F$1001))))</f>
        <v/>
      </c>
      <c r="R948">
        <f>IF(I948=0,0,(MIN(MAX((K948+N948),0),L948)*W948+SUMPRODUCT((Calc!$A$2:$A$1001=A948)*Calc!$G$2:$G$1001*((((K948+N948)-(L948+Calc!$J$2:$J$1001))&gt;0)*(((K948+N948)-(L948+Calc!$J$2:$J$1001))&lt;Calc!$F$2:$F$1001)*((K948+N948)-(L948+Calc!$J$2:$J$1001))+(((K948+N948)-(L948+Calc!$J$2:$J$1001))&gt;=Calc!$F$2:$F$1001)*Calc!$F$2:$F$1001))))</f>
        <v/>
      </c>
      <c r="S948">
        <f>IF(I948=0,0,(MIN(MAX((K948+O948),0),L948)*W948+SUMPRODUCT((Calc!$A$2:$A$1001=A948)*Calc!$G$2:$G$1001*((((K948+O948)-(L948+Calc!$J$2:$J$1001))&gt;0)*(((K948+O948)-(L948+Calc!$J$2:$J$1001))&lt;Calc!$F$2:$F$1001)*((K948+O948)-(L948+Calc!$J$2:$J$1001))+(((K948+O948)-(L948+Calc!$J$2:$J$1001))&gt;=Calc!$F$2:$F$1001)*Calc!$F$2:$F$1001))))</f>
        <v/>
      </c>
      <c r="T948">
        <f>IF(AND(E948=1,B948="RETURN"),Transactions!E948*Transactions!G948,0)</f>
        <v/>
      </c>
      <c r="U948">
        <f>IF(AND(E948=1,B948="EXPENSE"),Transactions!J948,0)</f>
        <v/>
      </c>
      <c r="V948">
        <f>IF(AND(Transactions!A948&lt;&gt;"",E948=0),ROW(),"")</f>
        <v/>
      </c>
      <c r="W948">
        <f>IFERROR(VLOOKUP(A948,Opening!$A:$D,4,0),0)</f>
        <v/>
      </c>
    </row>
    <row r="949">
      <c r="A949">
        <f>IF(Transactions!D949="","",UPPER(TRIM(Transactions!D949)))</f>
        <v/>
      </c>
      <c r="B949">
        <f>IF(Transactions!C949="","",UPPER(TRIM(Transactions!C949)))</f>
        <v/>
      </c>
      <c r="C949">
        <f>IF(Transactions!B949="",0,YEAR(Transactions!B949)*100+MONTH(Transactions!B949))</f>
        <v/>
      </c>
      <c r="D949">
        <f>IF(Transactions!A949="",1,IF(COUNTIF(Transactions!$A$1:A948,Transactions!A949)&gt;0,1,0))</f>
        <v/>
      </c>
      <c r="E949">
        <f>IF(D949=1,0,IF(B949="RETURN",IF(COUNTIFS($A$1:A948,A949,$B$1:B948,"SALE",$E$1:E948,1)&gt;0,1,0),1))</f>
        <v/>
      </c>
      <c r="F949">
        <f>IF(E949=1,IF(B949="RECEIPT",Transactions!E949,IF(AND(B949="RETURN",LOWER(TRIM(Transactions!H949))="resellable"),Transactions!E949,0)),0)</f>
        <v/>
      </c>
      <c r="G949">
        <f>IF(F949&gt;0,IF(B949="RECEIPT",Transactions!F949,IF(_xlfn.MAXIFS($H$2:H949,$A$2:A949,A949)&gt;0,INDEX(Transactions!$F:$F,_xlfn.MAXIFS($H$2:H949,$A$2:A949,A949)),W949)),0)</f>
        <v/>
      </c>
      <c r="H949">
        <f>IF(AND(E949=1,B949="RECEIPT"),ROW(),0)</f>
        <v/>
      </c>
      <c r="I949">
        <f>IF(E949=1,IF(OR(B949="SALE",B949="WRITEOFF"),Transactions!E949,0),0)</f>
        <v/>
      </c>
      <c r="J949">
        <f>SUMIFS($F$1:F948,$A$1:A948,A949)</f>
        <v/>
      </c>
      <c r="K949">
        <f>SUMIFS($I$1:I948,$A$1:A948,A949)</f>
        <v/>
      </c>
      <c r="L949">
        <f>IFERROR(VLOOKUP(A949,Opening!$A:$C,3,0),0)</f>
        <v/>
      </c>
      <c r="M949">
        <f>IF(I949=0,0,MAX(0,MIN(INDEX(Month!H$2:H$13,MATCH($A949,Month!$A$2:$A$13,0))-K949,I949)))</f>
        <v/>
      </c>
      <c r="N949">
        <f>IF(I949=0,0,MAX(0,MIN(INDEX(Month!I$2:I$13,MATCH($A949,Month!$A$2:$A$13,0))-K949,I949)))</f>
        <v/>
      </c>
      <c r="O949">
        <f>IF(I949=0,0,MAX(0,MIN(INDEX(Month!J$2:J$13,MATCH($A949,Month!$A$2:$A$13,0))-K949,I949)))</f>
        <v/>
      </c>
      <c r="P949">
        <f>IF(I949=0,0,(MIN(MAX(K949,0),L949)*W949+SUMPRODUCT((Calc!$A$2:$A$1001=A949)*Calc!$G$2:$G$1001*(((K949-(L949+Calc!$J$2:$J$1001))&gt;0)*((K949-(L949+Calc!$J$2:$J$1001))&lt;Calc!$F$2:$F$1001)*(K949-(L949+Calc!$J$2:$J$1001))+((K949-(L949+Calc!$J$2:$J$1001))&gt;=Calc!$F$2:$F$1001)*Calc!$F$2:$F$1001))))</f>
        <v/>
      </c>
      <c r="Q949">
        <f>IF(I949=0,0,(MIN(MAX((K949+M949),0),L949)*W949+SUMPRODUCT((Calc!$A$2:$A$1001=A949)*Calc!$G$2:$G$1001*((((K949+M949)-(L949+Calc!$J$2:$J$1001))&gt;0)*(((K949+M949)-(L949+Calc!$J$2:$J$1001))&lt;Calc!$F$2:$F$1001)*((K949+M949)-(L949+Calc!$J$2:$J$1001))+(((K949+M949)-(L949+Calc!$J$2:$J$1001))&gt;=Calc!$F$2:$F$1001)*Calc!$F$2:$F$1001))))</f>
        <v/>
      </c>
      <c r="R949">
        <f>IF(I949=0,0,(MIN(MAX((K949+N949),0),L949)*W949+SUMPRODUCT((Calc!$A$2:$A$1001=A949)*Calc!$G$2:$G$1001*((((K949+N949)-(L949+Calc!$J$2:$J$1001))&gt;0)*(((K949+N949)-(L949+Calc!$J$2:$J$1001))&lt;Calc!$F$2:$F$1001)*((K949+N949)-(L949+Calc!$J$2:$J$1001))+(((K949+N949)-(L949+Calc!$J$2:$J$1001))&gt;=Calc!$F$2:$F$1001)*Calc!$F$2:$F$1001))))</f>
        <v/>
      </c>
      <c r="S949">
        <f>IF(I949=0,0,(MIN(MAX((K949+O949),0),L949)*W949+SUMPRODUCT((Calc!$A$2:$A$1001=A949)*Calc!$G$2:$G$1001*((((K949+O949)-(L949+Calc!$J$2:$J$1001))&gt;0)*(((K949+O949)-(L949+Calc!$J$2:$J$1001))&lt;Calc!$F$2:$F$1001)*((K949+O949)-(L949+Calc!$J$2:$J$1001))+(((K949+O949)-(L949+Calc!$J$2:$J$1001))&gt;=Calc!$F$2:$F$1001)*Calc!$F$2:$F$1001))))</f>
        <v/>
      </c>
      <c r="T949">
        <f>IF(AND(E949=1,B949="RETURN"),Transactions!E949*Transactions!G949,0)</f>
        <v/>
      </c>
      <c r="U949">
        <f>IF(AND(E949=1,B949="EXPENSE"),Transactions!J949,0)</f>
        <v/>
      </c>
      <c r="V949">
        <f>IF(AND(Transactions!A949&lt;&gt;"",E949=0),ROW(),"")</f>
        <v/>
      </c>
      <c r="W949">
        <f>IFERROR(VLOOKUP(A949,Opening!$A:$D,4,0),0)</f>
        <v/>
      </c>
    </row>
    <row r="950">
      <c r="A950">
        <f>IF(Transactions!D950="","",UPPER(TRIM(Transactions!D950)))</f>
        <v/>
      </c>
      <c r="B950">
        <f>IF(Transactions!C950="","",UPPER(TRIM(Transactions!C950)))</f>
        <v/>
      </c>
      <c r="C950">
        <f>IF(Transactions!B950="",0,YEAR(Transactions!B950)*100+MONTH(Transactions!B950))</f>
        <v/>
      </c>
      <c r="D950">
        <f>IF(Transactions!A950="",1,IF(COUNTIF(Transactions!$A$1:A949,Transactions!A950)&gt;0,1,0))</f>
        <v/>
      </c>
      <c r="E950">
        <f>IF(D950=1,0,IF(B950="RETURN",IF(COUNTIFS($A$1:A949,A950,$B$1:B949,"SALE",$E$1:E949,1)&gt;0,1,0),1))</f>
        <v/>
      </c>
      <c r="F950">
        <f>IF(E950=1,IF(B950="RECEIPT",Transactions!E950,IF(AND(B950="RETURN",LOWER(TRIM(Transactions!H950))="resellable"),Transactions!E950,0)),0)</f>
        <v/>
      </c>
      <c r="G950">
        <f>IF(F950&gt;0,IF(B950="RECEIPT",Transactions!F950,IF(_xlfn.MAXIFS($H$2:H950,$A$2:A950,A950)&gt;0,INDEX(Transactions!$F:$F,_xlfn.MAXIFS($H$2:H950,$A$2:A950,A950)),W950)),0)</f>
        <v/>
      </c>
      <c r="H950">
        <f>IF(AND(E950=1,B950="RECEIPT"),ROW(),0)</f>
        <v/>
      </c>
      <c r="I950">
        <f>IF(E950=1,IF(OR(B950="SALE",B950="WRITEOFF"),Transactions!E950,0),0)</f>
        <v/>
      </c>
      <c r="J950">
        <f>SUMIFS($F$1:F949,$A$1:A949,A950)</f>
        <v/>
      </c>
      <c r="K950">
        <f>SUMIFS($I$1:I949,$A$1:A949,A950)</f>
        <v/>
      </c>
      <c r="L950">
        <f>IFERROR(VLOOKUP(A950,Opening!$A:$C,3,0),0)</f>
        <v/>
      </c>
      <c r="M950">
        <f>IF(I950=0,0,MAX(0,MIN(INDEX(Month!H$2:H$13,MATCH($A950,Month!$A$2:$A$13,0))-K950,I950)))</f>
        <v/>
      </c>
      <c r="N950">
        <f>IF(I950=0,0,MAX(0,MIN(INDEX(Month!I$2:I$13,MATCH($A950,Month!$A$2:$A$13,0))-K950,I950)))</f>
        <v/>
      </c>
      <c r="O950">
        <f>IF(I950=0,0,MAX(0,MIN(INDEX(Month!J$2:J$13,MATCH($A950,Month!$A$2:$A$13,0))-K950,I950)))</f>
        <v/>
      </c>
      <c r="P950">
        <f>IF(I950=0,0,(MIN(MAX(K950,0),L950)*W950+SUMPRODUCT((Calc!$A$2:$A$1001=A950)*Calc!$G$2:$G$1001*(((K950-(L950+Calc!$J$2:$J$1001))&gt;0)*((K950-(L950+Calc!$J$2:$J$1001))&lt;Calc!$F$2:$F$1001)*(K950-(L950+Calc!$J$2:$J$1001))+((K950-(L950+Calc!$J$2:$J$1001))&gt;=Calc!$F$2:$F$1001)*Calc!$F$2:$F$1001))))</f>
        <v/>
      </c>
      <c r="Q950">
        <f>IF(I950=0,0,(MIN(MAX((K950+M950),0),L950)*W950+SUMPRODUCT((Calc!$A$2:$A$1001=A950)*Calc!$G$2:$G$1001*((((K950+M950)-(L950+Calc!$J$2:$J$1001))&gt;0)*(((K950+M950)-(L950+Calc!$J$2:$J$1001))&lt;Calc!$F$2:$F$1001)*((K950+M950)-(L950+Calc!$J$2:$J$1001))+(((K950+M950)-(L950+Calc!$J$2:$J$1001))&gt;=Calc!$F$2:$F$1001)*Calc!$F$2:$F$1001))))</f>
        <v/>
      </c>
      <c r="R950">
        <f>IF(I950=0,0,(MIN(MAX((K950+N950),0),L950)*W950+SUMPRODUCT((Calc!$A$2:$A$1001=A950)*Calc!$G$2:$G$1001*((((K950+N950)-(L950+Calc!$J$2:$J$1001))&gt;0)*(((K950+N950)-(L950+Calc!$J$2:$J$1001))&lt;Calc!$F$2:$F$1001)*((K950+N950)-(L950+Calc!$J$2:$J$1001))+(((K950+N950)-(L950+Calc!$J$2:$J$1001))&gt;=Calc!$F$2:$F$1001)*Calc!$F$2:$F$1001))))</f>
        <v/>
      </c>
      <c r="S950">
        <f>IF(I950=0,0,(MIN(MAX((K950+O950),0),L950)*W950+SUMPRODUCT((Calc!$A$2:$A$1001=A950)*Calc!$G$2:$G$1001*((((K950+O950)-(L950+Calc!$J$2:$J$1001))&gt;0)*(((K950+O950)-(L950+Calc!$J$2:$J$1001))&lt;Calc!$F$2:$F$1001)*((K950+O950)-(L950+Calc!$J$2:$J$1001))+(((K950+O950)-(L950+Calc!$J$2:$J$1001))&gt;=Calc!$F$2:$F$1001)*Calc!$F$2:$F$1001))))</f>
        <v/>
      </c>
      <c r="T950">
        <f>IF(AND(E950=1,B950="RETURN"),Transactions!E950*Transactions!G950,0)</f>
        <v/>
      </c>
      <c r="U950">
        <f>IF(AND(E950=1,B950="EXPENSE"),Transactions!J950,0)</f>
        <v/>
      </c>
      <c r="V950">
        <f>IF(AND(Transactions!A950&lt;&gt;"",E950=0),ROW(),"")</f>
        <v/>
      </c>
      <c r="W950">
        <f>IFERROR(VLOOKUP(A950,Opening!$A:$D,4,0),0)</f>
        <v/>
      </c>
    </row>
    <row r="951">
      <c r="A951">
        <f>IF(Transactions!D951="","",UPPER(TRIM(Transactions!D951)))</f>
        <v/>
      </c>
      <c r="B951">
        <f>IF(Transactions!C951="","",UPPER(TRIM(Transactions!C951)))</f>
        <v/>
      </c>
      <c r="C951">
        <f>IF(Transactions!B951="",0,YEAR(Transactions!B951)*100+MONTH(Transactions!B951))</f>
        <v/>
      </c>
      <c r="D951">
        <f>IF(Transactions!A951="",1,IF(COUNTIF(Transactions!$A$1:A950,Transactions!A951)&gt;0,1,0))</f>
        <v/>
      </c>
      <c r="E951">
        <f>IF(D951=1,0,IF(B951="RETURN",IF(COUNTIFS($A$1:A950,A951,$B$1:B950,"SALE",$E$1:E950,1)&gt;0,1,0),1))</f>
        <v/>
      </c>
      <c r="F951">
        <f>IF(E951=1,IF(B951="RECEIPT",Transactions!E951,IF(AND(B951="RETURN",LOWER(TRIM(Transactions!H951))="resellable"),Transactions!E951,0)),0)</f>
        <v/>
      </c>
      <c r="G951">
        <f>IF(F951&gt;0,IF(B951="RECEIPT",Transactions!F951,IF(_xlfn.MAXIFS($H$2:H951,$A$2:A951,A951)&gt;0,INDEX(Transactions!$F:$F,_xlfn.MAXIFS($H$2:H951,$A$2:A951,A951)),W951)),0)</f>
        <v/>
      </c>
      <c r="H951">
        <f>IF(AND(E951=1,B951="RECEIPT"),ROW(),0)</f>
        <v/>
      </c>
      <c r="I951">
        <f>IF(E951=1,IF(OR(B951="SALE",B951="WRITEOFF"),Transactions!E951,0),0)</f>
        <v/>
      </c>
      <c r="J951">
        <f>SUMIFS($F$1:F950,$A$1:A950,A951)</f>
        <v/>
      </c>
      <c r="K951">
        <f>SUMIFS($I$1:I950,$A$1:A950,A951)</f>
        <v/>
      </c>
      <c r="L951">
        <f>IFERROR(VLOOKUP(A951,Opening!$A:$C,3,0),0)</f>
        <v/>
      </c>
      <c r="M951">
        <f>IF(I951=0,0,MAX(0,MIN(INDEX(Month!H$2:H$13,MATCH($A951,Month!$A$2:$A$13,0))-K951,I951)))</f>
        <v/>
      </c>
      <c r="N951">
        <f>IF(I951=0,0,MAX(0,MIN(INDEX(Month!I$2:I$13,MATCH($A951,Month!$A$2:$A$13,0))-K951,I951)))</f>
        <v/>
      </c>
      <c r="O951">
        <f>IF(I951=0,0,MAX(0,MIN(INDEX(Month!J$2:J$13,MATCH($A951,Month!$A$2:$A$13,0))-K951,I951)))</f>
        <v/>
      </c>
      <c r="P951">
        <f>IF(I951=0,0,(MIN(MAX(K951,0),L951)*W951+SUMPRODUCT((Calc!$A$2:$A$1001=A951)*Calc!$G$2:$G$1001*(((K951-(L951+Calc!$J$2:$J$1001))&gt;0)*((K951-(L951+Calc!$J$2:$J$1001))&lt;Calc!$F$2:$F$1001)*(K951-(L951+Calc!$J$2:$J$1001))+((K951-(L951+Calc!$J$2:$J$1001))&gt;=Calc!$F$2:$F$1001)*Calc!$F$2:$F$1001))))</f>
        <v/>
      </c>
      <c r="Q951">
        <f>IF(I951=0,0,(MIN(MAX((K951+M951),0),L951)*W951+SUMPRODUCT((Calc!$A$2:$A$1001=A951)*Calc!$G$2:$G$1001*((((K951+M951)-(L951+Calc!$J$2:$J$1001))&gt;0)*(((K951+M951)-(L951+Calc!$J$2:$J$1001))&lt;Calc!$F$2:$F$1001)*((K951+M951)-(L951+Calc!$J$2:$J$1001))+(((K951+M951)-(L951+Calc!$J$2:$J$1001))&gt;=Calc!$F$2:$F$1001)*Calc!$F$2:$F$1001))))</f>
        <v/>
      </c>
      <c r="R951">
        <f>IF(I951=0,0,(MIN(MAX((K951+N951),0),L951)*W951+SUMPRODUCT((Calc!$A$2:$A$1001=A951)*Calc!$G$2:$G$1001*((((K951+N951)-(L951+Calc!$J$2:$J$1001))&gt;0)*(((K951+N951)-(L951+Calc!$J$2:$J$1001))&lt;Calc!$F$2:$F$1001)*((K951+N951)-(L951+Calc!$J$2:$J$1001))+(((K951+N951)-(L951+Calc!$J$2:$J$1001))&gt;=Calc!$F$2:$F$1001)*Calc!$F$2:$F$1001))))</f>
        <v/>
      </c>
      <c r="S951">
        <f>IF(I951=0,0,(MIN(MAX((K951+O951),0),L951)*W951+SUMPRODUCT((Calc!$A$2:$A$1001=A951)*Calc!$G$2:$G$1001*((((K951+O951)-(L951+Calc!$J$2:$J$1001))&gt;0)*(((K951+O951)-(L951+Calc!$J$2:$J$1001))&lt;Calc!$F$2:$F$1001)*((K951+O951)-(L951+Calc!$J$2:$J$1001))+(((K951+O951)-(L951+Calc!$J$2:$J$1001))&gt;=Calc!$F$2:$F$1001)*Calc!$F$2:$F$1001))))</f>
        <v/>
      </c>
      <c r="T951">
        <f>IF(AND(E951=1,B951="RETURN"),Transactions!E951*Transactions!G951,0)</f>
        <v/>
      </c>
      <c r="U951">
        <f>IF(AND(E951=1,B951="EXPENSE"),Transactions!J951,0)</f>
        <v/>
      </c>
      <c r="V951">
        <f>IF(AND(Transactions!A951&lt;&gt;"",E951=0),ROW(),"")</f>
        <v/>
      </c>
      <c r="W951">
        <f>IFERROR(VLOOKUP(A951,Opening!$A:$D,4,0),0)</f>
        <v/>
      </c>
    </row>
    <row r="952">
      <c r="A952">
        <f>IF(Transactions!D952="","",UPPER(TRIM(Transactions!D952)))</f>
        <v/>
      </c>
      <c r="B952">
        <f>IF(Transactions!C952="","",UPPER(TRIM(Transactions!C952)))</f>
        <v/>
      </c>
      <c r="C952">
        <f>IF(Transactions!B952="",0,YEAR(Transactions!B952)*100+MONTH(Transactions!B952))</f>
        <v/>
      </c>
      <c r="D952">
        <f>IF(Transactions!A952="",1,IF(COUNTIF(Transactions!$A$1:A951,Transactions!A952)&gt;0,1,0))</f>
        <v/>
      </c>
      <c r="E952">
        <f>IF(D952=1,0,IF(B952="RETURN",IF(COUNTIFS($A$1:A951,A952,$B$1:B951,"SALE",$E$1:E951,1)&gt;0,1,0),1))</f>
        <v/>
      </c>
      <c r="F952">
        <f>IF(E952=1,IF(B952="RECEIPT",Transactions!E952,IF(AND(B952="RETURN",LOWER(TRIM(Transactions!H952))="resellable"),Transactions!E952,0)),0)</f>
        <v/>
      </c>
      <c r="G952">
        <f>IF(F952&gt;0,IF(B952="RECEIPT",Transactions!F952,IF(_xlfn.MAXIFS($H$2:H952,$A$2:A952,A952)&gt;0,INDEX(Transactions!$F:$F,_xlfn.MAXIFS($H$2:H952,$A$2:A952,A952)),W952)),0)</f>
        <v/>
      </c>
      <c r="H952">
        <f>IF(AND(E952=1,B952="RECEIPT"),ROW(),0)</f>
        <v/>
      </c>
      <c r="I952">
        <f>IF(E952=1,IF(OR(B952="SALE",B952="WRITEOFF"),Transactions!E952,0),0)</f>
        <v/>
      </c>
      <c r="J952">
        <f>SUMIFS($F$1:F951,$A$1:A951,A952)</f>
        <v/>
      </c>
      <c r="K952">
        <f>SUMIFS($I$1:I951,$A$1:A951,A952)</f>
        <v/>
      </c>
      <c r="L952">
        <f>IFERROR(VLOOKUP(A952,Opening!$A:$C,3,0),0)</f>
        <v/>
      </c>
      <c r="M952">
        <f>IF(I952=0,0,MAX(0,MIN(INDEX(Month!H$2:H$13,MATCH($A952,Month!$A$2:$A$13,0))-K952,I952)))</f>
        <v/>
      </c>
      <c r="N952">
        <f>IF(I952=0,0,MAX(0,MIN(INDEX(Month!I$2:I$13,MATCH($A952,Month!$A$2:$A$13,0))-K952,I952)))</f>
        <v/>
      </c>
      <c r="O952">
        <f>IF(I952=0,0,MAX(0,MIN(INDEX(Month!J$2:J$13,MATCH($A952,Month!$A$2:$A$13,0))-K952,I952)))</f>
        <v/>
      </c>
      <c r="P952">
        <f>IF(I952=0,0,(MIN(MAX(K952,0),L952)*W952+SUMPRODUCT((Calc!$A$2:$A$1001=A952)*Calc!$G$2:$G$1001*(((K952-(L952+Calc!$J$2:$J$1001))&gt;0)*((K952-(L952+Calc!$J$2:$J$1001))&lt;Calc!$F$2:$F$1001)*(K952-(L952+Calc!$J$2:$J$1001))+((K952-(L952+Calc!$J$2:$J$1001))&gt;=Calc!$F$2:$F$1001)*Calc!$F$2:$F$1001))))</f>
        <v/>
      </c>
      <c r="Q952">
        <f>IF(I952=0,0,(MIN(MAX((K952+M952),0),L952)*W952+SUMPRODUCT((Calc!$A$2:$A$1001=A952)*Calc!$G$2:$G$1001*((((K952+M952)-(L952+Calc!$J$2:$J$1001))&gt;0)*(((K952+M952)-(L952+Calc!$J$2:$J$1001))&lt;Calc!$F$2:$F$1001)*((K952+M952)-(L952+Calc!$J$2:$J$1001))+(((K952+M952)-(L952+Calc!$J$2:$J$1001))&gt;=Calc!$F$2:$F$1001)*Calc!$F$2:$F$1001))))</f>
        <v/>
      </c>
      <c r="R952">
        <f>IF(I952=0,0,(MIN(MAX((K952+N952),0),L952)*W952+SUMPRODUCT((Calc!$A$2:$A$1001=A952)*Calc!$G$2:$G$1001*((((K952+N952)-(L952+Calc!$J$2:$J$1001))&gt;0)*(((K952+N952)-(L952+Calc!$J$2:$J$1001))&lt;Calc!$F$2:$F$1001)*((K952+N952)-(L952+Calc!$J$2:$J$1001))+(((K952+N952)-(L952+Calc!$J$2:$J$1001))&gt;=Calc!$F$2:$F$1001)*Calc!$F$2:$F$1001))))</f>
        <v/>
      </c>
      <c r="S952">
        <f>IF(I952=0,0,(MIN(MAX((K952+O952),0),L952)*W952+SUMPRODUCT((Calc!$A$2:$A$1001=A952)*Calc!$G$2:$G$1001*((((K952+O952)-(L952+Calc!$J$2:$J$1001))&gt;0)*(((K952+O952)-(L952+Calc!$J$2:$J$1001))&lt;Calc!$F$2:$F$1001)*((K952+O952)-(L952+Calc!$J$2:$J$1001))+(((K952+O952)-(L952+Calc!$J$2:$J$1001))&gt;=Calc!$F$2:$F$1001)*Calc!$F$2:$F$1001))))</f>
        <v/>
      </c>
      <c r="T952">
        <f>IF(AND(E952=1,B952="RETURN"),Transactions!E952*Transactions!G952,0)</f>
        <v/>
      </c>
      <c r="U952">
        <f>IF(AND(E952=1,B952="EXPENSE"),Transactions!J952,0)</f>
        <v/>
      </c>
      <c r="V952">
        <f>IF(AND(Transactions!A952&lt;&gt;"",E952=0),ROW(),"")</f>
        <v/>
      </c>
      <c r="W952">
        <f>IFERROR(VLOOKUP(A952,Opening!$A:$D,4,0),0)</f>
        <v/>
      </c>
    </row>
    <row r="953">
      <c r="A953">
        <f>IF(Transactions!D953="","",UPPER(TRIM(Transactions!D953)))</f>
        <v/>
      </c>
      <c r="B953">
        <f>IF(Transactions!C953="","",UPPER(TRIM(Transactions!C953)))</f>
        <v/>
      </c>
      <c r="C953">
        <f>IF(Transactions!B953="",0,YEAR(Transactions!B953)*100+MONTH(Transactions!B953))</f>
        <v/>
      </c>
      <c r="D953">
        <f>IF(Transactions!A953="",1,IF(COUNTIF(Transactions!$A$1:A952,Transactions!A953)&gt;0,1,0))</f>
        <v/>
      </c>
      <c r="E953">
        <f>IF(D953=1,0,IF(B953="RETURN",IF(COUNTIFS($A$1:A952,A953,$B$1:B952,"SALE",$E$1:E952,1)&gt;0,1,0),1))</f>
        <v/>
      </c>
      <c r="F953">
        <f>IF(E953=1,IF(B953="RECEIPT",Transactions!E953,IF(AND(B953="RETURN",LOWER(TRIM(Transactions!H953))="resellable"),Transactions!E953,0)),0)</f>
        <v/>
      </c>
      <c r="G953">
        <f>IF(F953&gt;0,IF(B953="RECEIPT",Transactions!F953,IF(_xlfn.MAXIFS($H$2:H953,$A$2:A953,A953)&gt;0,INDEX(Transactions!$F:$F,_xlfn.MAXIFS($H$2:H953,$A$2:A953,A953)),W953)),0)</f>
        <v/>
      </c>
      <c r="H953">
        <f>IF(AND(E953=1,B953="RECEIPT"),ROW(),0)</f>
        <v/>
      </c>
      <c r="I953">
        <f>IF(E953=1,IF(OR(B953="SALE",B953="WRITEOFF"),Transactions!E953,0),0)</f>
        <v/>
      </c>
      <c r="J953">
        <f>SUMIFS($F$1:F952,$A$1:A952,A953)</f>
        <v/>
      </c>
      <c r="K953">
        <f>SUMIFS($I$1:I952,$A$1:A952,A953)</f>
        <v/>
      </c>
      <c r="L953">
        <f>IFERROR(VLOOKUP(A953,Opening!$A:$C,3,0),0)</f>
        <v/>
      </c>
      <c r="M953">
        <f>IF(I953=0,0,MAX(0,MIN(INDEX(Month!H$2:H$13,MATCH($A953,Month!$A$2:$A$13,0))-K953,I953)))</f>
        <v/>
      </c>
      <c r="N953">
        <f>IF(I953=0,0,MAX(0,MIN(INDEX(Month!I$2:I$13,MATCH($A953,Month!$A$2:$A$13,0))-K953,I953)))</f>
        <v/>
      </c>
      <c r="O953">
        <f>IF(I953=0,0,MAX(0,MIN(INDEX(Month!J$2:J$13,MATCH($A953,Month!$A$2:$A$13,0))-K953,I953)))</f>
        <v/>
      </c>
      <c r="P953">
        <f>IF(I953=0,0,(MIN(MAX(K953,0),L953)*W953+SUMPRODUCT((Calc!$A$2:$A$1001=A953)*Calc!$G$2:$G$1001*(((K953-(L953+Calc!$J$2:$J$1001))&gt;0)*((K953-(L953+Calc!$J$2:$J$1001))&lt;Calc!$F$2:$F$1001)*(K953-(L953+Calc!$J$2:$J$1001))+((K953-(L953+Calc!$J$2:$J$1001))&gt;=Calc!$F$2:$F$1001)*Calc!$F$2:$F$1001))))</f>
        <v/>
      </c>
      <c r="Q953">
        <f>IF(I953=0,0,(MIN(MAX((K953+M953),0),L953)*W953+SUMPRODUCT((Calc!$A$2:$A$1001=A953)*Calc!$G$2:$G$1001*((((K953+M953)-(L953+Calc!$J$2:$J$1001))&gt;0)*(((K953+M953)-(L953+Calc!$J$2:$J$1001))&lt;Calc!$F$2:$F$1001)*((K953+M953)-(L953+Calc!$J$2:$J$1001))+(((K953+M953)-(L953+Calc!$J$2:$J$1001))&gt;=Calc!$F$2:$F$1001)*Calc!$F$2:$F$1001))))</f>
        <v/>
      </c>
      <c r="R953">
        <f>IF(I953=0,0,(MIN(MAX((K953+N953),0),L953)*W953+SUMPRODUCT((Calc!$A$2:$A$1001=A953)*Calc!$G$2:$G$1001*((((K953+N953)-(L953+Calc!$J$2:$J$1001))&gt;0)*(((K953+N953)-(L953+Calc!$J$2:$J$1001))&lt;Calc!$F$2:$F$1001)*((K953+N953)-(L953+Calc!$J$2:$J$1001))+(((K953+N953)-(L953+Calc!$J$2:$J$1001))&gt;=Calc!$F$2:$F$1001)*Calc!$F$2:$F$1001))))</f>
        <v/>
      </c>
      <c r="S953">
        <f>IF(I953=0,0,(MIN(MAX((K953+O953),0),L953)*W953+SUMPRODUCT((Calc!$A$2:$A$1001=A953)*Calc!$G$2:$G$1001*((((K953+O953)-(L953+Calc!$J$2:$J$1001))&gt;0)*(((K953+O953)-(L953+Calc!$J$2:$J$1001))&lt;Calc!$F$2:$F$1001)*((K953+O953)-(L953+Calc!$J$2:$J$1001))+(((K953+O953)-(L953+Calc!$J$2:$J$1001))&gt;=Calc!$F$2:$F$1001)*Calc!$F$2:$F$1001))))</f>
        <v/>
      </c>
      <c r="T953">
        <f>IF(AND(E953=1,B953="RETURN"),Transactions!E953*Transactions!G953,0)</f>
        <v/>
      </c>
      <c r="U953">
        <f>IF(AND(E953=1,B953="EXPENSE"),Transactions!J953,0)</f>
        <v/>
      </c>
      <c r="V953">
        <f>IF(AND(Transactions!A953&lt;&gt;"",E953=0),ROW(),"")</f>
        <v/>
      </c>
      <c r="W953">
        <f>IFERROR(VLOOKUP(A953,Opening!$A:$D,4,0),0)</f>
        <v/>
      </c>
    </row>
    <row r="954">
      <c r="A954">
        <f>IF(Transactions!D954="","",UPPER(TRIM(Transactions!D954)))</f>
        <v/>
      </c>
      <c r="B954">
        <f>IF(Transactions!C954="","",UPPER(TRIM(Transactions!C954)))</f>
        <v/>
      </c>
      <c r="C954">
        <f>IF(Transactions!B954="",0,YEAR(Transactions!B954)*100+MONTH(Transactions!B954))</f>
        <v/>
      </c>
      <c r="D954">
        <f>IF(Transactions!A954="",1,IF(COUNTIF(Transactions!$A$1:A953,Transactions!A954)&gt;0,1,0))</f>
        <v/>
      </c>
      <c r="E954">
        <f>IF(D954=1,0,IF(B954="RETURN",IF(COUNTIFS($A$1:A953,A954,$B$1:B953,"SALE",$E$1:E953,1)&gt;0,1,0),1))</f>
        <v/>
      </c>
      <c r="F954">
        <f>IF(E954=1,IF(B954="RECEIPT",Transactions!E954,IF(AND(B954="RETURN",LOWER(TRIM(Transactions!H954))="resellable"),Transactions!E954,0)),0)</f>
        <v/>
      </c>
      <c r="G954">
        <f>IF(F954&gt;0,IF(B954="RECEIPT",Transactions!F954,IF(_xlfn.MAXIFS($H$2:H954,$A$2:A954,A954)&gt;0,INDEX(Transactions!$F:$F,_xlfn.MAXIFS($H$2:H954,$A$2:A954,A954)),W954)),0)</f>
        <v/>
      </c>
      <c r="H954">
        <f>IF(AND(E954=1,B954="RECEIPT"),ROW(),0)</f>
        <v/>
      </c>
      <c r="I954">
        <f>IF(E954=1,IF(OR(B954="SALE",B954="WRITEOFF"),Transactions!E954,0),0)</f>
        <v/>
      </c>
      <c r="J954">
        <f>SUMIFS($F$1:F953,$A$1:A953,A954)</f>
        <v/>
      </c>
      <c r="K954">
        <f>SUMIFS($I$1:I953,$A$1:A953,A954)</f>
        <v/>
      </c>
      <c r="L954">
        <f>IFERROR(VLOOKUP(A954,Opening!$A:$C,3,0),0)</f>
        <v/>
      </c>
      <c r="M954">
        <f>IF(I954=0,0,MAX(0,MIN(INDEX(Month!H$2:H$13,MATCH($A954,Month!$A$2:$A$13,0))-K954,I954)))</f>
        <v/>
      </c>
      <c r="N954">
        <f>IF(I954=0,0,MAX(0,MIN(INDEX(Month!I$2:I$13,MATCH($A954,Month!$A$2:$A$13,0))-K954,I954)))</f>
        <v/>
      </c>
      <c r="O954">
        <f>IF(I954=0,0,MAX(0,MIN(INDEX(Month!J$2:J$13,MATCH($A954,Month!$A$2:$A$13,0))-K954,I954)))</f>
        <v/>
      </c>
      <c r="P954">
        <f>IF(I954=0,0,(MIN(MAX(K954,0),L954)*W954+SUMPRODUCT((Calc!$A$2:$A$1001=A954)*Calc!$G$2:$G$1001*(((K954-(L954+Calc!$J$2:$J$1001))&gt;0)*((K954-(L954+Calc!$J$2:$J$1001))&lt;Calc!$F$2:$F$1001)*(K954-(L954+Calc!$J$2:$J$1001))+((K954-(L954+Calc!$J$2:$J$1001))&gt;=Calc!$F$2:$F$1001)*Calc!$F$2:$F$1001))))</f>
        <v/>
      </c>
      <c r="Q954">
        <f>IF(I954=0,0,(MIN(MAX((K954+M954),0),L954)*W954+SUMPRODUCT((Calc!$A$2:$A$1001=A954)*Calc!$G$2:$G$1001*((((K954+M954)-(L954+Calc!$J$2:$J$1001))&gt;0)*(((K954+M954)-(L954+Calc!$J$2:$J$1001))&lt;Calc!$F$2:$F$1001)*((K954+M954)-(L954+Calc!$J$2:$J$1001))+(((K954+M954)-(L954+Calc!$J$2:$J$1001))&gt;=Calc!$F$2:$F$1001)*Calc!$F$2:$F$1001))))</f>
        <v/>
      </c>
      <c r="R954">
        <f>IF(I954=0,0,(MIN(MAX((K954+N954),0),L954)*W954+SUMPRODUCT((Calc!$A$2:$A$1001=A954)*Calc!$G$2:$G$1001*((((K954+N954)-(L954+Calc!$J$2:$J$1001))&gt;0)*(((K954+N954)-(L954+Calc!$J$2:$J$1001))&lt;Calc!$F$2:$F$1001)*((K954+N954)-(L954+Calc!$J$2:$J$1001))+(((K954+N954)-(L954+Calc!$J$2:$J$1001))&gt;=Calc!$F$2:$F$1001)*Calc!$F$2:$F$1001))))</f>
        <v/>
      </c>
      <c r="S954">
        <f>IF(I954=0,0,(MIN(MAX((K954+O954),0),L954)*W954+SUMPRODUCT((Calc!$A$2:$A$1001=A954)*Calc!$G$2:$G$1001*((((K954+O954)-(L954+Calc!$J$2:$J$1001))&gt;0)*(((K954+O954)-(L954+Calc!$J$2:$J$1001))&lt;Calc!$F$2:$F$1001)*((K954+O954)-(L954+Calc!$J$2:$J$1001))+(((K954+O954)-(L954+Calc!$J$2:$J$1001))&gt;=Calc!$F$2:$F$1001)*Calc!$F$2:$F$1001))))</f>
        <v/>
      </c>
      <c r="T954">
        <f>IF(AND(E954=1,B954="RETURN"),Transactions!E954*Transactions!G954,0)</f>
        <v/>
      </c>
      <c r="U954">
        <f>IF(AND(E954=1,B954="EXPENSE"),Transactions!J954,0)</f>
        <v/>
      </c>
      <c r="V954">
        <f>IF(AND(Transactions!A954&lt;&gt;"",E954=0),ROW(),"")</f>
        <v/>
      </c>
      <c r="W954">
        <f>IFERROR(VLOOKUP(A954,Opening!$A:$D,4,0),0)</f>
        <v/>
      </c>
    </row>
    <row r="955">
      <c r="A955">
        <f>IF(Transactions!D955="","",UPPER(TRIM(Transactions!D955)))</f>
        <v/>
      </c>
      <c r="B955">
        <f>IF(Transactions!C955="","",UPPER(TRIM(Transactions!C955)))</f>
        <v/>
      </c>
      <c r="C955">
        <f>IF(Transactions!B955="",0,YEAR(Transactions!B955)*100+MONTH(Transactions!B955))</f>
        <v/>
      </c>
      <c r="D955">
        <f>IF(Transactions!A955="",1,IF(COUNTIF(Transactions!$A$1:A954,Transactions!A955)&gt;0,1,0))</f>
        <v/>
      </c>
      <c r="E955">
        <f>IF(D955=1,0,IF(B955="RETURN",IF(COUNTIFS($A$1:A954,A955,$B$1:B954,"SALE",$E$1:E954,1)&gt;0,1,0),1))</f>
        <v/>
      </c>
      <c r="F955">
        <f>IF(E955=1,IF(B955="RECEIPT",Transactions!E955,IF(AND(B955="RETURN",LOWER(TRIM(Transactions!H955))="resellable"),Transactions!E955,0)),0)</f>
        <v/>
      </c>
      <c r="G955">
        <f>IF(F955&gt;0,IF(B955="RECEIPT",Transactions!F955,IF(_xlfn.MAXIFS($H$2:H955,$A$2:A955,A955)&gt;0,INDEX(Transactions!$F:$F,_xlfn.MAXIFS($H$2:H955,$A$2:A955,A955)),W955)),0)</f>
        <v/>
      </c>
      <c r="H955">
        <f>IF(AND(E955=1,B955="RECEIPT"),ROW(),0)</f>
        <v/>
      </c>
      <c r="I955">
        <f>IF(E955=1,IF(OR(B955="SALE",B955="WRITEOFF"),Transactions!E955,0),0)</f>
        <v/>
      </c>
      <c r="J955">
        <f>SUMIFS($F$1:F954,$A$1:A954,A955)</f>
        <v/>
      </c>
      <c r="K955">
        <f>SUMIFS($I$1:I954,$A$1:A954,A955)</f>
        <v/>
      </c>
      <c r="L955">
        <f>IFERROR(VLOOKUP(A955,Opening!$A:$C,3,0),0)</f>
        <v/>
      </c>
      <c r="M955">
        <f>IF(I955=0,0,MAX(0,MIN(INDEX(Month!H$2:H$13,MATCH($A955,Month!$A$2:$A$13,0))-K955,I955)))</f>
        <v/>
      </c>
      <c r="N955">
        <f>IF(I955=0,0,MAX(0,MIN(INDEX(Month!I$2:I$13,MATCH($A955,Month!$A$2:$A$13,0))-K955,I955)))</f>
        <v/>
      </c>
      <c r="O955">
        <f>IF(I955=0,0,MAX(0,MIN(INDEX(Month!J$2:J$13,MATCH($A955,Month!$A$2:$A$13,0))-K955,I955)))</f>
        <v/>
      </c>
      <c r="P955">
        <f>IF(I955=0,0,(MIN(MAX(K955,0),L955)*W955+SUMPRODUCT((Calc!$A$2:$A$1001=A955)*Calc!$G$2:$G$1001*(((K955-(L955+Calc!$J$2:$J$1001))&gt;0)*((K955-(L955+Calc!$J$2:$J$1001))&lt;Calc!$F$2:$F$1001)*(K955-(L955+Calc!$J$2:$J$1001))+((K955-(L955+Calc!$J$2:$J$1001))&gt;=Calc!$F$2:$F$1001)*Calc!$F$2:$F$1001))))</f>
        <v/>
      </c>
      <c r="Q955">
        <f>IF(I955=0,0,(MIN(MAX((K955+M955),0),L955)*W955+SUMPRODUCT((Calc!$A$2:$A$1001=A955)*Calc!$G$2:$G$1001*((((K955+M955)-(L955+Calc!$J$2:$J$1001))&gt;0)*(((K955+M955)-(L955+Calc!$J$2:$J$1001))&lt;Calc!$F$2:$F$1001)*((K955+M955)-(L955+Calc!$J$2:$J$1001))+(((K955+M955)-(L955+Calc!$J$2:$J$1001))&gt;=Calc!$F$2:$F$1001)*Calc!$F$2:$F$1001))))</f>
        <v/>
      </c>
      <c r="R955">
        <f>IF(I955=0,0,(MIN(MAX((K955+N955),0),L955)*W955+SUMPRODUCT((Calc!$A$2:$A$1001=A955)*Calc!$G$2:$G$1001*((((K955+N955)-(L955+Calc!$J$2:$J$1001))&gt;0)*(((K955+N955)-(L955+Calc!$J$2:$J$1001))&lt;Calc!$F$2:$F$1001)*((K955+N955)-(L955+Calc!$J$2:$J$1001))+(((K955+N955)-(L955+Calc!$J$2:$J$1001))&gt;=Calc!$F$2:$F$1001)*Calc!$F$2:$F$1001))))</f>
        <v/>
      </c>
      <c r="S955">
        <f>IF(I955=0,0,(MIN(MAX((K955+O955),0),L955)*W955+SUMPRODUCT((Calc!$A$2:$A$1001=A955)*Calc!$G$2:$G$1001*((((K955+O955)-(L955+Calc!$J$2:$J$1001))&gt;0)*(((K955+O955)-(L955+Calc!$J$2:$J$1001))&lt;Calc!$F$2:$F$1001)*((K955+O955)-(L955+Calc!$J$2:$J$1001))+(((K955+O955)-(L955+Calc!$J$2:$J$1001))&gt;=Calc!$F$2:$F$1001)*Calc!$F$2:$F$1001))))</f>
        <v/>
      </c>
      <c r="T955">
        <f>IF(AND(E955=1,B955="RETURN"),Transactions!E955*Transactions!G955,0)</f>
        <v/>
      </c>
      <c r="U955">
        <f>IF(AND(E955=1,B955="EXPENSE"),Transactions!J955,0)</f>
        <v/>
      </c>
      <c r="V955">
        <f>IF(AND(Transactions!A955&lt;&gt;"",E955=0),ROW(),"")</f>
        <v/>
      </c>
      <c r="W955">
        <f>IFERROR(VLOOKUP(A955,Opening!$A:$D,4,0),0)</f>
        <v/>
      </c>
    </row>
    <row r="956">
      <c r="A956">
        <f>IF(Transactions!D956="","",UPPER(TRIM(Transactions!D956)))</f>
        <v/>
      </c>
      <c r="B956">
        <f>IF(Transactions!C956="","",UPPER(TRIM(Transactions!C956)))</f>
        <v/>
      </c>
      <c r="C956">
        <f>IF(Transactions!B956="",0,YEAR(Transactions!B956)*100+MONTH(Transactions!B956))</f>
        <v/>
      </c>
      <c r="D956">
        <f>IF(Transactions!A956="",1,IF(COUNTIF(Transactions!$A$1:A955,Transactions!A956)&gt;0,1,0))</f>
        <v/>
      </c>
      <c r="E956">
        <f>IF(D956=1,0,IF(B956="RETURN",IF(COUNTIFS($A$1:A955,A956,$B$1:B955,"SALE",$E$1:E955,1)&gt;0,1,0),1))</f>
        <v/>
      </c>
      <c r="F956">
        <f>IF(E956=1,IF(B956="RECEIPT",Transactions!E956,IF(AND(B956="RETURN",LOWER(TRIM(Transactions!H956))="resellable"),Transactions!E956,0)),0)</f>
        <v/>
      </c>
      <c r="G956">
        <f>IF(F956&gt;0,IF(B956="RECEIPT",Transactions!F956,IF(_xlfn.MAXIFS($H$2:H956,$A$2:A956,A956)&gt;0,INDEX(Transactions!$F:$F,_xlfn.MAXIFS($H$2:H956,$A$2:A956,A956)),W956)),0)</f>
        <v/>
      </c>
      <c r="H956">
        <f>IF(AND(E956=1,B956="RECEIPT"),ROW(),0)</f>
        <v/>
      </c>
      <c r="I956">
        <f>IF(E956=1,IF(OR(B956="SALE",B956="WRITEOFF"),Transactions!E956,0),0)</f>
        <v/>
      </c>
      <c r="J956">
        <f>SUMIFS($F$1:F955,$A$1:A955,A956)</f>
        <v/>
      </c>
      <c r="K956">
        <f>SUMIFS($I$1:I955,$A$1:A955,A956)</f>
        <v/>
      </c>
      <c r="L956">
        <f>IFERROR(VLOOKUP(A956,Opening!$A:$C,3,0),0)</f>
        <v/>
      </c>
      <c r="M956">
        <f>IF(I956=0,0,MAX(0,MIN(INDEX(Month!H$2:H$13,MATCH($A956,Month!$A$2:$A$13,0))-K956,I956)))</f>
        <v/>
      </c>
      <c r="N956">
        <f>IF(I956=0,0,MAX(0,MIN(INDEX(Month!I$2:I$13,MATCH($A956,Month!$A$2:$A$13,0))-K956,I956)))</f>
        <v/>
      </c>
      <c r="O956">
        <f>IF(I956=0,0,MAX(0,MIN(INDEX(Month!J$2:J$13,MATCH($A956,Month!$A$2:$A$13,0))-K956,I956)))</f>
        <v/>
      </c>
      <c r="P956">
        <f>IF(I956=0,0,(MIN(MAX(K956,0),L956)*W956+SUMPRODUCT((Calc!$A$2:$A$1001=A956)*Calc!$G$2:$G$1001*(((K956-(L956+Calc!$J$2:$J$1001))&gt;0)*((K956-(L956+Calc!$J$2:$J$1001))&lt;Calc!$F$2:$F$1001)*(K956-(L956+Calc!$J$2:$J$1001))+((K956-(L956+Calc!$J$2:$J$1001))&gt;=Calc!$F$2:$F$1001)*Calc!$F$2:$F$1001))))</f>
        <v/>
      </c>
      <c r="Q956">
        <f>IF(I956=0,0,(MIN(MAX((K956+M956),0),L956)*W956+SUMPRODUCT((Calc!$A$2:$A$1001=A956)*Calc!$G$2:$G$1001*((((K956+M956)-(L956+Calc!$J$2:$J$1001))&gt;0)*(((K956+M956)-(L956+Calc!$J$2:$J$1001))&lt;Calc!$F$2:$F$1001)*((K956+M956)-(L956+Calc!$J$2:$J$1001))+(((K956+M956)-(L956+Calc!$J$2:$J$1001))&gt;=Calc!$F$2:$F$1001)*Calc!$F$2:$F$1001))))</f>
        <v/>
      </c>
      <c r="R956">
        <f>IF(I956=0,0,(MIN(MAX((K956+N956),0),L956)*W956+SUMPRODUCT((Calc!$A$2:$A$1001=A956)*Calc!$G$2:$G$1001*((((K956+N956)-(L956+Calc!$J$2:$J$1001))&gt;0)*(((K956+N956)-(L956+Calc!$J$2:$J$1001))&lt;Calc!$F$2:$F$1001)*((K956+N956)-(L956+Calc!$J$2:$J$1001))+(((K956+N956)-(L956+Calc!$J$2:$J$1001))&gt;=Calc!$F$2:$F$1001)*Calc!$F$2:$F$1001))))</f>
        <v/>
      </c>
      <c r="S956">
        <f>IF(I956=0,0,(MIN(MAX((K956+O956),0),L956)*W956+SUMPRODUCT((Calc!$A$2:$A$1001=A956)*Calc!$G$2:$G$1001*((((K956+O956)-(L956+Calc!$J$2:$J$1001))&gt;0)*(((K956+O956)-(L956+Calc!$J$2:$J$1001))&lt;Calc!$F$2:$F$1001)*((K956+O956)-(L956+Calc!$J$2:$J$1001))+(((K956+O956)-(L956+Calc!$J$2:$J$1001))&gt;=Calc!$F$2:$F$1001)*Calc!$F$2:$F$1001))))</f>
        <v/>
      </c>
      <c r="T956">
        <f>IF(AND(E956=1,B956="RETURN"),Transactions!E956*Transactions!G956,0)</f>
        <v/>
      </c>
      <c r="U956">
        <f>IF(AND(E956=1,B956="EXPENSE"),Transactions!J956,0)</f>
        <v/>
      </c>
      <c r="V956">
        <f>IF(AND(Transactions!A956&lt;&gt;"",E956=0),ROW(),"")</f>
        <v/>
      </c>
      <c r="W956">
        <f>IFERROR(VLOOKUP(A956,Opening!$A:$D,4,0),0)</f>
        <v/>
      </c>
    </row>
    <row r="957">
      <c r="A957">
        <f>IF(Transactions!D957="","",UPPER(TRIM(Transactions!D957)))</f>
        <v/>
      </c>
      <c r="B957">
        <f>IF(Transactions!C957="","",UPPER(TRIM(Transactions!C957)))</f>
        <v/>
      </c>
      <c r="C957">
        <f>IF(Transactions!B957="",0,YEAR(Transactions!B957)*100+MONTH(Transactions!B957))</f>
        <v/>
      </c>
      <c r="D957">
        <f>IF(Transactions!A957="",1,IF(COUNTIF(Transactions!$A$1:A956,Transactions!A957)&gt;0,1,0))</f>
        <v/>
      </c>
      <c r="E957">
        <f>IF(D957=1,0,IF(B957="RETURN",IF(COUNTIFS($A$1:A956,A957,$B$1:B956,"SALE",$E$1:E956,1)&gt;0,1,0),1))</f>
        <v/>
      </c>
      <c r="F957">
        <f>IF(E957=1,IF(B957="RECEIPT",Transactions!E957,IF(AND(B957="RETURN",LOWER(TRIM(Transactions!H957))="resellable"),Transactions!E957,0)),0)</f>
        <v/>
      </c>
      <c r="G957">
        <f>IF(F957&gt;0,IF(B957="RECEIPT",Transactions!F957,IF(_xlfn.MAXIFS($H$2:H957,$A$2:A957,A957)&gt;0,INDEX(Transactions!$F:$F,_xlfn.MAXIFS($H$2:H957,$A$2:A957,A957)),W957)),0)</f>
        <v/>
      </c>
      <c r="H957">
        <f>IF(AND(E957=1,B957="RECEIPT"),ROW(),0)</f>
        <v/>
      </c>
      <c r="I957">
        <f>IF(E957=1,IF(OR(B957="SALE",B957="WRITEOFF"),Transactions!E957,0),0)</f>
        <v/>
      </c>
      <c r="J957">
        <f>SUMIFS($F$1:F956,$A$1:A956,A957)</f>
        <v/>
      </c>
      <c r="K957">
        <f>SUMIFS($I$1:I956,$A$1:A956,A957)</f>
        <v/>
      </c>
      <c r="L957">
        <f>IFERROR(VLOOKUP(A957,Opening!$A:$C,3,0),0)</f>
        <v/>
      </c>
      <c r="M957">
        <f>IF(I957=0,0,MAX(0,MIN(INDEX(Month!H$2:H$13,MATCH($A957,Month!$A$2:$A$13,0))-K957,I957)))</f>
        <v/>
      </c>
      <c r="N957">
        <f>IF(I957=0,0,MAX(0,MIN(INDEX(Month!I$2:I$13,MATCH($A957,Month!$A$2:$A$13,0))-K957,I957)))</f>
        <v/>
      </c>
      <c r="O957">
        <f>IF(I957=0,0,MAX(0,MIN(INDEX(Month!J$2:J$13,MATCH($A957,Month!$A$2:$A$13,0))-K957,I957)))</f>
        <v/>
      </c>
      <c r="P957">
        <f>IF(I957=0,0,(MIN(MAX(K957,0),L957)*W957+SUMPRODUCT((Calc!$A$2:$A$1001=A957)*Calc!$G$2:$G$1001*(((K957-(L957+Calc!$J$2:$J$1001))&gt;0)*((K957-(L957+Calc!$J$2:$J$1001))&lt;Calc!$F$2:$F$1001)*(K957-(L957+Calc!$J$2:$J$1001))+((K957-(L957+Calc!$J$2:$J$1001))&gt;=Calc!$F$2:$F$1001)*Calc!$F$2:$F$1001))))</f>
        <v/>
      </c>
      <c r="Q957">
        <f>IF(I957=0,0,(MIN(MAX((K957+M957),0),L957)*W957+SUMPRODUCT((Calc!$A$2:$A$1001=A957)*Calc!$G$2:$G$1001*((((K957+M957)-(L957+Calc!$J$2:$J$1001))&gt;0)*(((K957+M957)-(L957+Calc!$J$2:$J$1001))&lt;Calc!$F$2:$F$1001)*((K957+M957)-(L957+Calc!$J$2:$J$1001))+(((K957+M957)-(L957+Calc!$J$2:$J$1001))&gt;=Calc!$F$2:$F$1001)*Calc!$F$2:$F$1001))))</f>
        <v/>
      </c>
      <c r="R957">
        <f>IF(I957=0,0,(MIN(MAX((K957+N957),0),L957)*W957+SUMPRODUCT((Calc!$A$2:$A$1001=A957)*Calc!$G$2:$G$1001*((((K957+N957)-(L957+Calc!$J$2:$J$1001))&gt;0)*(((K957+N957)-(L957+Calc!$J$2:$J$1001))&lt;Calc!$F$2:$F$1001)*((K957+N957)-(L957+Calc!$J$2:$J$1001))+(((K957+N957)-(L957+Calc!$J$2:$J$1001))&gt;=Calc!$F$2:$F$1001)*Calc!$F$2:$F$1001))))</f>
        <v/>
      </c>
      <c r="S957">
        <f>IF(I957=0,0,(MIN(MAX((K957+O957),0),L957)*W957+SUMPRODUCT((Calc!$A$2:$A$1001=A957)*Calc!$G$2:$G$1001*((((K957+O957)-(L957+Calc!$J$2:$J$1001))&gt;0)*(((K957+O957)-(L957+Calc!$J$2:$J$1001))&lt;Calc!$F$2:$F$1001)*((K957+O957)-(L957+Calc!$J$2:$J$1001))+(((K957+O957)-(L957+Calc!$J$2:$J$1001))&gt;=Calc!$F$2:$F$1001)*Calc!$F$2:$F$1001))))</f>
        <v/>
      </c>
      <c r="T957">
        <f>IF(AND(E957=1,B957="RETURN"),Transactions!E957*Transactions!G957,0)</f>
        <v/>
      </c>
      <c r="U957">
        <f>IF(AND(E957=1,B957="EXPENSE"),Transactions!J957,0)</f>
        <v/>
      </c>
      <c r="V957">
        <f>IF(AND(Transactions!A957&lt;&gt;"",E957=0),ROW(),"")</f>
        <v/>
      </c>
      <c r="W957">
        <f>IFERROR(VLOOKUP(A957,Opening!$A:$D,4,0),0)</f>
        <v/>
      </c>
    </row>
    <row r="958">
      <c r="A958">
        <f>IF(Transactions!D958="","",UPPER(TRIM(Transactions!D958)))</f>
        <v/>
      </c>
      <c r="B958">
        <f>IF(Transactions!C958="","",UPPER(TRIM(Transactions!C958)))</f>
        <v/>
      </c>
      <c r="C958">
        <f>IF(Transactions!B958="",0,YEAR(Transactions!B958)*100+MONTH(Transactions!B958))</f>
        <v/>
      </c>
      <c r="D958">
        <f>IF(Transactions!A958="",1,IF(COUNTIF(Transactions!$A$1:A957,Transactions!A958)&gt;0,1,0))</f>
        <v/>
      </c>
      <c r="E958">
        <f>IF(D958=1,0,IF(B958="RETURN",IF(COUNTIFS($A$1:A957,A958,$B$1:B957,"SALE",$E$1:E957,1)&gt;0,1,0),1))</f>
        <v/>
      </c>
      <c r="F958">
        <f>IF(E958=1,IF(B958="RECEIPT",Transactions!E958,IF(AND(B958="RETURN",LOWER(TRIM(Transactions!H958))="resellable"),Transactions!E958,0)),0)</f>
        <v/>
      </c>
      <c r="G958">
        <f>IF(F958&gt;0,IF(B958="RECEIPT",Transactions!F958,IF(_xlfn.MAXIFS($H$2:H958,$A$2:A958,A958)&gt;0,INDEX(Transactions!$F:$F,_xlfn.MAXIFS($H$2:H958,$A$2:A958,A958)),W958)),0)</f>
        <v/>
      </c>
      <c r="H958">
        <f>IF(AND(E958=1,B958="RECEIPT"),ROW(),0)</f>
        <v/>
      </c>
      <c r="I958">
        <f>IF(E958=1,IF(OR(B958="SALE",B958="WRITEOFF"),Transactions!E958,0),0)</f>
        <v/>
      </c>
      <c r="J958">
        <f>SUMIFS($F$1:F957,$A$1:A957,A958)</f>
        <v/>
      </c>
      <c r="K958">
        <f>SUMIFS($I$1:I957,$A$1:A957,A958)</f>
        <v/>
      </c>
      <c r="L958">
        <f>IFERROR(VLOOKUP(A958,Opening!$A:$C,3,0),0)</f>
        <v/>
      </c>
      <c r="M958">
        <f>IF(I958=0,0,MAX(0,MIN(INDEX(Month!H$2:H$13,MATCH($A958,Month!$A$2:$A$13,0))-K958,I958)))</f>
        <v/>
      </c>
      <c r="N958">
        <f>IF(I958=0,0,MAX(0,MIN(INDEX(Month!I$2:I$13,MATCH($A958,Month!$A$2:$A$13,0))-K958,I958)))</f>
        <v/>
      </c>
      <c r="O958">
        <f>IF(I958=0,0,MAX(0,MIN(INDEX(Month!J$2:J$13,MATCH($A958,Month!$A$2:$A$13,0))-K958,I958)))</f>
        <v/>
      </c>
      <c r="P958">
        <f>IF(I958=0,0,(MIN(MAX(K958,0),L958)*W958+SUMPRODUCT((Calc!$A$2:$A$1001=A958)*Calc!$G$2:$G$1001*(((K958-(L958+Calc!$J$2:$J$1001))&gt;0)*((K958-(L958+Calc!$J$2:$J$1001))&lt;Calc!$F$2:$F$1001)*(K958-(L958+Calc!$J$2:$J$1001))+((K958-(L958+Calc!$J$2:$J$1001))&gt;=Calc!$F$2:$F$1001)*Calc!$F$2:$F$1001))))</f>
        <v/>
      </c>
      <c r="Q958">
        <f>IF(I958=0,0,(MIN(MAX((K958+M958),0),L958)*W958+SUMPRODUCT((Calc!$A$2:$A$1001=A958)*Calc!$G$2:$G$1001*((((K958+M958)-(L958+Calc!$J$2:$J$1001))&gt;0)*(((K958+M958)-(L958+Calc!$J$2:$J$1001))&lt;Calc!$F$2:$F$1001)*((K958+M958)-(L958+Calc!$J$2:$J$1001))+(((K958+M958)-(L958+Calc!$J$2:$J$1001))&gt;=Calc!$F$2:$F$1001)*Calc!$F$2:$F$1001))))</f>
        <v/>
      </c>
      <c r="R958">
        <f>IF(I958=0,0,(MIN(MAX((K958+N958),0),L958)*W958+SUMPRODUCT((Calc!$A$2:$A$1001=A958)*Calc!$G$2:$G$1001*((((K958+N958)-(L958+Calc!$J$2:$J$1001))&gt;0)*(((K958+N958)-(L958+Calc!$J$2:$J$1001))&lt;Calc!$F$2:$F$1001)*((K958+N958)-(L958+Calc!$J$2:$J$1001))+(((K958+N958)-(L958+Calc!$J$2:$J$1001))&gt;=Calc!$F$2:$F$1001)*Calc!$F$2:$F$1001))))</f>
        <v/>
      </c>
      <c r="S958">
        <f>IF(I958=0,0,(MIN(MAX((K958+O958),0),L958)*W958+SUMPRODUCT((Calc!$A$2:$A$1001=A958)*Calc!$G$2:$G$1001*((((K958+O958)-(L958+Calc!$J$2:$J$1001))&gt;0)*(((K958+O958)-(L958+Calc!$J$2:$J$1001))&lt;Calc!$F$2:$F$1001)*((K958+O958)-(L958+Calc!$J$2:$J$1001))+(((K958+O958)-(L958+Calc!$J$2:$J$1001))&gt;=Calc!$F$2:$F$1001)*Calc!$F$2:$F$1001))))</f>
        <v/>
      </c>
      <c r="T958">
        <f>IF(AND(E958=1,B958="RETURN"),Transactions!E958*Transactions!G958,0)</f>
        <v/>
      </c>
      <c r="U958">
        <f>IF(AND(E958=1,B958="EXPENSE"),Transactions!J958,0)</f>
        <v/>
      </c>
      <c r="V958">
        <f>IF(AND(Transactions!A958&lt;&gt;"",E958=0),ROW(),"")</f>
        <v/>
      </c>
      <c r="W958">
        <f>IFERROR(VLOOKUP(A958,Opening!$A:$D,4,0),0)</f>
        <v/>
      </c>
    </row>
    <row r="959">
      <c r="A959">
        <f>IF(Transactions!D959="","",UPPER(TRIM(Transactions!D959)))</f>
        <v/>
      </c>
      <c r="B959">
        <f>IF(Transactions!C959="","",UPPER(TRIM(Transactions!C959)))</f>
        <v/>
      </c>
      <c r="C959">
        <f>IF(Transactions!B959="",0,YEAR(Transactions!B959)*100+MONTH(Transactions!B959))</f>
        <v/>
      </c>
      <c r="D959">
        <f>IF(Transactions!A959="",1,IF(COUNTIF(Transactions!$A$1:A958,Transactions!A959)&gt;0,1,0))</f>
        <v/>
      </c>
      <c r="E959">
        <f>IF(D959=1,0,IF(B959="RETURN",IF(COUNTIFS($A$1:A958,A959,$B$1:B958,"SALE",$E$1:E958,1)&gt;0,1,0),1))</f>
        <v/>
      </c>
      <c r="F959">
        <f>IF(E959=1,IF(B959="RECEIPT",Transactions!E959,IF(AND(B959="RETURN",LOWER(TRIM(Transactions!H959))="resellable"),Transactions!E959,0)),0)</f>
        <v/>
      </c>
      <c r="G959">
        <f>IF(F959&gt;0,IF(B959="RECEIPT",Transactions!F959,IF(_xlfn.MAXIFS($H$2:H959,$A$2:A959,A959)&gt;0,INDEX(Transactions!$F:$F,_xlfn.MAXIFS($H$2:H959,$A$2:A959,A959)),W959)),0)</f>
        <v/>
      </c>
      <c r="H959">
        <f>IF(AND(E959=1,B959="RECEIPT"),ROW(),0)</f>
        <v/>
      </c>
      <c r="I959">
        <f>IF(E959=1,IF(OR(B959="SALE",B959="WRITEOFF"),Transactions!E959,0),0)</f>
        <v/>
      </c>
      <c r="J959">
        <f>SUMIFS($F$1:F958,$A$1:A958,A959)</f>
        <v/>
      </c>
      <c r="K959">
        <f>SUMIFS($I$1:I958,$A$1:A958,A959)</f>
        <v/>
      </c>
      <c r="L959">
        <f>IFERROR(VLOOKUP(A959,Opening!$A:$C,3,0),0)</f>
        <v/>
      </c>
      <c r="M959">
        <f>IF(I959=0,0,MAX(0,MIN(INDEX(Month!H$2:H$13,MATCH($A959,Month!$A$2:$A$13,0))-K959,I959)))</f>
        <v/>
      </c>
      <c r="N959">
        <f>IF(I959=0,0,MAX(0,MIN(INDEX(Month!I$2:I$13,MATCH($A959,Month!$A$2:$A$13,0))-K959,I959)))</f>
        <v/>
      </c>
      <c r="O959">
        <f>IF(I959=0,0,MAX(0,MIN(INDEX(Month!J$2:J$13,MATCH($A959,Month!$A$2:$A$13,0))-K959,I959)))</f>
        <v/>
      </c>
      <c r="P959">
        <f>IF(I959=0,0,(MIN(MAX(K959,0),L959)*W959+SUMPRODUCT((Calc!$A$2:$A$1001=A959)*Calc!$G$2:$G$1001*(((K959-(L959+Calc!$J$2:$J$1001))&gt;0)*((K959-(L959+Calc!$J$2:$J$1001))&lt;Calc!$F$2:$F$1001)*(K959-(L959+Calc!$J$2:$J$1001))+((K959-(L959+Calc!$J$2:$J$1001))&gt;=Calc!$F$2:$F$1001)*Calc!$F$2:$F$1001))))</f>
        <v/>
      </c>
      <c r="Q959">
        <f>IF(I959=0,0,(MIN(MAX((K959+M959),0),L959)*W959+SUMPRODUCT((Calc!$A$2:$A$1001=A959)*Calc!$G$2:$G$1001*((((K959+M959)-(L959+Calc!$J$2:$J$1001))&gt;0)*(((K959+M959)-(L959+Calc!$J$2:$J$1001))&lt;Calc!$F$2:$F$1001)*((K959+M959)-(L959+Calc!$J$2:$J$1001))+(((K959+M959)-(L959+Calc!$J$2:$J$1001))&gt;=Calc!$F$2:$F$1001)*Calc!$F$2:$F$1001))))</f>
        <v/>
      </c>
      <c r="R959">
        <f>IF(I959=0,0,(MIN(MAX((K959+N959),0),L959)*W959+SUMPRODUCT((Calc!$A$2:$A$1001=A959)*Calc!$G$2:$G$1001*((((K959+N959)-(L959+Calc!$J$2:$J$1001))&gt;0)*(((K959+N959)-(L959+Calc!$J$2:$J$1001))&lt;Calc!$F$2:$F$1001)*((K959+N959)-(L959+Calc!$J$2:$J$1001))+(((K959+N959)-(L959+Calc!$J$2:$J$1001))&gt;=Calc!$F$2:$F$1001)*Calc!$F$2:$F$1001))))</f>
        <v/>
      </c>
      <c r="S959">
        <f>IF(I959=0,0,(MIN(MAX((K959+O959),0),L959)*W959+SUMPRODUCT((Calc!$A$2:$A$1001=A959)*Calc!$G$2:$G$1001*((((K959+O959)-(L959+Calc!$J$2:$J$1001))&gt;0)*(((K959+O959)-(L959+Calc!$J$2:$J$1001))&lt;Calc!$F$2:$F$1001)*((K959+O959)-(L959+Calc!$J$2:$J$1001))+(((K959+O959)-(L959+Calc!$J$2:$J$1001))&gt;=Calc!$F$2:$F$1001)*Calc!$F$2:$F$1001))))</f>
        <v/>
      </c>
      <c r="T959">
        <f>IF(AND(E959=1,B959="RETURN"),Transactions!E959*Transactions!G959,0)</f>
        <v/>
      </c>
      <c r="U959">
        <f>IF(AND(E959=1,B959="EXPENSE"),Transactions!J959,0)</f>
        <v/>
      </c>
      <c r="V959">
        <f>IF(AND(Transactions!A959&lt;&gt;"",E959=0),ROW(),"")</f>
        <v/>
      </c>
      <c r="W959">
        <f>IFERROR(VLOOKUP(A959,Opening!$A:$D,4,0),0)</f>
        <v/>
      </c>
    </row>
    <row r="960">
      <c r="A960">
        <f>IF(Transactions!D960="","",UPPER(TRIM(Transactions!D960)))</f>
        <v/>
      </c>
      <c r="B960">
        <f>IF(Transactions!C960="","",UPPER(TRIM(Transactions!C960)))</f>
        <v/>
      </c>
      <c r="C960">
        <f>IF(Transactions!B960="",0,YEAR(Transactions!B960)*100+MONTH(Transactions!B960))</f>
        <v/>
      </c>
      <c r="D960">
        <f>IF(Transactions!A960="",1,IF(COUNTIF(Transactions!$A$1:A959,Transactions!A960)&gt;0,1,0))</f>
        <v/>
      </c>
      <c r="E960">
        <f>IF(D960=1,0,IF(B960="RETURN",IF(COUNTIFS($A$1:A959,A960,$B$1:B959,"SALE",$E$1:E959,1)&gt;0,1,0),1))</f>
        <v/>
      </c>
      <c r="F960">
        <f>IF(E960=1,IF(B960="RECEIPT",Transactions!E960,IF(AND(B960="RETURN",LOWER(TRIM(Transactions!H960))="resellable"),Transactions!E960,0)),0)</f>
        <v/>
      </c>
      <c r="G960">
        <f>IF(F960&gt;0,IF(B960="RECEIPT",Transactions!F960,IF(_xlfn.MAXIFS($H$2:H960,$A$2:A960,A960)&gt;0,INDEX(Transactions!$F:$F,_xlfn.MAXIFS($H$2:H960,$A$2:A960,A960)),W960)),0)</f>
        <v/>
      </c>
      <c r="H960">
        <f>IF(AND(E960=1,B960="RECEIPT"),ROW(),0)</f>
        <v/>
      </c>
      <c r="I960">
        <f>IF(E960=1,IF(OR(B960="SALE",B960="WRITEOFF"),Transactions!E960,0),0)</f>
        <v/>
      </c>
      <c r="J960">
        <f>SUMIFS($F$1:F959,$A$1:A959,A960)</f>
        <v/>
      </c>
      <c r="K960">
        <f>SUMIFS($I$1:I959,$A$1:A959,A960)</f>
        <v/>
      </c>
      <c r="L960">
        <f>IFERROR(VLOOKUP(A960,Opening!$A:$C,3,0),0)</f>
        <v/>
      </c>
      <c r="M960">
        <f>IF(I960=0,0,MAX(0,MIN(INDEX(Month!H$2:H$13,MATCH($A960,Month!$A$2:$A$13,0))-K960,I960)))</f>
        <v/>
      </c>
      <c r="N960">
        <f>IF(I960=0,0,MAX(0,MIN(INDEX(Month!I$2:I$13,MATCH($A960,Month!$A$2:$A$13,0))-K960,I960)))</f>
        <v/>
      </c>
      <c r="O960">
        <f>IF(I960=0,0,MAX(0,MIN(INDEX(Month!J$2:J$13,MATCH($A960,Month!$A$2:$A$13,0))-K960,I960)))</f>
        <v/>
      </c>
      <c r="P960">
        <f>IF(I960=0,0,(MIN(MAX(K960,0),L960)*W960+SUMPRODUCT((Calc!$A$2:$A$1001=A960)*Calc!$G$2:$G$1001*(((K960-(L960+Calc!$J$2:$J$1001))&gt;0)*((K960-(L960+Calc!$J$2:$J$1001))&lt;Calc!$F$2:$F$1001)*(K960-(L960+Calc!$J$2:$J$1001))+((K960-(L960+Calc!$J$2:$J$1001))&gt;=Calc!$F$2:$F$1001)*Calc!$F$2:$F$1001))))</f>
        <v/>
      </c>
      <c r="Q960">
        <f>IF(I960=0,0,(MIN(MAX((K960+M960),0),L960)*W960+SUMPRODUCT((Calc!$A$2:$A$1001=A960)*Calc!$G$2:$G$1001*((((K960+M960)-(L960+Calc!$J$2:$J$1001))&gt;0)*(((K960+M960)-(L960+Calc!$J$2:$J$1001))&lt;Calc!$F$2:$F$1001)*((K960+M960)-(L960+Calc!$J$2:$J$1001))+(((K960+M960)-(L960+Calc!$J$2:$J$1001))&gt;=Calc!$F$2:$F$1001)*Calc!$F$2:$F$1001))))</f>
        <v/>
      </c>
      <c r="R960">
        <f>IF(I960=0,0,(MIN(MAX((K960+N960),0),L960)*W960+SUMPRODUCT((Calc!$A$2:$A$1001=A960)*Calc!$G$2:$G$1001*((((K960+N960)-(L960+Calc!$J$2:$J$1001))&gt;0)*(((K960+N960)-(L960+Calc!$J$2:$J$1001))&lt;Calc!$F$2:$F$1001)*((K960+N960)-(L960+Calc!$J$2:$J$1001))+(((K960+N960)-(L960+Calc!$J$2:$J$1001))&gt;=Calc!$F$2:$F$1001)*Calc!$F$2:$F$1001))))</f>
        <v/>
      </c>
      <c r="S960">
        <f>IF(I960=0,0,(MIN(MAX((K960+O960),0),L960)*W960+SUMPRODUCT((Calc!$A$2:$A$1001=A960)*Calc!$G$2:$G$1001*((((K960+O960)-(L960+Calc!$J$2:$J$1001))&gt;0)*(((K960+O960)-(L960+Calc!$J$2:$J$1001))&lt;Calc!$F$2:$F$1001)*((K960+O960)-(L960+Calc!$J$2:$J$1001))+(((K960+O960)-(L960+Calc!$J$2:$J$1001))&gt;=Calc!$F$2:$F$1001)*Calc!$F$2:$F$1001))))</f>
        <v/>
      </c>
      <c r="T960">
        <f>IF(AND(E960=1,B960="RETURN"),Transactions!E960*Transactions!G960,0)</f>
        <v/>
      </c>
      <c r="U960">
        <f>IF(AND(E960=1,B960="EXPENSE"),Transactions!J960,0)</f>
        <v/>
      </c>
      <c r="V960">
        <f>IF(AND(Transactions!A960&lt;&gt;"",E960=0),ROW(),"")</f>
        <v/>
      </c>
      <c r="W960">
        <f>IFERROR(VLOOKUP(A960,Opening!$A:$D,4,0),0)</f>
        <v/>
      </c>
    </row>
    <row r="961">
      <c r="A961">
        <f>IF(Transactions!D961="","",UPPER(TRIM(Transactions!D961)))</f>
        <v/>
      </c>
      <c r="B961">
        <f>IF(Transactions!C961="","",UPPER(TRIM(Transactions!C961)))</f>
        <v/>
      </c>
      <c r="C961">
        <f>IF(Transactions!B961="",0,YEAR(Transactions!B961)*100+MONTH(Transactions!B961))</f>
        <v/>
      </c>
      <c r="D961">
        <f>IF(Transactions!A961="",1,IF(COUNTIF(Transactions!$A$1:A960,Transactions!A961)&gt;0,1,0))</f>
        <v/>
      </c>
      <c r="E961">
        <f>IF(D961=1,0,IF(B961="RETURN",IF(COUNTIFS($A$1:A960,A961,$B$1:B960,"SALE",$E$1:E960,1)&gt;0,1,0),1))</f>
        <v/>
      </c>
      <c r="F961">
        <f>IF(E961=1,IF(B961="RECEIPT",Transactions!E961,IF(AND(B961="RETURN",LOWER(TRIM(Transactions!H961))="resellable"),Transactions!E961,0)),0)</f>
        <v/>
      </c>
      <c r="G961">
        <f>IF(F961&gt;0,IF(B961="RECEIPT",Transactions!F961,IF(_xlfn.MAXIFS($H$2:H961,$A$2:A961,A961)&gt;0,INDEX(Transactions!$F:$F,_xlfn.MAXIFS($H$2:H961,$A$2:A961,A961)),W961)),0)</f>
        <v/>
      </c>
      <c r="H961">
        <f>IF(AND(E961=1,B961="RECEIPT"),ROW(),0)</f>
        <v/>
      </c>
      <c r="I961">
        <f>IF(E961=1,IF(OR(B961="SALE",B961="WRITEOFF"),Transactions!E961,0),0)</f>
        <v/>
      </c>
      <c r="J961">
        <f>SUMIFS($F$1:F960,$A$1:A960,A961)</f>
        <v/>
      </c>
      <c r="K961">
        <f>SUMIFS($I$1:I960,$A$1:A960,A961)</f>
        <v/>
      </c>
      <c r="L961">
        <f>IFERROR(VLOOKUP(A961,Opening!$A:$C,3,0),0)</f>
        <v/>
      </c>
      <c r="M961">
        <f>IF(I961=0,0,MAX(0,MIN(INDEX(Month!H$2:H$13,MATCH($A961,Month!$A$2:$A$13,0))-K961,I961)))</f>
        <v/>
      </c>
      <c r="N961">
        <f>IF(I961=0,0,MAX(0,MIN(INDEX(Month!I$2:I$13,MATCH($A961,Month!$A$2:$A$13,0))-K961,I961)))</f>
        <v/>
      </c>
      <c r="O961">
        <f>IF(I961=0,0,MAX(0,MIN(INDEX(Month!J$2:J$13,MATCH($A961,Month!$A$2:$A$13,0))-K961,I961)))</f>
        <v/>
      </c>
      <c r="P961">
        <f>IF(I961=0,0,(MIN(MAX(K961,0),L961)*W961+SUMPRODUCT((Calc!$A$2:$A$1001=A961)*Calc!$G$2:$G$1001*(((K961-(L961+Calc!$J$2:$J$1001))&gt;0)*((K961-(L961+Calc!$J$2:$J$1001))&lt;Calc!$F$2:$F$1001)*(K961-(L961+Calc!$J$2:$J$1001))+((K961-(L961+Calc!$J$2:$J$1001))&gt;=Calc!$F$2:$F$1001)*Calc!$F$2:$F$1001))))</f>
        <v/>
      </c>
      <c r="Q961">
        <f>IF(I961=0,0,(MIN(MAX((K961+M961),0),L961)*W961+SUMPRODUCT((Calc!$A$2:$A$1001=A961)*Calc!$G$2:$G$1001*((((K961+M961)-(L961+Calc!$J$2:$J$1001))&gt;0)*(((K961+M961)-(L961+Calc!$J$2:$J$1001))&lt;Calc!$F$2:$F$1001)*((K961+M961)-(L961+Calc!$J$2:$J$1001))+(((K961+M961)-(L961+Calc!$J$2:$J$1001))&gt;=Calc!$F$2:$F$1001)*Calc!$F$2:$F$1001))))</f>
        <v/>
      </c>
      <c r="R961">
        <f>IF(I961=0,0,(MIN(MAX((K961+N961),0),L961)*W961+SUMPRODUCT((Calc!$A$2:$A$1001=A961)*Calc!$G$2:$G$1001*((((K961+N961)-(L961+Calc!$J$2:$J$1001))&gt;0)*(((K961+N961)-(L961+Calc!$J$2:$J$1001))&lt;Calc!$F$2:$F$1001)*((K961+N961)-(L961+Calc!$J$2:$J$1001))+(((K961+N961)-(L961+Calc!$J$2:$J$1001))&gt;=Calc!$F$2:$F$1001)*Calc!$F$2:$F$1001))))</f>
        <v/>
      </c>
      <c r="S961">
        <f>IF(I961=0,0,(MIN(MAX((K961+O961),0),L961)*W961+SUMPRODUCT((Calc!$A$2:$A$1001=A961)*Calc!$G$2:$G$1001*((((K961+O961)-(L961+Calc!$J$2:$J$1001))&gt;0)*(((K961+O961)-(L961+Calc!$J$2:$J$1001))&lt;Calc!$F$2:$F$1001)*((K961+O961)-(L961+Calc!$J$2:$J$1001))+(((K961+O961)-(L961+Calc!$J$2:$J$1001))&gt;=Calc!$F$2:$F$1001)*Calc!$F$2:$F$1001))))</f>
        <v/>
      </c>
      <c r="T961">
        <f>IF(AND(E961=1,B961="RETURN"),Transactions!E961*Transactions!G961,0)</f>
        <v/>
      </c>
      <c r="U961">
        <f>IF(AND(E961=1,B961="EXPENSE"),Transactions!J961,0)</f>
        <v/>
      </c>
      <c r="V961">
        <f>IF(AND(Transactions!A961&lt;&gt;"",E961=0),ROW(),"")</f>
        <v/>
      </c>
      <c r="W961">
        <f>IFERROR(VLOOKUP(A961,Opening!$A:$D,4,0),0)</f>
        <v/>
      </c>
    </row>
    <row r="962">
      <c r="A962">
        <f>IF(Transactions!D962="","",UPPER(TRIM(Transactions!D962)))</f>
        <v/>
      </c>
      <c r="B962">
        <f>IF(Transactions!C962="","",UPPER(TRIM(Transactions!C962)))</f>
        <v/>
      </c>
      <c r="C962">
        <f>IF(Transactions!B962="",0,YEAR(Transactions!B962)*100+MONTH(Transactions!B962))</f>
        <v/>
      </c>
      <c r="D962">
        <f>IF(Transactions!A962="",1,IF(COUNTIF(Transactions!$A$1:A961,Transactions!A962)&gt;0,1,0))</f>
        <v/>
      </c>
      <c r="E962">
        <f>IF(D962=1,0,IF(B962="RETURN",IF(COUNTIFS($A$1:A961,A962,$B$1:B961,"SALE",$E$1:E961,1)&gt;0,1,0),1))</f>
        <v/>
      </c>
      <c r="F962">
        <f>IF(E962=1,IF(B962="RECEIPT",Transactions!E962,IF(AND(B962="RETURN",LOWER(TRIM(Transactions!H962))="resellable"),Transactions!E962,0)),0)</f>
        <v/>
      </c>
      <c r="G962">
        <f>IF(F962&gt;0,IF(B962="RECEIPT",Transactions!F962,IF(_xlfn.MAXIFS($H$2:H962,$A$2:A962,A962)&gt;0,INDEX(Transactions!$F:$F,_xlfn.MAXIFS($H$2:H962,$A$2:A962,A962)),W962)),0)</f>
        <v/>
      </c>
      <c r="H962">
        <f>IF(AND(E962=1,B962="RECEIPT"),ROW(),0)</f>
        <v/>
      </c>
      <c r="I962">
        <f>IF(E962=1,IF(OR(B962="SALE",B962="WRITEOFF"),Transactions!E962,0),0)</f>
        <v/>
      </c>
      <c r="J962">
        <f>SUMIFS($F$1:F961,$A$1:A961,A962)</f>
        <v/>
      </c>
      <c r="K962">
        <f>SUMIFS($I$1:I961,$A$1:A961,A962)</f>
        <v/>
      </c>
      <c r="L962">
        <f>IFERROR(VLOOKUP(A962,Opening!$A:$C,3,0),0)</f>
        <v/>
      </c>
      <c r="M962">
        <f>IF(I962=0,0,MAX(0,MIN(INDEX(Month!H$2:H$13,MATCH($A962,Month!$A$2:$A$13,0))-K962,I962)))</f>
        <v/>
      </c>
      <c r="N962">
        <f>IF(I962=0,0,MAX(0,MIN(INDEX(Month!I$2:I$13,MATCH($A962,Month!$A$2:$A$13,0))-K962,I962)))</f>
        <v/>
      </c>
      <c r="O962">
        <f>IF(I962=0,0,MAX(0,MIN(INDEX(Month!J$2:J$13,MATCH($A962,Month!$A$2:$A$13,0))-K962,I962)))</f>
        <v/>
      </c>
      <c r="P962">
        <f>IF(I962=0,0,(MIN(MAX(K962,0),L962)*W962+SUMPRODUCT((Calc!$A$2:$A$1001=A962)*Calc!$G$2:$G$1001*(((K962-(L962+Calc!$J$2:$J$1001))&gt;0)*((K962-(L962+Calc!$J$2:$J$1001))&lt;Calc!$F$2:$F$1001)*(K962-(L962+Calc!$J$2:$J$1001))+((K962-(L962+Calc!$J$2:$J$1001))&gt;=Calc!$F$2:$F$1001)*Calc!$F$2:$F$1001))))</f>
        <v/>
      </c>
      <c r="Q962">
        <f>IF(I962=0,0,(MIN(MAX((K962+M962),0),L962)*W962+SUMPRODUCT((Calc!$A$2:$A$1001=A962)*Calc!$G$2:$G$1001*((((K962+M962)-(L962+Calc!$J$2:$J$1001))&gt;0)*(((K962+M962)-(L962+Calc!$J$2:$J$1001))&lt;Calc!$F$2:$F$1001)*((K962+M962)-(L962+Calc!$J$2:$J$1001))+(((K962+M962)-(L962+Calc!$J$2:$J$1001))&gt;=Calc!$F$2:$F$1001)*Calc!$F$2:$F$1001))))</f>
        <v/>
      </c>
      <c r="R962">
        <f>IF(I962=0,0,(MIN(MAX((K962+N962),0),L962)*W962+SUMPRODUCT((Calc!$A$2:$A$1001=A962)*Calc!$G$2:$G$1001*((((K962+N962)-(L962+Calc!$J$2:$J$1001))&gt;0)*(((K962+N962)-(L962+Calc!$J$2:$J$1001))&lt;Calc!$F$2:$F$1001)*((K962+N962)-(L962+Calc!$J$2:$J$1001))+(((K962+N962)-(L962+Calc!$J$2:$J$1001))&gt;=Calc!$F$2:$F$1001)*Calc!$F$2:$F$1001))))</f>
        <v/>
      </c>
      <c r="S962">
        <f>IF(I962=0,0,(MIN(MAX((K962+O962),0),L962)*W962+SUMPRODUCT((Calc!$A$2:$A$1001=A962)*Calc!$G$2:$G$1001*((((K962+O962)-(L962+Calc!$J$2:$J$1001))&gt;0)*(((K962+O962)-(L962+Calc!$J$2:$J$1001))&lt;Calc!$F$2:$F$1001)*((K962+O962)-(L962+Calc!$J$2:$J$1001))+(((K962+O962)-(L962+Calc!$J$2:$J$1001))&gt;=Calc!$F$2:$F$1001)*Calc!$F$2:$F$1001))))</f>
        <v/>
      </c>
      <c r="T962">
        <f>IF(AND(E962=1,B962="RETURN"),Transactions!E962*Transactions!G962,0)</f>
        <v/>
      </c>
      <c r="U962">
        <f>IF(AND(E962=1,B962="EXPENSE"),Transactions!J962,0)</f>
        <v/>
      </c>
      <c r="V962">
        <f>IF(AND(Transactions!A962&lt;&gt;"",E962=0),ROW(),"")</f>
        <v/>
      </c>
      <c r="W962">
        <f>IFERROR(VLOOKUP(A962,Opening!$A:$D,4,0),0)</f>
        <v/>
      </c>
    </row>
    <row r="963">
      <c r="A963">
        <f>IF(Transactions!D963="","",UPPER(TRIM(Transactions!D963)))</f>
        <v/>
      </c>
      <c r="B963">
        <f>IF(Transactions!C963="","",UPPER(TRIM(Transactions!C963)))</f>
        <v/>
      </c>
      <c r="C963">
        <f>IF(Transactions!B963="",0,YEAR(Transactions!B963)*100+MONTH(Transactions!B963))</f>
        <v/>
      </c>
      <c r="D963">
        <f>IF(Transactions!A963="",1,IF(COUNTIF(Transactions!$A$1:A962,Transactions!A963)&gt;0,1,0))</f>
        <v/>
      </c>
      <c r="E963">
        <f>IF(D963=1,0,IF(B963="RETURN",IF(COUNTIFS($A$1:A962,A963,$B$1:B962,"SALE",$E$1:E962,1)&gt;0,1,0),1))</f>
        <v/>
      </c>
      <c r="F963">
        <f>IF(E963=1,IF(B963="RECEIPT",Transactions!E963,IF(AND(B963="RETURN",LOWER(TRIM(Transactions!H963))="resellable"),Transactions!E963,0)),0)</f>
        <v/>
      </c>
      <c r="G963">
        <f>IF(F963&gt;0,IF(B963="RECEIPT",Transactions!F963,IF(_xlfn.MAXIFS($H$2:H963,$A$2:A963,A963)&gt;0,INDEX(Transactions!$F:$F,_xlfn.MAXIFS($H$2:H963,$A$2:A963,A963)),W963)),0)</f>
        <v/>
      </c>
      <c r="H963">
        <f>IF(AND(E963=1,B963="RECEIPT"),ROW(),0)</f>
        <v/>
      </c>
      <c r="I963">
        <f>IF(E963=1,IF(OR(B963="SALE",B963="WRITEOFF"),Transactions!E963,0),0)</f>
        <v/>
      </c>
      <c r="J963">
        <f>SUMIFS($F$1:F962,$A$1:A962,A963)</f>
        <v/>
      </c>
      <c r="K963">
        <f>SUMIFS($I$1:I962,$A$1:A962,A963)</f>
        <v/>
      </c>
      <c r="L963">
        <f>IFERROR(VLOOKUP(A963,Opening!$A:$C,3,0),0)</f>
        <v/>
      </c>
      <c r="M963">
        <f>IF(I963=0,0,MAX(0,MIN(INDEX(Month!H$2:H$13,MATCH($A963,Month!$A$2:$A$13,0))-K963,I963)))</f>
        <v/>
      </c>
      <c r="N963">
        <f>IF(I963=0,0,MAX(0,MIN(INDEX(Month!I$2:I$13,MATCH($A963,Month!$A$2:$A$13,0))-K963,I963)))</f>
        <v/>
      </c>
      <c r="O963">
        <f>IF(I963=0,0,MAX(0,MIN(INDEX(Month!J$2:J$13,MATCH($A963,Month!$A$2:$A$13,0))-K963,I963)))</f>
        <v/>
      </c>
      <c r="P963">
        <f>IF(I963=0,0,(MIN(MAX(K963,0),L963)*W963+SUMPRODUCT((Calc!$A$2:$A$1001=A963)*Calc!$G$2:$G$1001*(((K963-(L963+Calc!$J$2:$J$1001))&gt;0)*((K963-(L963+Calc!$J$2:$J$1001))&lt;Calc!$F$2:$F$1001)*(K963-(L963+Calc!$J$2:$J$1001))+((K963-(L963+Calc!$J$2:$J$1001))&gt;=Calc!$F$2:$F$1001)*Calc!$F$2:$F$1001))))</f>
        <v/>
      </c>
      <c r="Q963">
        <f>IF(I963=0,0,(MIN(MAX((K963+M963),0),L963)*W963+SUMPRODUCT((Calc!$A$2:$A$1001=A963)*Calc!$G$2:$G$1001*((((K963+M963)-(L963+Calc!$J$2:$J$1001))&gt;0)*(((K963+M963)-(L963+Calc!$J$2:$J$1001))&lt;Calc!$F$2:$F$1001)*((K963+M963)-(L963+Calc!$J$2:$J$1001))+(((K963+M963)-(L963+Calc!$J$2:$J$1001))&gt;=Calc!$F$2:$F$1001)*Calc!$F$2:$F$1001))))</f>
        <v/>
      </c>
      <c r="R963">
        <f>IF(I963=0,0,(MIN(MAX((K963+N963),0),L963)*W963+SUMPRODUCT((Calc!$A$2:$A$1001=A963)*Calc!$G$2:$G$1001*((((K963+N963)-(L963+Calc!$J$2:$J$1001))&gt;0)*(((K963+N963)-(L963+Calc!$J$2:$J$1001))&lt;Calc!$F$2:$F$1001)*((K963+N963)-(L963+Calc!$J$2:$J$1001))+(((K963+N963)-(L963+Calc!$J$2:$J$1001))&gt;=Calc!$F$2:$F$1001)*Calc!$F$2:$F$1001))))</f>
        <v/>
      </c>
      <c r="S963">
        <f>IF(I963=0,0,(MIN(MAX((K963+O963),0),L963)*W963+SUMPRODUCT((Calc!$A$2:$A$1001=A963)*Calc!$G$2:$G$1001*((((K963+O963)-(L963+Calc!$J$2:$J$1001))&gt;0)*(((K963+O963)-(L963+Calc!$J$2:$J$1001))&lt;Calc!$F$2:$F$1001)*((K963+O963)-(L963+Calc!$J$2:$J$1001))+(((K963+O963)-(L963+Calc!$J$2:$J$1001))&gt;=Calc!$F$2:$F$1001)*Calc!$F$2:$F$1001))))</f>
        <v/>
      </c>
      <c r="T963">
        <f>IF(AND(E963=1,B963="RETURN"),Transactions!E963*Transactions!G963,0)</f>
        <v/>
      </c>
      <c r="U963">
        <f>IF(AND(E963=1,B963="EXPENSE"),Transactions!J963,0)</f>
        <v/>
      </c>
      <c r="V963">
        <f>IF(AND(Transactions!A963&lt;&gt;"",E963=0),ROW(),"")</f>
        <v/>
      </c>
      <c r="W963">
        <f>IFERROR(VLOOKUP(A963,Opening!$A:$D,4,0),0)</f>
        <v/>
      </c>
    </row>
    <row r="964">
      <c r="A964">
        <f>IF(Transactions!D964="","",UPPER(TRIM(Transactions!D964)))</f>
        <v/>
      </c>
      <c r="B964">
        <f>IF(Transactions!C964="","",UPPER(TRIM(Transactions!C964)))</f>
        <v/>
      </c>
      <c r="C964">
        <f>IF(Transactions!B964="",0,YEAR(Transactions!B964)*100+MONTH(Transactions!B964))</f>
        <v/>
      </c>
      <c r="D964">
        <f>IF(Transactions!A964="",1,IF(COUNTIF(Transactions!$A$1:A963,Transactions!A964)&gt;0,1,0))</f>
        <v/>
      </c>
      <c r="E964">
        <f>IF(D964=1,0,IF(B964="RETURN",IF(COUNTIFS($A$1:A963,A964,$B$1:B963,"SALE",$E$1:E963,1)&gt;0,1,0),1))</f>
        <v/>
      </c>
      <c r="F964">
        <f>IF(E964=1,IF(B964="RECEIPT",Transactions!E964,IF(AND(B964="RETURN",LOWER(TRIM(Transactions!H964))="resellable"),Transactions!E964,0)),0)</f>
        <v/>
      </c>
      <c r="G964">
        <f>IF(F964&gt;0,IF(B964="RECEIPT",Transactions!F964,IF(_xlfn.MAXIFS($H$2:H964,$A$2:A964,A964)&gt;0,INDEX(Transactions!$F:$F,_xlfn.MAXIFS($H$2:H964,$A$2:A964,A964)),W964)),0)</f>
        <v/>
      </c>
      <c r="H964">
        <f>IF(AND(E964=1,B964="RECEIPT"),ROW(),0)</f>
        <v/>
      </c>
      <c r="I964">
        <f>IF(E964=1,IF(OR(B964="SALE",B964="WRITEOFF"),Transactions!E964,0),0)</f>
        <v/>
      </c>
      <c r="J964">
        <f>SUMIFS($F$1:F963,$A$1:A963,A964)</f>
        <v/>
      </c>
      <c r="K964">
        <f>SUMIFS($I$1:I963,$A$1:A963,A964)</f>
        <v/>
      </c>
      <c r="L964">
        <f>IFERROR(VLOOKUP(A964,Opening!$A:$C,3,0),0)</f>
        <v/>
      </c>
      <c r="M964">
        <f>IF(I964=0,0,MAX(0,MIN(INDEX(Month!H$2:H$13,MATCH($A964,Month!$A$2:$A$13,0))-K964,I964)))</f>
        <v/>
      </c>
      <c r="N964">
        <f>IF(I964=0,0,MAX(0,MIN(INDEX(Month!I$2:I$13,MATCH($A964,Month!$A$2:$A$13,0))-K964,I964)))</f>
        <v/>
      </c>
      <c r="O964">
        <f>IF(I964=0,0,MAX(0,MIN(INDEX(Month!J$2:J$13,MATCH($A964,Month!$A$2:$A$13,0))-K964,I964)))</f>
        <v/>
      </c>
      <c r="P964">
        <f>IF(I964=0,0,(MIN(MAX(K964,0),L964)*W964+SUMPRODUCT((Calc!$A$2:$A$1001=A964)*Calc!$G$2:$G$1001*(((K964-(L964+Calc!$J$2:$J$1001))&gt;0)*((K964-(L964+Calc!$J$2:$J$1001))&lt;Calc!$F$2:$F$1001)*(K964-(L964+Calc!$J$2:$J$1001))+((K964-(L964+Calc!$J$2:$J$1001))&gt;=Calc!$F$2:$F$1001)*Calc!$F$2:$F$1001))))</f>
        <v/>
      </c>
      <c r="Q964">
        <f>IF(I964=0,0,(MIN(MAX((K964+M964),0),L964)*W964+SUMPRODUCT((Calc!$A$2:$A$1001=A964)*Calc!$G$2:$G$1001*((((K964+M964)-(L964+Calc!$J$2:$J$1001))&gt;0)*(((K964+M964)-(L964+Calc!$J$2:$J$1001))&lt;Calc!$F$2:$F$1001)*((K964+M964)-(L964+Calc!$J$2:$J$1001))+(((K964+M964)-(L964+Calc!$J$2:$J$1001))&gt;=Calc!$F$2:$F$1001)*Calc!$F$2:$F$1001))))</f>
        <v/>
      </c>
      <c r="R964">
        <f>IF(I964=0,0,(MIN(MAX((K964+N964),0),L964)*W964+SUMPRODUCT((Calc!$A$2:$A$1001=A964)*Calc!$G$2:$G$1001*((((K964+N964)-(L964+Calc!$J$2:$J$1001))&gt;0)*(((K964+N964)-(L964+Calc!$J$2:$J$1001))&lt;Calc!$F$2:$F$1001)*((K964+N964)-(L964+Calc!$J$2:$J$1001))+(((K964+N964)-(L964+Calc!$J$2:$J$1001))&gt;=Calc!$F$2:$F$1001)*Calc!$F$2:$F$1001))))</f>
        <v/>
      </c>
      <c r="S964">
        <f>IF(I964=0,0,(MIN(MAX((K964+O964),0),L964)*W964+SUMPRODUCT((Calc!$A$2:$A$1001=A964)*Calc!$G$2:$G$1001*((((K964+O964)-(L964+Calc!$J$2:$J$1001))&gt;0)*(((K964+O964)-(L964+Calc!$J$2:$J$1001))&lt;Calc!$F$2:$F$1001)*((K964+O964)-(L964+Calc!$J$2:$J$1001))+(((K964+O964)-(L964+Calc!$J$2:$J$1001))&gt;=Calc!$F$2:$F$1001)*Calc!$F$2:$F$1001))))</f>
        <v/>
      </c>
      <c r="T964">
        <f>IF(AND(E964=1,B964="RETURN"),Transactions!E964*Transactions!G964,0)</f>
        <v/>
      </c>
      <c r="U964">
        <f>IF(AND(E964=1,B964="EXPENSE"),Transactions!J964,0)</f>
        <v/>
      </c>
      <c r="V964">
        <f>IF(AND(Transactions!A964&lt;&gt;"",E964=0),ROW(),"")</f>
        <v/>
      </c>
      <c r="W964">
        <f>IFERROR(VLOOKUP(A964,Opening!$A:$D,4,0),0)</f>
        <v/>
      </c>
    </row>
    <row r="965">
      <c r="A965">
        <f>IF(Transactions!D965="","",UPPER(TRIM(Transactions!D965)))</f>
        <v/>
      </c>
      <c r="B965">
        <f>IF(Transactions!C965="","",UPPER(TRIM(Transactions!C965)))</f>
        <v/>
      </c>
      <c r="C965">
        <f>IF(Transactions!B965="",0,YEAR(Transactions!B965)*100+MONTH(Transactions!B965))</f>
        <v/>
      </c>
      <c r="D965">
        <f>IF(Transactions!A965="",1,IF(COUNTIF(Transactions!$A$1:A964,Transactions!A965)&gt;0,1,0))</f>
        <v/>
      </c>
      <c r="E965">
        <f>IF(D965=1,0,IF(B965="RETURN",IF(COUNTIFS($A$1:A964,A965,$B$1:B964,"SALE",$E$1:E964,1)&gt;0,1,0),1))</f>
        <v/>
      </c>
      <c r="F965">
        <f>IF(E965=1,IF(B965="RECEIPT",Transactions!E965,IF(AND(B965="RETURN",LOWER(TRIM(Transactions!H965))="resellable"),Transactions!E965,0)),0)</f>
        <v/>
      </c>
      <c r="G965">
        <f>IF(F965&gt;0,IF(B965="RECEIPT",Transactions!F965,IF(_xlfn.MAXIFS($H$2:H965,$A$2:A965,A965)&gt;0,INDEX(Transactions!$F:$F,_xlfn.MAXIFS($H$2:H965,$A$2:A965,A965)),W965)),0)</f>
        <v/>
      </c>
      <c r="H965">
        <f>IF(AND(E965=1,B965="RECEIPT"),ROW(),0)</f>
        <v/>
      </c>
      <c r="I965">
        <f>IF(E965=1,IF(OR(B965="SALE",B965="WRITEOFF"),Transactions!E965,0),0)</f>
        <v/>
      </c>
      <c r="J965">
        <f>SUMIFS($F$1:F964,$A$1:A964,A965)</f>
        <v/>
      </c>
      <c r="K965">
        <f>SUMIFS($I$1:I964,$A$1:A964,A965)</f>
        <v/>
      </c>
      <c r="L965">
        <f>IFERROR(VLOOKUP(A965,Opening!$A:$C,3,0),0)</f>
        <v/>
      </c>
      <c r="M965">
        <f>IF(I965=0,0,MAX(0,MIN(INDEX(Month!H$2:H$13,MATCH($A965,Month!$A$2:$A$13,0))-K965,I965)))</f>
        <v/>
      </c>
      <c r="N965">
        <f>IF(I965=0,0,MAX(0,MIN(INDEX(Month!I$2:I$13,MATCH($A965,Month!$A$2:$A$13,0))-K965,I965)))</f>
        <v/>
      </c>
      <c r="O965">
        <f>IF(I965=0,0,MAX(0,MIN(INDEX(Month!J$2:J$13,MATCH($A965,Month!$A$2:$A$13,0))-K965,I965)))</f>
        <v/>
      </c>
      <c r="P965">
        <f>IF(I965=0,0,(MIN(MAX(K965,0),L965)*W965+SUMPRODUCT((Calc!$A$2:$A$1001=A965)*Calc!$G$2:$G$1001*(((K965-(L965+Calc!$J$2:$J$1001))&gt;0)*((K965-(L965+Calc!$J$2:$J$1001))&lt;Calc!$F$2:$F$1001)*(K965-(L965+Calc!$J$2:$J$1001))+((K965-(L965+Calc!$J$2:$J$1001))&gt;=Calc!$F$2:$F$1001)*Calc!$F$2:$F$1001))))</f>
        <v/>
      </c>
      <c r="Q965">
        <f>IF(I965=0,0,(MIN(MAX((K965+M965),0),L965)*W965+SUMPRODUCT((Calc!$A$2:$A$1001=A965)*Calc!$G$2:$G$1001*((((K965+M965)-(L965+Calc!$J$2:$J$1001))&gt;0)*(((K965+M965)-(L965+Calc!$J$2:$J$1001))&lt;Calc!$F$2:$F$1001)*((K965+M965)-(L965+Calc!$J$2:$J$1001))+(((K965+M965)-(L965+Calc!$J$2:$J$1001))&gt;=Calc!$F$2:$F$1001)*Calc!$F$2:$F$1001))))</f>
        <v/>
      </c>
      <c r="R965">
        <f>IF(I965=0,0,(MIN(MAX((K965+N965),0),L965)*W965+SUMPRODUCT((Calc!$A$2:$A$1001=A965)*Calc!$G$2:$G$1001*((((K965+N965)-(L965+Calc!$J$2:$J$1001))&gt;0)*(((K965+N965)-(L965+Calc!$J$2:$J$1001))&lt;Calc!$F$2:$F$1001)*((K965+N965)-(L965+Calc!$J$2:$J$1001))+(((K965+N965)-(L965+Calc!$J$2:$J$1001))&gt;=Calc!$F$2:$F$1001)*Calc!$F$2:$F$1001))))</f>
        <v/>
      </c>
      <c r="S965">
        <f>IF(I965=0,0,(MIN(MAX((K965+O965),0),L965)*W965+SUMPRODUCT((Calc!$A$2:$A$1001=A965)*Calc!$G$2:$G$1001*((((K965+O965)-(L965+Calc!$J$2:$J$1001))&gt;0)*(((K965+O965)-(L965+Calc!$J$2:$J$1001))&lt;Calc!$F$2:$F$1001)*((K965+O965)-(L965+Calc!$J$2:$J$1001))+(((K965+O965)-(L965+Calc!$J$2:$J$1001))&gt;=Calc!$F$2:$F$1001)*Calc!$F$2:$F$1001))))</f>
        <v/>
      </c>
      <c r="T965">
        <f>IF(AND(E965=1,B965="RETURN"),Transactions!E965*Transactions!G965,0)</f>
        <v/>
      </c>
      <c r="U965">
        <f>IF(AND(E965=1,B965="EXPENSE"),Transactions!J965,0)</f>
        <v/>
      </c>
      <c r="V965">
        <f>IF(AND(Transactions!A965&lt;&gt;"",E965=0),ROW(),"")</f>
        <v/>
      </c>
      <c r="W965">
        <f>IFERROR(VLOOKUP(A965,Opening!$A:$D,4,0),0)</f>
        <v/>
      </c>
    </row>
    <row r="966">
      <c r="A966">
        <f>IF(Transactions!D966="","",UPPER(TRIM(Transactions!D966)))</f>
        <v/>
      </c>
      <c r="B966">
        <f>IF(Transactions!C966="","",UPPER(TRIM(Transactions!C966)))</f>
        <v/>
      </c>
      <c r="C966">
        <f>IF(Transactions!B966="",0,YEAR(Transactions!B966)*100+MONTH(Transactions!B966))</f>
        <v/>
      </c>
      <c r="D966">
        <f>IF(Transactions!A966="",1,IF(COUNTIF(Transactions!$A$1:A965,Transactions!A966)&gt;0,1,0))</f>
        <v/>
      </c>
      <c r="E966">
        <f>IF(D966=1,0,IF(B966="RETURN",IF(COUNTIFS($A$1:A965,A966,$B$1:B965,"SALE",$E$1:E965,1)&gt;0,1,0),1))</f>
        <v/>
      </c>
      <c r="F966">
        <f>IF(E966=1,IF(B966="RECEIPT",Transactions!E966,IF(AND(B966="RETURN",LOWER(TRIM(Transactions!H966))="resellable"),Transactions!E966,0)),0)</f>
        <v/>
      </c>
      <c r="G966">
        <f>IF(F966&gt;0,IF(B966="RECEIPT",Transactions!F966,IF(_xlfn.MAXIFS($H$2:H966,$A$2:A966,A966)&gt;0,INDEX(Transactions!$F:$F,_xlfn.MAXIFS($H$2:H966,$A$2:A966,A966)),W966)),0)</f>
        <v/>
      </c>
      <c r="H966">
        <f>IF(AND(E966=1,B966="RECEIPT"),ROW(),0)</f>
        <v/>
      </c>
      <c r="I966">
        <f>IF(E966=1,IF(OR(B966="SALE",B966="WRITEOFF"),Transactions!E966,0),0)</f>
        <v/>
      </c>
      <c r="J966">
        <f>SUMIFS($F$1:F965,$A$1:A965,A966)</f>
        <v/>
      </c>
      <c r="K966">
        <f>SUMIFS($I$1:I965,$A$1:A965,A966)</f>
        <v/>
      </c>
      <c r="L966">
        <f>IFERROR(VLOOKUP(A966,Opening!$A:$C,3,0),0)</f>
        <v/>
      </c>
      <c r="M966">
        <f>IF(I966=0,0,MAX(0,MIN(INDEX(Month!H$2:H$13,MATCH($A966,Month!$A$2:$A$13,0))-K966,I966)))</f>
        <v/>
      </c>
      <c r="N966">
        <f>IF(I966=0,0,MAX(0,MIN(INDEX(Month!I$2:I$13,MATCH($A966,Month!$A$2:$A$13,0))-K966,I966)))</f>
        <v/>
      </c>
      <c r="O966">
        <f>IF(I966=0,0,MAX(0,MIN(INDEX(Month!J$2:J$13,MATCH($A966,Month!$A$2:$A$13,0))-K966,I966)))</f>
        <v/>
      </c>
      <c r="P966">
        <f>IF(I966=0,0,(MIN(MAX(K966,0),L966)*W966+SUMPRODUCT((Calc!$A$2:$A$1001=A966)*Calc!$G$2:$G$1001*(((K966-(L966+Calc!$J$2:$J$1001))&gt;0)*((K966-(L966+Calc!$J$2:$J$1001))&lt;Calc!$F$2:$F$1001)*(K966-(L966+Calc!$J$2:$J$1001))+((K966-(L966+Calc!$J$2:$J$1001))&gt;=Calc!$F$2:$F$1001)*Calc!$F$2:$F$1001))))</f>
        <v/>
      </c>
      <c r="Q966">
        <f>IF(I966=0,0,(MIN(MAX((K966+M966),0),L966)*W966+SUMPRODUCT((Calc!$A$2:$A$1001=A966)*Calc!$G$2:$G$1001*((((K966+M966)-(L966+Calc!$J$2:$J$1001))&gt;0)*(((K966+M966)-(L966+Calc!$J$2:$J$1001))&lt;Calc!$F$2:$F$1001)*((K966+M966)-(L966+Calc!$J$2:$J$1001))+(((K966+M966)-(L966+Calc!$J$2:$J$1001))&gt;=Calc!$F$2:$F$1001)*Calc!$F$2:$F$1001))))</f>
        <v/>
      </c>
      <c r="R966">
        <f>IF(I966=0,0,(MIN(MAX((K966+N966),0),L966)*W966+SUMPRODUCT((Calc!$A$2:$A$1001=A966)*Calc!$G$2:$G$1001*((((K966+N966)-(L966+Calc!$J$2:$J$1001))&gt;0)*(((K966+N966)-(L966+Calc!$J$2:$J$1001))&lt;Calc!$F$2:$F$1001)*((K966+N966)-(L966+Calc!$J$2:$J$1001))+(((K966+N966)-(L966+Calc!$J$2:$J$1001))&gt;=Calc!$F$2:$F$1001)*Calc!$F$2:$F$1001))))</f>
        <v/>
      </c>
      <c r="S966">
        <f>IF(I966=0,0,(MIN(MAX((K966+O966),0),L966)*W966+SUMPRODUCT((Calc!$A$2:$A$1001=A966)*Calc!$G$2:$G$1001*((((K966+O966)-(L966+Calc!$J$2:$J$1001))&gt;0)*(((K966+O966)-(L966+Calc!$J$2:$J$1001))&lt;Calc!$F$2:$F$1001)*((K966+O966)-(L966+Calc!$J$2:$J$1001))+(((K966+O966)-(L966+Calc!$J$2:$J$1001))&gt;=Calc!$F$2:$F$1001)*Calc!$F$2:$F$1001))))</f>
        <v/>
      </c>
      <c r="T966">
        <f>IF(AND(E966=1,B966="RETURN"),Transactions!E966*Transactions!G966,0)</f>
        <v/>
      </c>
      <c r="U966">
        <f>IF(AND(E966=1,B966="EXPENSE"),Transactions!J966,0)</f>
        <v/>
      </c>
      <c r="V966">
        <f>IF(AND(Transactions!A966&lt;&gt;"",E966=0),ROW(),"")</f>
        <v/>
      </c>
      <c r="W966">
        <f>IFERROR(VLOOKUP(A966,Opening!$A:$D,4,0),0)</f>
        <v/>
      </c>
    </row>
    <row r="967">
      <c r="A967">
        <f>IF(Transactions!D967="","",UPPER(TRIM(Transactions!D967)))</f>
        <v/>
      </c>
      <c r="B967">
        <f>IF(Transactions!C967="","",UPPER(TRIM(Transactions!C967)))</f>
        <v/>
      </c>
      <c r="C967">
        <f>IF(Transactions!B967="",0,YEAR(Transactions!B967)*100+MONTH(Transactions!B967))</f>
        <v/>
      </c>
      <c r="D967">
        <f>IF(Transactions!A967="",1,IF(COUNTIF(Transactions!$A$1:A966,Transactions!A967)&gt;0,1,0))</f>
        <v/>
      </c>
      <c r="E967">
        <f>IF(D967=1,0,IF(B967="RETURN",IF(COUNTIFS($A$1:A966,A967,$B$1:B966,"SALE",$E$1:E966,1)&gt;0,1,0),1))</f>
        <v/>
      </c>
      <c r="F967">
        <f>IF(E967=1,IF(B967="RECEIPT",Transactions!E967,IF(AND(B967="RETURN",LOWER(TRIM(Transactions!H967))="resellable"),Transactions!E967,0)),0)</f>
        <v/>
      </c>
      <c r="G967">
        <f>IF(F967&gt;0,IF(B967="RECEIPT",Transactions!F967,IF(_xlfn.MAXIFS($H$2:H967,$A$2:A967,A967)&gt;0,INDEX(Transactions!$F:$F,_xlfn.MAXIFS($H$2:H967,$A$2:A967,A967)),W967)),0)</f>
        <v/>
      </c>
      <c r="H967">
        <f>IF(AND(E967=1,B967="RECEIPT"),ROW(),0)</f>
        <v/>
      </c>
      <c r="I967">
        <f>IF(E967=1,IF(OR(B967="SALE",B967="WRITEOFF"),Transactions!E967,0),0)</f>
        <v/>
      </c>
      <c r="J967">
        <f>SUMIFS($F$1:F966,$A$1:A966,A967)</f>
        <v/>
      </c>
      <c r="K967">
        <f>SUMIFS($I$1:I966,$A$1:A966,A967)</f>
        <v/>
      </c>
      <c r="L967">
        <f>IFERROR(VLOOKUP(A967,Opening!$A:$C,3,0),0)</f>
        <v/>
      </c>
      <c r="M967">
        <f>IF(I967=0,0,MAX(0,MIN(INDEX(Month!H$2:H$13,MATCH($A967,Month!$A$2:$A$13,0))-K967,I967)))</f>
        <v/>
      </c>
      <c r="N967">
        <f>IF(I967=0,0,MAX(0,MIN(INDEX(Month!I$2:I$13,MATCH($A967,Month!$A$2:$A$13,0))-K967,I967)))</f>
        <v/>
      </c>
      <c r="O967">
        <f>IF(I967=0,0,MAX(0,MIN(INDEX(Month!J$2:J$13,MATCH($A967,Month!$A$2:$A$13,0))-K967,I967)))</f>
        <v/>
      </c>
      <c r="P967">
        <f>IF(I967=0,0,(MIN(MAX(K967,0),L967)*W967+SUMPRODUCT((Calc!$A$2:$A$1001=A967)*Calc!$G$2:$G$1001*(((K967-(L967+Calc!$J$2:$J$1001))&gt;0)*((K967-(L967+Calc!$J$2:$J$1001))&lt;Calc!$F$2:$F$1001)*(K967-(L967+Calc!$J$2:$J$1001))+((K967-(L967+Calc!$J$2:$J$1001))&gt;=Calc!$F$2:$F$1001)*Calc!$F$2:$F$1001))))</f>
        <v/>
      </c>
      <c r="Q967">
        <f>IF(I967=0,0,(MIN(MAX((K967+M967),0),L967)*W967+SUMPRODUCT((Calc!$A$2:$A$1001=A967)*Calc!$G$2:$G$1001*((((K967+M967)-(L967+Calc!$J$2:$J$1001))&gt;0)*(((K967+M967)-(L967+Calc!$J$2:$J$1001))&lt;Calc!$F$2:$F$1001)*((K967+M967)-(L967+Calc!$J$2:$J$1001))+(((K967+M967)-(L967+Calc!$J$2:$J$1001))&gt;=Calc!$F$2:$F$1001)*Calc!$F$2:$F$1001))))</f>
        <v/>
      </c>
      <c r="R967">
        <f>IF(I967=0,0,(MIN(MAX((K967+N967),0),L967)*W967+SUMPRODUCT((Calc!$A$2:$A$1001=A967)*Calc!$G$2:$G$1001*((((K967+N967)-(L967+Calc!$J$2:$J$1001))&gt;0)*(((K967+N967)-(L967+Calc!$J$2:$J$1001))&lt;Calc!$F$2:$F$1001)*((K967+N967)-(L967+Calc!$J$2:$J$1001))+(((K967+N967)-(L967+Calc!$J$2:$J$1001))&gt;=Calc!$F$2:$F$1001)*Calc!$F$2:$F$1001))))</f>
        <v/>
      </c>
      <c r="S967">
        <f>IF(I967=0,0,(MIN(MAX((K967+O967),0),L967)*W967+SUMPRODUCT((Calc!$A$2:$A$1001=A967)*Calc!$G$2:$G$1001*((((K967+O967)-(L967+Calc!$J$2:$J$1001))&gt;0)*(((K967+O967)-(L967+Calc!$J$2:$J$1001))&lt;Calc!$F$2:$F$1001)*((K967+O967)-(L967+Calc!$J$2:$J$1001))+(((K967+O967)-(L967+Calc!$J$2:$J$1001))&gt;=Calc!$F$2:$F$1001)*Calc!$F$2:$F$1001))))</f>
        <v/>
      </c>
      <c r="T967">
        <f>IF(AND(E967=1,B967="RETURN"),Transactions!E967*Transactions!G967,0)</f>
        <v/>
      </c>
      <c r="U967">
        <f>IF(AND(E967=1,B967="EXPENSE"),Transactions!J967,0)</f>
        <v/>
      </c>
      <c r="V967">
        <f>IF(AND(Transactions!A967&lt;&gt;"",E967=0),ROW(),"")</f>
        <v/>
      </c>
      <c r="W967">
        <f>IFERROR(VLOOKUP(A967,Opening!$A:$D,4,0),0)</f>
        <v/>
      </c>
    </row>
    <row r="968">
      <c r="A968">
        <f>IF(Transactions!D968="","",UPPER(TRIM(Transactions!D968)))</f>
        <v/>
      </c>
      <c r="B968">
        <f>IF(Transactions!C968="","",UPPER(TRIM(Transactions!C968)))</f>
        <v/>
      </c>
      <c r="C968">
        <f>IF(Transactions!B968="",0,YEAR(Transactions!B968)*100+MONTH(Transactions!B968))</f>
        <v/>
      </c>
      <c r="D968">
        <f>IF(Transactions!A968="",1,IF(COUNTIF(Transactions!$A$1:A967,Transactions!A968)&gt;0,1,0))</f>
        <v/>
      </c>
      <c r="E968">
        <f>IF(D968=1,0,IF(B968="RETURN",IF(COUNTIFS($A$1:A967,A968,$B$1:B967,"SALE",$E$1:E967,1)&gt;0,1,0),1))</f>
        <v/>
      </c>
      <c r="F968">
        <f>IF(E968=1,IF(B968="RECEIPT",Transactions!E968,IF(AND(B968="RETURN",LOWER(TRIM(Transactions!H968))="resellable"),Transactions!E968,0)),0)</f>
        <v/>
      </c>
      <c r="G968">
        <f>IF(F968&gt;0,IF(B968="RECEIPT",Transactions!F968,IF(_xlfn.MAXIFS($H$2:H968,$A$2:A968,A968)&gt;0,INDEX(Transactions!$F:$F,_xlfn.MAXIFS($H$2:H968,$A$2:A968,A968)),W968)),0)</f>
        <v/>
      </c>
      <c r="H968">
        <f>IF(AND(E968=1,B968="RECEIPT"),ROW(),0)</f>
        <v/>
      </c>
      <c r="I968">
        <f>IF(E968=1,IF(OR(B968="SALE",B968="WRITEOFF"),Transactions!E968,0),0)</f>
        <v/>
      </c>
      <c r="J968">
        <f>SUMIFS($F$1:F967,$A$1:A967,A968)</f>
        <v/>
      </c>
      <c r="K968">
        <f>SUMIFS($I$1:I967,$A$1:A967,A968)</f>
        <v/>
      </c>
      <c r="L968">
        <f>IFERROR(VLOOKUP(A968,Opening!$A:$C,3,0),0)</f>
        <v/>
      </c>
      <c r="M968">
        <f>IF(I968=0,0,MAX(0,MIN(INDEX(Month!H$2:H$13,MATCH($A968,Month!$A$2:$A$13,0))-K968,I968)))</f>
        <v/>
      </c>
      <c r="N968">
        <f>IF(I968=0,0,MAX(0,MIN(INDEX(Month!I$2:I$13,MATCH($A968,Month!$A$2:$A$13,0))-K968,I968)))</f>
        <v/>
      </c>
      <c r="O968">
        <f>IF(I968=0,0,MAX(0,MIN(INDEX(Month!J$2:J$13,MATCH($A968,Month!$A$2:$A$13,0))-K968,I968)))</f>
        <v/>
      </c>
      <c r="P968">
        <f>IF(I968=0,0,(MIN(MAX(K968,0),L968)*W968+SUMPRODUCT((Calc!$A$2:$A$1001=A968)*Calc!$G$2:$G$1001*(((K968-(L968+Calc!$J$2:$J$1001))&gt;0)*((K968-(L968+Calc!$J$2:$J$1001))&lt;Calc!$F$2:$F$1001)*(K968-(L968+Calc!$J$2:$J$1001))+((K968-(L968+Calc!$J$2:$J$1001))&gt;=Calc!$F$2:$F$1001)*Calc!$F$2:$F$1001))))</f>
        <v/>
      </c>
      <c r="Q968">
        <f>IF(I968=0,0,(MIN(MAX((K968+M968),0),L968)*W968+SUMPRODUCT((Calc!$A$2:$A$1001=A968)*Calc!$G$2:$G$1001*((((K968+M968)-(L968+Calc!$J$2:$J$1001))&gt;0)*(((K968+M968)-(L968+Calc!$J$2:$J$1001))&lt;Calc!$F$2:$F$1001)*((K968+M968)-(L968+Calc!$J$2:$J$1001))+(((K968+M968)-(L968+Calc!$J$2:$J$1001))&gt;=Calc!$F$2:$F$1001)*Calc!$F$2:$F$1001))))</f>
        <v/>
      </c>
      <c r="R968">
        <f>IF(I968=0,0,(MIN(MAX((K968+N968),0),L968)*W968+SUMPRODUCT((Calc!$A$2:$A$1001=A968)*Calc!$G$2:$G$1001*((((K968+N968)-(L968+Calc!$J$2:$J$1001))&gt;0)*(((K968+N968)-(L968+Calc!$J$2:$J$1001))&lt;Calc!$F$2:$F$1001)*((K968+N968)-(L968+Calc!$J$2:$J$1001))+(((K968+N968)-(L968+Calc!$J$2:$J$1001))&gt;=Calc!$F$2:$F$1001)*Calc!$F$2:$F$1001))))</f>
        <v/>
      </c>
      <c r="S968">
        <f>IF(I968=0,0,(MIN(MAX((K968+O968),0),L968)*W968+SUMPRODUCT((Calc!$A$2:$A$1001=A968)*Calc!$G$2:$G$1001*((((K968+O968)-(L968+Calc!$J$2:$J$1001))&gt;0)*(((K968+O968)-(L968+Calc!$J$2:$J$1001))&lt;Calc!$F$2:$F$1001)*((K968+O968)-(L968+Calc!$J$2:$J$1001))+(((K968+O968)-(L968+Calc!$J$2:$J$1001))&gt;=Calc!$F$2:$F$1001)*Calc!$F$2:$F$1001))))</f>
        <v/>
      </c>
      <c r="T968">
        <f>IF(AND(E968=1,B968="RETURN"),Transactions!E968*Transactions!G968,0)</f>
        <v/>
      </c>
      <c r="U968">
        <f>IF(AND(E968=1,B968="EXPENSE"),Transactions!J968,0)</f>
        <v/>
      </c>
      <c r="V968">
        <f>IF(AND(Transactions!A968&lt;&gt;"",E968=0),ROW(),"")</f>
        <v/>
      </c>
      <c r="W968">
        <f>IFERROR(VLOOKUP(A968,Opening!$A:$D,4,0),0)</f>
        <v/>
      </c>
    </row>
    <row r="969">
      <c r="A969">
        <f>IF(Transactions!D969="","",UPPER(TRIM(Transactions!D969)))</f>
        <v/>
      </c>
      <c r="B969">
        <f>IF(Transactions!C969="","",UPPER(TRIM(Transactions!C969)))</f>
        <v/>
      </c>
      <c r="C969">
        <f>IF(Transactions!B969="",0,YEAR(Transactions!B969)*100+MONTH(Transactions!B969))</f>
        <v/>
      </c>
      <c r="D969">
        <f>IF(Transactions!A969="",1,IF(COUNTIF(Transactions!$A$1:A968,Transactions!A969)&gt;0,1,0))</f>
        <v/>
      </c>
      <c r="E969">
        <f>IF(D969=1,0,IF(B969="RETURN",IF(COUNTIFS($A$1:A968,A969,$B$1:B968,"SALE",$E$1:E968,1)&gt;0,1,0),1))</f>
        <v/>
      </c>
      <c r="F969">
        <f>IF(E969=1,IF(B969="RECEIPT",Transactions!E969,IF(AND(B969="RETURN",LOWER(TRIM(Transactions!H969))="resellable"),Transactions!E969,0)),0)</f>
        <v/>
      </c>
      <c r="G969">
        <f>IF(F969&gt;0,IF(B969="RECEIPT",Transactions!F969,IF(_xlfn.MAXIFS($H$2:H969,$A$2:A969,A969)&gt;0,INDEX(Transactions!$F:$F,_xlfn.MAXIFS($H$2:H969,$A$2:A969,A969)),W969)),0)</f>
        <v/>
      </c>
      <c r="H969">
        <f>IF(AND(E969=1,B969="RECEIPT"),ROW(),0)</f>
        <v/>
      </c>
      <c r="I969">
        <f>IF(E969=1,IF(OR(B969="SALE",B969="WRITEOFF"),Transactions!E969,0),0)</f>
        <v/>
      </c>
      <c r="J969">
        <f>SUMIFS($F$1:F968,$A$1:A968,A969)</f>
        <v/>
      </c>
      <c r="K969">
        <f>SUMIFS($I$1:I968,$A$1:A968,A969)</f>
        <v/>
      </c>
      <c r="L969">
        <f>IFERROR(VLOOKUP(A969,Opening!$A:$C,3,0),0)</f>
        <v/>
      </c>
      <c r="M969">
        <f>IF(I969=0,0,MAX(0,MIN(INDEX(Month!H$2:H$13,MATCH($A969,Month!$A$2:$A$13,0))-K969,I969)))</f>
        <v/>
      </c>
      <c r="N969">
        <f>IF(I969=0,0,MAX(0,MIN(INDEX(Month!I$2:I$13,MATCH($A969,Month!$A$2:$A$13,0))-K969,I969)))</f>
        <v/>
      </c>
      <c r="O969">
        <f>IF(I969=0,0,MAX(0,MIN(INDEX(Month!J$2:J$13,MATCH($A969,Month!$A$2:$A$13,0))-K969,I969)))</f>
        <v/>
      </c>
      <c r="P969">
        <f>IF(I969=0,0,(MIN(MAX(K969,0),L969)*W969+SUMPRODUCT((Calc!$A$2:$A$1001=A969)*Calc!$G$2:$G$1001*(((K969-(L969+Calc!$J$2:$J$1001))&gt;0)*((K969-(L969+Calc!$J$2:$J$1001))&lt;Calc!$F$2:$F$1001)*(K969-(L969+Calc!$J$2:$J$1001))+((K969-(L969+Calc!$J$2:$J$1001))&gt;=Calc!$F$2:$F$1001)*Calc!$F$2:$F$1001))))</f>
        <v/>
      </c>
      <c r="Q969">
        <f>IF(I969=0,0,(MIN(MAX((K969+M969),0),L969)*W969+SUMPRODUCT((Calc!$A$2:$A$1001=A969)*Calc!$G$2:$G$1001*((((K969+M969)-(L969+Calc!$J$2:$J$1001))&gt;0)*(((K969+M969)-(L969+Calc!$J$2:$J$1001))&lt;Calc!$F$2:$F$1001)*((K969+M969)-(L969+Calc!$J$2:$J$1001))+(((K969+M969)-(L969+Calc!$J$2:$J$1001))&gt;=Calc!$F$2:$F$1001)*Calc!$F$2:$F$1001))))</f>
        <v/>
      </c>
      <c r="R969">
        <f>IF(I969=0,0,(MIN(MAX((K969+N969),0),L969)*W969+SUMPRODUCT((Calc!$A$2:$A$1001=A969)*Calc!$G$2:$G$1001*((((K969+N969)-(L969+Calc!$J$2:$J$1001))&gt;0)*(((K969+N969)-(L969+Calc!$J$2:$J$1001))&lt;Calc!$F$2:$F$1001)*((K969+N969)-(L969+Calc!$J$2:$J$1001))+(((K969+N969)-(L969+Calc!$J$2:$J$1001))&gt;=Calc!$F$2:$F$1001)*Calc!$F$2:$F$1001))))</f>
        <v/>
      </c>
      <c r="S969">
        <f>IF(I969=0,0,(MIN(MAX((K969+O969),0),L969)*W969+SUMPRODUCT((Calc!$A$2:$A$1001=A969)*Calc!$G$2:$G$1001*((((K969+O969)-(L969+Calc!$J$2:$J$1001))&gt;0)*(((K969+O969)-(L969+Calc!$J$2:$J$1001))&lt;Calc!$F$2:$F$1001)*((K969+O969)-(L969+Calc!$J$2:$J$1001))+(((K969+O969)-(L969+Calc!$J$2:$J$1001))&gt;=Calc!$F$2:$F$1001)*Calc!$F$2:$F$1001))))</f>
        <v/>
      </c>
      <c r="T969">
        <f>IF(AND(E969=1,B969="RETURN"),Transactions!E969*Transactions!G969,0)</f>
        <v/>
      </c>
      <c r="U969">
        <f>IF(AND(E969=1,B969="EXPENSE"),Transactions!J969,0)</f>
        <v/>
      </c>
      <c r="V969">
        <f>IF(AND(Transactions!A969&lt;&gt;"",E969=0),ROW(),"")</f>
        <v/>
      </c>
      <c r="W969">
        <f>IFERROR(VLOOKUP(A969,Opening!$A:$D,4,0),0)</f>
        <v/>
      </c>
    </row>
    <row r="970">
      <c r="A970">
        <f>IF(Transactions!D970="","",UPPER(TRIM(Transactions!D970)))</f>
        <v/>
      </c>
      <c r="B970">
        <f>IF(Transactions!C970="","",UPPER(TRIM(Transactions!C970)))</f>
        <v/>
      </c>
      <c r="C970">
        <f>IF(Transactions!B970="",0,YEAR(Transactions!B970)*100+MONTH(Transactions!B970))</f>
        <v/>
      </c>
      <c r="D970">
        <f>IF(Transactions!A970="",1,IF(COUNTIF(Transactions!$A$1:A969,Transactions!A970)&gt;0,1,0))</f>
        <v/>
      </c>
      <c r="E970">
        <f>IF(D970=1,0,IF(B970="RETURN",IF(COUNTIFS($A$1:A969,A970,$B$1:B969,"SALE",$E$1:E969,1)&gt;0,1,0),1))</f>
        <v/>
      </c>
      <c r="F970">
        <f>IF(E970=1,IF(B970="RECEIPT",Transactions!E970,IF(AND(B970="RETURN",LOWER(TRIM(Transactions!H970))="resellable"),Transactions!E970,0)),0)</f>
        <v/>
      </c>
      <c r="G970">
        <f>IF(F970&gt;0,IF(B970="RECEIPT",Transactions!F970,IF(_xlfn.MAXIFS($H$2:H970,$A$2:A970,A970)&gt;0,INDEX(Transactions!$F:$F,_xlfn.MAXIFS($H$2:H970,$A$2:A970,A970)),W970)),0)</f>
        <v/>
      </c>
      <c r="H970">
        <f>IF(AND(E970=1,B970="RECEIPT"),ROW(),0)</f>
        <v/>
      </c>
      <c r="I970">
        <f>IF(E970=1,IF(OR(B970="SALE",B970="WRITEOFF"),Transactions!E970,0),0)</f>
        <v/>
      </c>
      <c r="J970">
        <f>SUMIFS($F$1:F969,$A$1:A969,A970)</f>
        <v/>
      </c>
      <c r="K970">
        <f>SUMIFS($I$1:I969,$A$1:A969,A970)</f>
        <v/>
      </c>
      <c r="L970">
        <f>IFERROR(VLOOKUP(A970,Opening!$A:$C,3,0),0)</f>
        <v/>
      </c>
      <c r="M970">
        <f>IF(I970=0,0,MAX(0,MIN(INDEX(Month!H$2:H$13,MATCH($A970,Month!$A$2:$A$13,0))-K970,I970)))</f>
        <v/>
      </c>
      <c r="N970">
        <f>IF(I970=0,0,MAX(0,MIN(INDEX(Month!I$2:I$13,MATCH($A970,Month!$A$2:$A$13,0))-K970,I970)))</f>
        <v/>
      </c>
      <c r="O970">
        <f>IF(I970=0,0,MAX(0,MIN(INDEX(Month!J$2:J$13,MATCH($A970,Month!$A$2:$A$13,0))-K970,I970)))</f>
        <v/>
      </c>
      <c r="P970">
        <f>IF(I970=0,0,(MIN(MAX(K970,0),L970)*W970+SUMPRODUCT((Calc!$A$2:$A$1001=A970)*Calc!$G$2:$G$1001*(((K970-(L970+Calc!$J$2:$J$1001))&gt;0)*((K970-(L970+Calc!$J$2:$J$1001))&lt;Calc!$F$2:$F$1001)*(K970-(L970+Calc!$J$2:$J$1001))+((K970-(L970+Calc!$J$2:$J$1001))&gt;=Calc!$F$2:$F$1001)*Calc!$F$2:$F$1001))))</f>
        <v/>
      </c>
      <c r="Q970">
        <f>IF(I970=0,0,(MIN(MAX((K970+M970),0),L970)*W970+SUMPRODUCT((Calc!$A$2:$A$1001=A970)*Calc!$G$2:$G$1001*((((K970+M970)-(L970+Calc!$J$2:$J$1001))&gt;0)*(((K970+M970)-(L970+Calc!$J$2:$J$1001))&lt;Calc!$F$2:$F$1001)*((K970+M970)-(L970+Calc!$J$2:$J$1001))+(((K970+M970)-(L970+Calc!$J$2:$J$1001))&gt;=Calc!$F$2:$F$1001)*Calc!$F$2:$F$1001))))</f>
        <v/>
      </c>
      <c r="R970">
        <f>IF(I970=0,0,(MIN(MAX((K970+N970),0),L970)*W970+SUMPRODUCT((Calc!$A$2:$A$1001=A970)*Calc!$G$2:$G$1001*((((K970+N970)-(L970+Calc!$J$2:$J$1001))&gt;0)*(((K970+N970)-(L970+Calc!$J$2:$J$1001))&lt;Calc!$F$2:$F$1001)*((K970+N970)-(L970+Calc!$J$2:$J$1001))+(((K970+N970)-(L970+Calc!$J$2:$J$1001))&gt;=Calc!$F$2:$F$1001)*Calc!$F$2:$F$1001))))</f>
        <v/>
      </c>
      <c r="S970">
        <f>IF(I970=0,0,(MIN(MAX((K970+O970),0),L970)*W970+SUMPRODUCT((Calc!$A$2:$A$1001=A970)*Calc!$G$2:$G$1001*((((K970+O970)-(L970+Calc!$J$2:$J$1001))&gt;0)*(((K970+O970)-(L970+Calc!$J$2:$J$1001))&lt;Calc!$F$2:$F$1001)*((K970+O970)-(L970+Calc!$J$2:$J$1001))+(((K970+O970)-(L970+Calc!$J$2:$J$1001))&gt;=Calc!$F$2:$F$1001)*Calc!$F$2:$F$1001))))</f>
        <v/>
      </c>
      <c r="T970">
        <f>IF(AND(E970=1,B970="RETURN"),Transactions!E970*Transactions!G970,0)</f>
        <v/>
      </c>
      <c r="U970">
        <f>IF(AND(E970=1,B970="EXPENSE"),Transactions!J970,0)</f>
        <v/>
      </c>
      <c r="V970">
        <f>IF(AND(Transactions!A970&lt;&gt;"",E970=0),ROW(),"")</f>
        <v/>
      </c>
      <c r="W970">
        <f>IFERROR(VLOOKUP(A970,Opening!$A:$D,4,0),0)</f>
        <v/>
      </c>
    </row>
    <row r="971">
      <c r="A971">
        <f>IF(Transactions!D971="","",UPPER(TRIM(Transactions!D971)))</f>
        <v/>
      </c>
      <c r="B971">
        <f>IF(Transactions!C971="","",UPPER(TRIM(Transactions!C971)))</f>
        <v/>
      </c>
      <c r="C971">
        <f>IF(Transactions!B971="",0,YEAR(Transactions!B971)*100+MONTH(Transactions!B971))</f>
        <v/>
      </c>
      <c r="D971">
        <f>IF(Transactions!A971="",1,IF(COUNTIF(Transactions!$A$1:A970,Transactions!A971)&gt;0,1,0))</f>
        <v/>
      </c>
      <c r="E971">
        <f>IF(D971=1,0,IF(B971="RETURN",IF(COUNTIFS($A$1:A970,A971,$B$1:B970,"SALE",$E$1:E970,1)&gt;0,1,0),1))</f>
        <v/>
      </c>
      <c r="F971">
        <f>IF(E971=1,IF(B971="RECEIPT",Transactions!E971,IF(AND(B971="RETURN",LOWER(TRIM(Transactions!H971))="resellable"),Transactions!E971,0)),0)</f>
        <v/>
      </c>
      <c r="G971">
        <f>IF(F971&gt;0,IF(B971="RECEIPT",Transactions!F971,IF(_xlfn.MAXIFS($H$2:H971,$A$2:A971,A971)&gt;0,INDEX(Transactions!$F:$F,_xlfn.MAXIFS($H$2:H971,$A$2:A971,A971)),W971)),0)</f>
        <v/>
      </c>
      <c r="H971">
        <f>IF(AND(E971=1,B971="RECEIPT"),ROW(),0)</f>
        <v/>
      </c>
      <c r="I971">
        <f>IF(E971=1,IF(OR(B971="SALE",B971="WRITEOFF"),Transactions!E971,0),0)</f>
        <v/>
      </c>
      <c r="J971">
        <f>SUMIFS($F$1:F970,$A$1:A970,A971)</f>
        <v/>
      </c>
      <c r="K971">
        <f>SUMIFS($I$1:I970,$A$1:A970,A971)</f>
        <v/>
      </c>
      <c r="L971">
        <f>IFERROR(VLOOKUP(A971,Opening!$A:$C,3,0),0)</f>
        <v/>
      </c>
      <c r="M971">
        <f>IF(I971=0,0,MAX(0,MIN(INDEX(Month!H$2:H$13,MATCH($A971,Month!$A$2:$A$13,0))-K971,I971)))</f>
        <v/>
      </c>
      <c r="N971">
        <f>IF(I971=0,0,MAX(0,MIN(INDEX(Month!I$2:I$13,MATCH($A971,Month!$A$2:$A$13,0))-K971,I971)))</f>
        <v/>
      </c>
      <c r="O971">
        <f>IF(I971=0,0,MAX(0,MIN(INDEX(Month!J$2:J$13,MATCH($A971,Month!$A$2:$A$13,0))-K971,I971)))</f>
        <v/>
      </c>
      <c r="P971">
        <f>IF(I971=0,0,(MIN(MAX(K971,0),L971)*W971+SUMPRODUCT((Calc!$A$2:$A$1001=A971)*Calc!$G$2:$G$1001*(((K971-(L971+Calc!$J$2:$J$1001))&gt;0)*((K971-(L971+Calc!$J$2:$J$1001))&lt;Calc!$F$2:$F$1001)*(K971-(L971+Calc!$J$2:$J$1001))+((K971-(L971+Calc!$J$2:$J$1001))&gt;=Calc!$F$2:$F$1001)*Calc!$F$2:$F$1001))))</f>
        <v/>
      </c>
      <c r="Q971">
        <f>IF(I971=0,0,(MIN(MAX((K971+M971),0),L971)*W971+SUMPRODUCT((Calc!$A$2:$A$1001=A971)*Calc!$G$2:$G$1001*((((K971+M971)-(L971+Calc!$J$2:$J$1001))&gt;0)*(((K971+M971)-(L971+Calc!$J$2:$J$1001))&lt;Calc!$F$2:$F$1001)*((K971+M971)-(L971+Calc!$J$2:$J$1001))+(((K971+M971)-(L971+Calc!$J$2:$J$1001))&gt;=Calc!$F$2:$F$1001)*Calc!$F$2:$F$1001))))</f>
        <v/>
      </c>
      <c r="R971">
        <f>IF(I971=0,0,(MIN(MAX((K971+N971),0),L971)*W971+SUMPRODUCT((Calc!$A$2:$A$1001=A971)*Calc!$G$2:$G$1001*((((K971+N971)-(L971+Calc!$J$2:$J$1001))&gt;0)*(((K971+N971)-(L971+Calc!$J$2:$J$1001))&lt;Calc!$F$2:$F$1001)*((K971+N971)-(L971+Calc!$J$2:$J$1001))+(((K971+N971)-(L971+Calc!$J$2:$J$1001))&gt;=Calc!$F$2:$F$1001)*Calc!$F$2:$F$1001))))</f>
        <v/>
      </c>
      <c r="S971">
        <f>IF(I971=0,0,(MIN(MAX((K971+O971),0),L971)*W971+SUMPRODUCT((Calc!$A$2:$A$1001=A971)*Calc!$G$2:$G$1001*((((K971+O971)-(L971+Calc!$J$2:$J$1001))&gt;0)*(((K971+O971)-(L971+Calc!$J$2:$J$1001))&lt;Calc!$F$2:$F$1001)*((K971+O971)-(L971+Calc!$J$2:$J$1001))+(((K971+O971)-(L971+Calc!$J$2:$J$1001))&gt;=Calc!$F$2:$F$1001)*Calc!$F$2:$F$1001))))</f>
        <v/>
      </c>
      <c r="T971">
        <f>IF(AND(E971=1,B971="RETURN"),Transactions!E971*Transactions!G971,0)</f>
        <v/>
      </c>
      <c r="U971">
        <f>IF(AND(E971=1,B971="EXPENSE"),Transactions!J971,0)</f>
        <v/>
      </c>
      <c r="V971">
        <f>IF(AND(Transactions!A971&lt;&gt;"",E971=0),ROW(),"")</f>
        <v/>
      </c>
      <c r="W971">
        <f>IFERROR(VLOOKUP(A971,Opening!$A:$D,4,0),0)</f>
        <v/>
      </c>
    </row>
    <row r="972">
      <c r="A972">
        <f>IF(Transactions!D972="","",UPPER(TRIM(Transactions!D972)))</f>
        <v/>
      </c>
      <c r="B972">
        <f>IF(Transactions!C972="","",UPPER(TRIM(Transactions!C972)))</f>
        <v/>
      </c>
      <c r="C972">
        <f>IF(Transactions!B972="",0,YEAR(Transactions!B972)*100+MONTH(Transactions!B972))</f>
        <v/>
      </c>
      <c r="D972">
        <f>IF(Transactions!A972="",1,IF(COUNTIF(Transactions!$A$1:A971,Transactions!A972)&gt;0,1,0))</f>
        <v/>
      </c>
      <c r="E972">
        <f>IF(D972=1,0,IF(B972="RETURN",IF(COUNTIFS($A$1:A971,A972,$B$1:B971,"SALE",$E$1:E971,1)&gt;0,1,0),1))</f>
        <v/>
      </c>
      <c r="F972">
        <f>IF(E972=1,IF(B972="RECEIPT",Transactions!E972,IF(AND(B972="RETURN",LOWER(TRIM(Transactions!H972))="resellable"),Transactions!E972,0)),0)</f>
        <v/>
      </c>
      <c r="G972">
        <f>IF(F972&gt;0,IF(B972="RECEIPT",Transactions!F972,IF(_xlfn.MAXIFS($H$2:H972,$A$2:A972,A972)&gt;0,INDEX(Transactions!$F:$F,_xlfn.MAXIFS($H$2:H972,$A$2:A972,A972)),W972)),0)</f>
        <v/>
      </c>
      <c r="H972">
        <f>IF(AND(E972=1,B972="RECEIPT"),ROW(),0)</f>
        <v/>
      </c>
      <c r="I972">
        <f>IF(E972=1,IF(OR(B972="SALE",B972="WRITEOFF"),Transactions!E972,0),0)</f>
        <v/>
      </c>
      <c r="J972">
        <f>SUMIFS($F$1:F971,$A$1:A971,A972)</f>
        <v/>
      </c>
      <c r="K972">
        <f>SUMIFS($I$1:I971,$A$1:A971,A972)</f>
        <v/>
      </c>
      <c r="L972">
        <f>IFERROR(VLOOKUP(A972,Opening!$A:$C,3,0),0)</f>
        <v/>
      </c>
      <c r="M972">
        <f>IF(I972=0,0,MAX(0,MIN(INDEX(Month!H$2:H$13,MATCH($A972,Month!$A$2:$A$13,0))-K972,I972)))</f>
        <v/>
      </c>
      <c r="N972">
        <f>IF(I972=0,0,MAX(0,MIN(INDEX(Month!I$2:I$13,MATCH($A972,Month!$A$2:$A$13,0))-K972,I972)))</f>
        <v/>
      </c>
      <c r="O972">
        <f>IF(I972=0,0,MAX(0,MIN(INDEX(Month!J$2:J$13,MATCH($A972,Month!$A$2:$A$13,0))-K972,I972)))</f>
        <v/>
      </c>
      <c r="P972">
        <f>IF(I972=0,0,(MIN(MAX(K972,0),L972)*W972+SUMPRODUCT((Calc!$A$2:$A$1001=A972)*Calc!$G$2:$G$1001*(((K972-(L972+Calc!$J$2:$J$1001))&gt;0)*((K972-(L972+Calc!$J$2:$J$1001))&lt;Calc!$F$2:$F$1001)*(K972-(L972+Calc!$J$2:$J$1001))+((K972-(L972+Calc!$J$2:$J$1001))&gt;=Calc!$F$2:$F$1001)*Calc!$F$2:$F$1001))))</f>
        <v/>
      </c>
      <c r="Q972">
        <f>IF(I972=0,0,(MIN(MAX((K972+M972),0),L972)*W972+SUMPRODUCT((Calc!$A$2:$A$1001=A972)*Calc!$G$2:$G$1001*((((K972+M972)-(L972+Calc!$J$2:$J$1001))&gt;0)*(((K972+M972)-(L972+Calc!$J$2:$J$1001))&lt;Calc!$F$2:$F$1001)*((K972+M972)-(L972+Calc!$J$2:$J$1001))+(((K972+M972)-(L972+Calc!$J$2:$J$1001))&gt;=Calc!$F$2:$F$1001)*Calc!$F$2:$F$1001))))</f>
        <v/>
      </c>
      <c r="R972">
        <f>IF(I972=0,0,(MIN(MAX((K972+N972),0),L972)*W972+SUMPRODUCT((Calc!$A$2:$A$1001=A972)*Calc!$G$2:$G$1001*((((K972+N972)-(L972+Calc!$J$2:$J$1001))&gt;0)*(((K972+N972)-(L972+Calc!$J$2:$J$1001))&lt;Calc!$F$2:$F$1001)*((K972+N972)-(L972+Calc!$J$2:$J$1001))+(((K972+N972)-(L972+Calc!$J$2:$J$1001))&gt;=Calc!$F$2:$F$1001)*Calc!$F$2:$F$1001))))</f>
        <v/>
      </c>
      <c r="S972">
        <f>IF(I972=0,0,(MIN(MAX((K972+O972),0),L972)*W972+SUMPRODUCT((Calc!$A$2:$A$1001=A972)*Calc!$G$2:$G$1001*((((K972+O972)-(L972+Calc!$J$2:$J$1001))&gt;0)*(((K972+O972)-(L972+Calc!$J$2:$J$1001))&lt;Calc!$F$2:$F$1001)*((K972+O972)-(L972+Calc!$J$2:$J$1001))+(((K972+O972)-(L972+Calc!$J$2:$J$1001))&gt;=Calc!$F$2:$F$1001)*Calc!$F$2:$F$1001))))</f>
        <v/>
      </c>
      <c r="T972">
        <f>IF(AND(E972=1,B972="RETURN"),Transactions!E972*Transactions!G972,0)</f>
        <v/>
      </c>
      <c r="U972">
        <f>IF(AND(E972=1,B972="EXPENSE"),Transactions!J972,0)</f>
        <v/>
      </c>
      <c r="V972">
        <f>IF(AND(Transactions!A972&lt;&gt;"",E972=0),ROW(),"")</f>
        <v/>
      </c>
      <c r="W972">
        <f>IFERROR(VLOOKUP(A972,Opening!$A:$D,4,0),0)</f>
        <v/>
      </c>
    </row>
    <row r="973">
      <c r="A973">
        <f>IF(Transactions!D973="","",UPPER(TRIM(Transactions!D973)))</f>
        <v/>
      </c>
      <c r="B973">
        <f>IF(Transactions!C973="","",UPPER(TRIM(Transactions!C973)))</f>
        <v/>
      </c>
      <c r="C973">
        <f>IF(Transactions!B973="",0,YEAR(Transactions!B973)*100+MONTH(Transactions!B973))</f>
        <v/>
      </c>
      <c r="D973">
        <f>IF(Transactions!A973="",1,IF(COUNTIF(Transactions!$A$1:A972,Transactions!A973)&gt;0,1,0))</f>
        <v/>
      </c>
      <c r="E973">
        <f>IF(D973=1,0,IF(B973="RETURN",IF(COUNTIFS($A$1:A972,A973,$B$1:B972,"SALE",$E$1:E972,1)&gt;0,1,0),1))</f>
        <v/>
      </c>
      <c r="F973">
        <f>IF(E973=1,IF(B973="RECEIPT",Transactions!E973,IF(AND(B973="RETURN",LOWER(TRIM(Transactions!H973))="resellable"),Transactions!E973,0)),0)</f>
        <v/>
      </c>
      <c r="G973">
        <f>IF(F973&gt;0,IF(B973="RECEIPT",Transactions!F973,IF(_xlfn.MAXIFS($H$2:H973,$A$2:A973,A973)&gt;0,INDEX(Transactions!$F:$F,_xlfn.MAXIFS($H$2:H973,$A$2:A973,A973)),W973)),0)</f>
        <v/>
      </c>
      <c r="H973">
        <f>IF(AND(E973=1,B973="RECEIPT"),ROW(),0)</f>
        <v/>
      </c>
      <c r="I973">
        <f>IF(E973=1,IF(OR(B973="SALE",B973="WRITEOFF"),Transactions!E973,0),0)</f>
        <v/>
      </c>
      <c r="J973">
        <f>SUMIFS($F$1:F972,$A$1:A972,A973)</f>
        <v/>
      </c>
      <c r="K973">
        <f>SUMIFS($I$1:I972,$A$1:A972,A973)</f>
        <v/>
      </c>
      <c r="L973">
        <f>IFERROR(VLOOKUP(A973,Opening!$A:$C,3,0),0)</f>
        <v/>
      </c>
      <c r="M973">
        <f>IF(I973=0,0,MAX(0,MIN(INDEX(Month!H$2:H$13,MATCH($A973,Month!$A$2:$A$13,0))-K973,I973)))</f>
        <v/>
      </c>
      <c r="N973">
        <f>IF(I973=0,0,MAX(0,MIN(INDEX(Month!I$2:I$13,MATCH($A973,Month!$A$2:$A$13,0))-K973,I973)))</f>
        <v/>
      </c>
      <c r="O973">
        <f>IF(I973=0,0,MAX(0,MIN(INDEX(Month!J$2:J$13,MATCH($A973,Month!$A$2:$A$13,0))-K973,I973)))</f>
        <v/>
      </c>
      <c r="P973">
        <f>IF(I973=0,0,(MIN(MAX(K973,0),L973)*W973+SUMPRODUCT((Calc!$A$2:$A$1001=A973)*Calc!$G$2:$G$1001*(((K973-(L973+Calc!$J$2:$J$1001))&gt;0)*((K973-(L973+Calc!$J$2:$J$1001))&lt;Calc!$F$2:$F$1001)*(K973-(L973+Calc!$J$2:$J$1001))+((K973-(L973+Calc!$J$2:$J$1001))&gt;=Calc!$F$2:$F$1001)*Calc!$F$2:$F$1001))))</f>
        <v/>
      </c>
      <c r="Q973">
        <f>IF(I973=0,0,(MIN(MAX((K973+M973),0),L973)*W973+SUMPRODUCT((Calc!$A$2:$A$1001=A973)*Calc!$G$2:$G$1001*((((K973+M973)-(L973+Calc!$J$2:$J$1001))&gt;0)*(((K973+M973)-(L973+Calc!$J$2:$J$1001))&lt;Calc!$F$2:$F$1001)*((K973+M973)-(L973+Calc!$J$2:$J$1001))+(((K973+M973)-(L973+Calc!$J$2:$J$1001))&gt;=Calc!$F$2:$F$1001)*Calc!$F$2:$F$1001))))</f>
        <v/>
      </c>
      <c r="R973">
        <f>IF(I973=0,0,(MIN(MAX((K973+N973),0),L973)*W973+SUMPRODUCT((Calc!$A$2:$A$1001=A973)*Calc!$G$2:$G$1001*((((K973+N973)-(L973+Calc!$J$2:$J$1001))&gt;0)*(((K973+N973)-(L973+Calc!$J$2:$J$1001))&lt;Calc!$F$2:$F$1001)*((K973+N973)-(L973+Calc!$J$2:$J$1001))+(((K973+N973)-(L973+Calc!$J$2:$J$1001))&gt;=Calc!$F$2:$F$1001)*Calc!$F$2:$F$1001))))</f>
        <v/>
      </c>
      <c r="S973">
        <f>IF(I973=0,0,(MIN(MAX((K973+O973),0),L973)*W973+SUMPRODUCT((Calc!$A$2:$A$1001=A973)*Calc!$G$2:$G$1001*((((K973+O973)-(L973+Calc!$J$2:$J$1001))&gt;0)*(((K973+O973)-(L973+Calc!$J$2:$J$1001))&lt;Calc!$F$2:$F$1001)*((K973+O973)-(L973+Calc!$J$2:$J$1001))+(((K973+O973)-(L973+Calc!$J$2:$J$1001))&gt;=Calc!$F$2:$F$1001)*Calc!$F$2:$F$1001))))</f>
        <v/>
      </c>
      <c r="T973">
        <f>IF(AND(E973=1,B973="RETURN"),Transactions!E973*Transactions!G973,0)</f>
        <v/>
      </c>
      <c r="U973">
        <f>IF(AND(E973=1,B973="EXPENSE"),Transactions!J973,0)</f>
        <v/>
      </c>
      <c r="V973">
        <f>IF(AND(Transactions!A973&lt;&gt;"",E973=0),ROW(),"")</f>
        <v/>
      </c>
      <c r="W973">
        <f>IFERROR(VLOOKUP(A973,Opening!$A:$D,4,0),0)</f>
        <v/>
      </c>
    </row>
    <row r="974">
      <c r="A974">
        <f>IF(Transactions!D974="","",UPPER(TRIM(Transactions!D974)))</f>
        <v/>
      </c>
      <c r="B974">
        <f>IF(Transactions!C974="","",UPPER(TRIM(Transactions!C974)))</f>
        <v/>
      </c>
      <c r="C974">
        <f>IF(Transactions!B974="",0,YEAR(Transactions!B974)*100+MONTH(Transactions!B974))</f>
        <v/>
      </c>
      <c r="D974">
        <f>IF(Transactions!A974="",1,IF(COUNTIF(Transactions!$A$1:A973,Transactions!A974)&gt;0,1,0))</f>
        <v/>
      </c>
      <c r="E974">
        <f>IF(D974=1,0,IF(B974="RETURN",IF(COUNTIFS($A$1:A973,A974,$B$1:B973,"SALE",$E$1:E973,1)&gt;0,1,0),1))</f>
        <v/>
      </c>
      <c r="F974">
        <f>IF(E974=1,IF(B974="RECEIPT",Transactions!E974,IF(AND(B974="RETURN",LOWER(TRIM(Transactions!H974))="resellable"),Transactions!E974,0)),0)</f>
        <v/>
      </c>
      <c r="G974">
        <f>IF(F974&gt;0,IF(B974="RECEIPT",Transactions!F974,IF(_xlfn.MAXIFS($H$2:H974,$A$2:A974,A974)&gt;0,INDEX(Transactions!$F:$F,_xlfn.MAXIFS($H$2:H974,$A$2:A974,A974)),W974)),0)</f>
        <v/>
      </c>
      <c r="H974">
        <f>IF(AND(E974=1,B974="RECEIPT"),ROW(),0)</f>
        <v/>
      </c>
      <c r="I974">
        <f>IF(E974=1,IF(OR(B974="SALE",B974="WRITEOFF"),Transactions!E974,0),0)</f>
        <v/>
      </c>
      <c r="J974">
        <f>SUMIFS($F$1:F973,$A$1:A973,A974)</f>
        <v/>
      </c>
      <c r="K974">
        <f>SUMIFS($I$1:I973,$A$1:A973,A974)</f>
        <v/>
      </c>
      <c r="L974">
        <f>IFERROR(VLOOKUP(A974,Opening!$A:$C,3,0),0)</f>
        <v/>
      </c>
      <c r="M974">
        <f>IF(I974=0,0,MAX(0,MIN(INDEX(Month!H$2:H$13,MATCH($A974,Month!$A$2:$A$13,0))-K974,I974)))</f>
        <v/>
      </c>
      <c r="N974">
        <f>IF(I974=0,0,MAX(0,MIN(INDEX(Month!I$2:I$13,MATCH($A974,Month!$A$2:$A$13,0))-K974,I974)))</f>
        <v/>
      </c>
      <c r="O974">
        <f>IF(I974=0,0,MAX(0,MIN(INDEX(Month!J$2:J$13,MATCH($A974,Month!$A$2:$A$13,0))-K974,I974)))</f>
        <v/>
      </c>
      <c r="P974">
        <f>IF(I974=0,0,(MIN(MAX(K974,0),L974)*W974+SUMPRODUCT((Calc!$A$2:$A$1001=A974)*Calc!$G$2:$G$1001*(((K974-(L974+Calc!$J$2:$J$1001))&gt;0)*((K974-(L974+Calc!$J$2:$J$1001))&lt;Calc!$F$2:$F$1001)*(K974-(L974+Calc!$J$2:$J$1001))+((K974-(L974+Calc!$J$2:$J$1001))&gt;=Calc!$F$2:$F$1001)*Calc!$F$2:$F$1001))))</f>
        <v/>
      </c>
      <c r="Q974">
        <f>IF(I974=0,0,(MIN(MAX((K974+M974),0),L974)*W974+SUMPRODUCT((Calc!$A$2:$A$1001=A974)*Calc!$G$2:$G$1001*((((K974+M974)-(L974+Calc!$J$2:$J$1001))&gt;0)*(((K974+M974)-(L974+Calc!$J$2:$J$1001))&lt;Calc!$F$2:$F$1001)*((K974+M974)-(L974+Calc!$J$2:$J$1001))+(((K974+M974)-(L974+Calc!$J$2:$J$1001))&gt;=Calc!$F$2:$F$1001)*Calc!$F$2:$F$1001))))</f>
        <v/>
      </c>
      <c r="R974">
        <f>IF(I974=0,0,(MIN(MAX((K974+N974),0),L974)*W974+SUMPRODUCT((Calc!$A$2:$A$1001=A974)*Calc!$G$2:$G$1001*((((K974+N974)-(L974+Calc!$J$2:$J$1001))&gt;0)*(((K974+N974)-(L974+Calc!$J$2:$J$1001))&lt;Calc!$F$2:$F$1001)*((K974+N974)-(L974+Calc!$J$2:$J$1001))+(((K974+N974)-(L974+Calc!$J$2:$J$1001))&gt;=Calc!$F$2:$F$1001)*Calc!$F$2:$F$1001))))</f>
        <v/>
      </c>
      <c r="S974">
        <f>IF(I974=0,0,(MIN(MAX((K974+O974),0),L974)*W974+SUMPRODUCT((Calc!$A$2:$A$1001=A974)*Calc!$G$2:$G$1001*((((K974+O974)-(L974+Calc!$J$2:$J$1001))&gt;0)*(((K974+O974)-(L974+Calc!$J$2:$J$1001))&lt;Calc!$F$2:$F$1001)*((K974+O974)-(L974+Calc!$J$2:$J$1001))+(((K974+O974)-(L974+Calc!$J$2:$J$1001))&gt;=Calc!$F$2:$F$1001)*Calc!$F$2:$F$1001))))</f>
        <v/>
      </c>
      <c r="T974">
        <f>IF(AND(E974=1,B974="RETURN"),Transactions!E974*Transactions!G974,0)</f>
        <v/>
      </c>
      <c r="U974">
        <f>IF(AND(E974=1,B974="EXPENSE"),Transactions!J974,0)</f>
        <v/>
      </c>
      <c r="V974">
        <f>IF(AND(Transactions!A974&lt;&gt;"",E974=0),ROW(),"")</f>
        <v/>
      </c>
      <c r="W974">
        <f>IFERROR(VLOOKUP(A974,Opening!$A:$D,4,0),0)</f>
        <v/>
      </c>
    </row>
    <row r="975">
      <c r="A975">
        <f>IF(Transactions!D975="","",UPPER(TRIM(Transactions!D975)))</f>
        <v/>
      </c>
      <c r="B975">
        <f>IF(Transactions!C975="","",UPPER(TRIM(Transactions!C975)))</f>
        <v/>
      </c>
      <c r="C975">
        <f>IF(Transactions!B975="",0,YEAR(Transactions!B975)*100+MONTH(Transactions!B975))</f>
        <v/>
      </c>
      <c r="D975">
        <f>IF(Transactions!A975="",1,IF(COUNTIF(Transactions!$A$1:A974,Transactions!A975)&gt;0,1,0))</f>
        <v/>
      </c>
      <c r="E975">
        <f>IF(D975=1,0,IF(B975="RETURN",IF(COUNTIFS($A$1:A974,A975,$B$1:B974,"SALE",$E$1:E974,1)&gt;0,1,0),1))</f>
        <v/>
      </c>
      <c r="F975">
        <f>IF(E975=1,IF(B975="RECEIPT",Transactions!E975,IF(AND(B975="RETURN",LOWER(TRIM(Transactions!H975))="resellable"),Transactions!E975,0)),0)</f>
        <v/>
      </c>
      <c r="G975">
        <f>IF(F975&gt;0,IF(B975="RECEIPT",Transactions!F975,IF(_xlfn.MAXIFS($H$2:H975,$A$2:A975,A975)&gt;0,INDEX(Transactions!$F:$F,_xlfn.MAXIFS($H$2:H975,$A$2:A975,A975)),W975)),0)</f>
        <v/>
      </c>
      <c r="H975">
        <f>IF(AND(E975=1,B975="RECEIPT"),ROW(),0)</f>
        <v/>
      </c>
      <c r="I975">
        <f>IF(E975=1,IF(OR(B975="SALE",B975="WRITEOFF"),Transactions!E975,0),0)</f>
        <v/>
      </c>
      <c r="J975">
        <f>SUMIFS($F$1:F974,$A$1:A974,A975)</f>
        <v/>
      </c>
      <c r="K975">
        <f>SUMIFS($I$1:I974,$A$1:A974,A975)</f>
        <v/>
      </c>
      <c r="L975">
        <f>IFERROR(VLOOKUP(A975,Opening!$A:$C,3,0),0)</f>
        <v/>
      </c>
      <c r="M975">
        <f>IF(I975=0,0,MAX(0,MIN(INDEX(Month!H$2:H$13,MATCH($A975,Month!$A$2:$A$13,0))-K975,I975)))</f>
        <v/>
      </c>
      <c r="N975">
        <f>IF(I975=0,0,MAX(0,MIN(INDEX(Month!I$2:I$13,MATCH($A975,Month!$A$2:$A$13,0))-K975,I975)))</f>
        <v/>
      </c>
      <c r="O975">
        <f>IF(I975=0,0,MAX(0,MIN(INDEX(Month!J$2:J$13,MATCH($A975,Month!$A$2:$A$13,0))-K975,I975)))</f>
        <v/>
      </c>
      <c r="P975">
        <f>IF(I975=0,0,(MIN(MAX(K975,0),L975)*W975+SUMPRODUCT((Calc!$A$2:$A$1001=A975)*Calc!$G$2:$G$1001*(((K975-(L975+Calc!$J$2:$J$1001))&gt;0)*((K975-(L975+Calc!$J$2:$J$1001))&lt;Calc!$F$2:$F$1001)*(K975-(L975+Calc!$J$2:$J$1001))+((K975-(L975+Calc!$J$2:$J$1001))&gt;=Calc!$F$2:$F$1001)*Calc!$F$2:$F$1001))))</f>
        <v/>
      </c>
      <c r="Q975">
        <f>IF(I975=0,0,(MIN(MAX((K975+M975),0),L975)*W975+SUMPRODUCT((Calc!$A$2:$A$1001=A975)*Calc!$G$2:$G$1001*((((K975+M975)-(L975+Calc!$J$2:$J$1001))&gt;0)*(((K975+M975)-(L975+Calc!$J$2:$J$1001))&lt;Calc!$F$2:$F$1001)*((K975+M975)-(L975+Calc!$J$2:$J$1001))+(((K975+M975)-(L975+Calc!$J$2:$J$1001))&gt;=Calc!$F$2:$F$1001)*Calc!$F$2:$F$1001))))</f>
        <v/>
      </c>
      <c r="R975">
        <f>IF(I975=0,0,(MIN(MAX((K975+N975),0),L975)*W975+SUMPRODUCT((Calc!$A$2:$A$1001=A975)*Calc!$G$2:$G$1001*((((K975+N975)-(L975+Calc!$J$2:$J$1001))&gt;0)*(((K975+N975)-(L975+Calc!$J$2:$J$1001))&lt;Calc!$F$2:$F$1001)*((K975+N975)-(L975+Calc!$J$2:$J$1001))+(((K975+N975)-(L975+Calc!$J$2:$J$1001))&gt;=Calc!$F$2:$F$1001)*Calc!$F$2:$F$1001))))</f>
        <v/>
      </c>
      <c r="S975">
        <f>IF(I975=0,0,(MIN(MAX((K975+O975),0),L975)*W975+SUMPRODUCT((Calc!$A$2:$A$1001=A975)*Calc!$G$2:$G$1001*((((K975+O975)-(L975+Calc!$J$2:$J$1001))&gt;0)*(((K975+O975)-(L975+Calc!$J$2:$J$1001))&lt;Calc!$F$2:$F$1001)*((K975+O975)-(L975+Calc!$J$2:$J$1001))+(((K975+O975)-(L975+Calc!$J$2:$J$1001))&gt;=Calc!$F$2:$F$1001)*Calc!$F$2:$F$1001))))</f>
        <v/>
      </c>
      <c r="T975">
        <f>IF(AND(E975=1,B975="RETURN"),Transactions!E975*Transactions!G975,0)</f>
        <v/>
      </c>
      <c r="U975">
        <f>IF(AND(E975=1,B975="EXPENSE"),Transactions!J975,0)</f>
        <v/>
      </c>
      <c r="V975">
        <f>IF(AND(Transactions!A975&lt;&gt;"",E975=0),ROW(),"")</f>
        <v/>
      </c>
      <c r="W975">
        <f>IFERROR(VLOOKUP(A975,Opening!$A:$D,4,0),0)</f>
        <v/>
      </c>
    </row>
    <row r="976">
      <c r="A976">
        <f>IF(Transactions!D976="","",UPPER(TRIM(Transactions!D976)))</f>
        <v/>
      </c>
      <c r="B976">
        <f>IF(Transactions!C976="","",UPPER(TRIM(Transactions!C976)))</f>
        <v/>
      </c>
      <c r="C976">
        <f>IF(Transactions!B976="",0,YEAR(Transactions!B976)*100+MONTH(Transactions!B976))</f>
        <v/>
      </c>
      <c r="D976">
        <f>IF(Transactions!A976="",1,IF(COUNTIF(Transactions!$A$1:A975,Transactions!A976)&gt;0,1,0))</f>
        <v/>
      </c>
      <c r="E976">
        <f>IF(D976=1,0,IF(B976="RETURN",IF(COUNTIFS($A$1:A975,A976,$B$1:B975,"SALE",$E$1:E975,1)&gt;0,1,0),1))</f>
        <v/>
      </c>
      <c r="F976">
        <f>IF(E976=1,IF(B976="RECEIPT",Transactions!E976,IF(AND(B976="RETURN",LOWER(TRIM(Transactions!H976))="resellable"),Transactions!E976,0)),0)</f>
        <v/>
      </c>
      <c r="G976">
        <f>IF(F976&gt;0,IF(B976="RECEIPT",Transactions!F976,IF(_xlfn.MAXIFS($H$2:H976,$A$2:A976,A976)&gt;0,INDEX(Transactions!$F:$F,_xlfn.MAXIFS($H$2:H976,$A$2:A976,A976)),W976)),0)</f>
        <v/>
      </c>
      <c r="H976">
        <f>IF(AND(E976=1,B976="RECEIPT"),ROW(),0)</f>
        <v/>
      </c>
      <c r="I976">
        <f>IF(E976=1,IF(OR(B976="SALE",B976="WRITEOFF"),Transactions!E976,0),0)</f>
        <v/>
      </c>
      <c r="J976">
        <f>SUMIFS($F$1:F975,$A$1:A975,A976)</f>
        <v/>
      </c>
      <c r="K976">
        <f>SUMIFS($I$1:I975,$A$1:A975,A976)</f>
        <v/>
      </c>
      <c r="L976">
        <f>IFERROR(VLOOKUP(A976,Opening!$A:$C,3,0),0)</f>
        <v/>
      </c>
      <c r="M976">
        <f>IF(I976=0,0,MAX(0,MIN(INDEX(Month!H$2:H$13,MATCH($A976,Month!$A$2:$A$13,0))-K976,I976)))</f>
        <v/>
      </c>
      <c r="N976">
        <f>IF(I976=0,0,MAX(0,MIN(INDEX(Month!I$2:I$13,MATCH($A976,Month!$A$2:$A$13,0))-K976,I976)))</f>
        <v/>
      </c>
      <c r="O976">
        <f>IF(I976=0,0,MAX(0,MIN(INDEX(Month!J$2:J$13,MATCH($A976,Month!$A$2:$A$13,0))-K976,I976)))</f>
        <v/>
      </c>
      <c r="P976">
        <f>IF(I976=0,0,(MIN(MAX(K976,0),L976)*W976+SUMPRODUCT((Calc!$A$2:$A$1001=A976)*Calc!$G$2:$G$1001*(((K976-(L976+Calc!$J$2:$J$1001))&gt;0)*((K976-(L976+Calc!$J$2:$J$1001))&lt;Calc!$F$2:$F$1001)*(K976-(L976+Calc!$J$2:$J$1001))+((K976-(L976+Calc!$J$2:$J$1001))&gt;=Calc!$F$2:$F$1001)*Calc!$F$2:$F$1001))))</f>
        <v/>
      </c>
      <c r="Q976">
        <f>IF(I976=0,0,(MIN(MAX((K976+M976),0),L976)*W976+SUMPRODUCT((Calc!$A$2:$A$1001=A976)*Calc!$G$2:$G$1001*((((K976+M976)-(L976+Calc!$J$2:$J$1001))&gt;0)*(((K976+M976)-(L976+Calc!$J$2:$J$1001))&lt;Calc!$F$2:$F$1001)*((K976+M976)-(L976+Calc!$J$2:$J$1001))+(((K976+M976)-(L976+Calc!$J$2:$J$1001))&gt;=Calc!$F$2:$F$1001)*Calc!$F$2:$F$1001))))</f>
        <v/>
      </c>
      <c r="R976">
        <f>IF(I976=0,0,(MIN(MAX((K976+N976),0),L976)*W976+SUMPRODUCT((Calc!$A$2:$A$1001=A976)*Calc!$G$2:$G$1001*((((K976+N976)-(L976+Calc!$J$2:$J$1001))&gt;0)*(((K976+N976)-(L976+Calc!$J$2:$J$1001))&lt;Calc!$F$2:$F$1001)*((K976+N976)-(L976+Calc!$J$2:$J$1001))+(((K976+N976)-(L976+Calc!$J$2:$J$1001))&gt;=Calc!$F$2:$F$1001)*Calc!$F$2:$F$1001))))</f>
        <v/>
      </c>
      <c r="S976">
        <f>IF(I976=0,0,(MIN(MAX((K976+O976),0),L976)*W976+SUMPRODUCT((Calc!$A$2:$A$1001=A976)*Calc!$G$2:$G$1001*((((K976+O976)-(L976+Calc!$J$2:$J$1001))&gt;0)*(((K976+O976)-(L976+Calc!$J$2:$J$1001))&lt;Calc!$F$2:$F$1001)*((K976+O976)-(L976+Calc!$J$2:$J$1001))+(((K976+O976)-(L976+Calc!$J$2:$J$1001))&gt;=Calc!$F$2:$F$1001)*Calc!$F$2:$F$1001))))</f>
        <v/>
      </c>
      <c r="T976">
        <f>IF(AND(E976=1,B976="RETURN"),Transactions!E976*Transactions!G976,0)</f>
        <v/>
      </c>
      <c r="U976">
        <f>IF(AND(E976=1,B976="EXPENSE"),Transactions!J976,0)</f>
        <v/>
      </c>
      <c r="V976">
        <f>IF(AND(Transactions!A976&lt;&gt;"",E976=0),ROW(),"")</f>
        <v/>
      </c>
      <c r="W976">
        <f>IFERROR(VLOOKUP(A976,Opening!$A:$D,4,0),0)</f>
        <v/>
      </c>
    </row>
    <row r="977">
      <c r="A977">
        <f>IF(Transactions!D977="","",UPPER(TRIM(Transactions!D977)))</f>
        <v/>
      </c>
      <c r="B977">
        <f>IF(Transactions!C977="","",UPPER(TRIM(Transactions!C977)))</f>
        <v/>
      </c>
      <c r="C977">
        <f>IF(Transactions!B977="",0,YEAR(Transactions!B977)*100+MONTH(Transactions!B977))</f>
        <v/>
      </c>
      <c r="D977">
        <f>IF(Transactions!A977="",1,IF(COUNTIF(Transactions!$A$1:A976,Transactions!A977)&gt;0,1,0))</f>
        <v/>
      </c>
      <c r="E977">
        <f>IF(D977=1,0,IF(B977="RETURN",IF(COUNTIFS($A$1:A976,A977,$B$1:B976,"SALE",$E$1:E976,1)&gt;0,1,0),1))</f>
        <v/>
      </c>
      <c r="F977">
        <f>IF(E977=1,IF(B977="RECEIPT",Transactions!E977,IF(AND(B977="RETURN",LOWER(TRIM(Transactions!H977))="resellable"),Transactions!E977,0)),0)</f>
        <v/>
      </c>
      <c r="G977">
        <f>IF(F977&gt;0,IF(B977="RECEIPT",Transactions!F977,IF(_xlfn.MAXIFS($H$2:H977,$A$2:A977,A977)&gt;0,INDEX(Transactions!$F:$F,_xlfn.MAXIFS($H$2:H977,$A$2:A977,A977)),W977)),0)</f>
        <v/>
      </c>
      <c r="H977">
        <f>IF(AND(E977=1,B977="RECEIPT"),ROW(),0)</f>
        <v/>
      </c>
      <c r="I977">
        <f>IF(E977=1,IF(OR(B977="SALE",B977="WRITEOFF"),Transactions!E977,0),0)</f>
        <v/>
      </c>
      <c r="J977">
        <f>SUMIFS($F$1:F976,$A$1:A976,A977)</f>
        <v/>
      </c>
      <c r="K977">
        <f>SUMIFS($I$1:I976,$A$1:A976,A977)</f>
        <v/>
      </c>
      <c r="L977">
        <f>IFERROR(VLOOKUP(A977,Opening!$A:$C,3,0),0)</f>
        <v/>
      </c>
      <c r="M977">
        <f>IF(I977=0,0,MAX(0,MIN(INDEX(Month!H$2:H$13,MATCH($A977,Month!$A$2:$A$13,0))-K977,I977)))</f>
        <v/>
      </c>
      <c r="N977">
        <f>IF(I977=0,0,MAX(0,MIN(INDEX(Month!I$2:I$13,MATCH($A977,Month!$A$2:$A$13,0))-K977,I977)))</f>
        <v/>
      </c>
      <c r="O977">
        <f>IF(I977=0,0,MAX(0,MIN(INDEX(Month!J$2:J$13,MATCH($A977,Month!$A$2:$A$13,0))-K977,I977)))</f>
        <v/>
      </c>
      <c r="P977">
        <f>IF(I977=0,0,(MIN(MAX(K977,0),L977)*W977+SUMPRODUCT((Calc!$A$2:$A$1001=A977)*Calc!$G$2:$G$1001*(((K977-(L977+Calc!$J$2:$J$1001))&gt;0)*((K977-(L977+Calc!$J$2:$J$1001))&lt;Calc!$F$2:$F$1001)*(K977-(L977+Calc!$J$2:$J$1001))+((K977-(L977+Calc!$J$2:$J$1001))&gt;=Calc!$F$2:$F$1001)*Calc!$F$2:$F$1001))))</f>
        <v/>
      </c>
      <c r="Q977">
        <f>IF(I977=0,0,(MIN(MAX((K977+M977),0),L977)*W977+SUMPRODUCT((Calc!$A$2:$A$1001=A977)*Calc!$G$2:$G$1001*((((K977+M977)-(L977+Calc!$J$2:$J$1001))&gt;0)*(((K977+M977)-(L977+Calc!$J$2:$J$1001))&lt;Calc!$F$2:$F$1001)*((K977+M977)-(L977+Calc!$J$2:$J$1001))+(((K977+M977)-(L977+Calc!$J$2:$J$1001))&gt;=Calc!$F$2:$F$1001)*Calc!$F$2:$F$1001))))</f>
        <v/>
      </c>
      <c r="R977">
        <f>IF(I977=0,0,(MIN(MAX((K977+N977),0),L977)*W977+SUMPRODUCT((Calc!$A$2:$A$1001=A977)*Calc!$G$2:$G$1001*((((K977+N977)-(L977+Calc!$J$2:$J$1001))&gt;0)*(((K977+N977)-(L977+Calc!$J$2:$J$1001))&lt;Calc!$F$2:$F$1001)*((K977+N977)-(L977+Calc!$J$2:$J$1001))+(((K977+N977)-(L977+Calc!$J$2:$J$1001))&gt;=Calc!$F$2:$F$1001)*Calc!$F$2:$F$1001))))</f>
        <v/>
      </c>
      <c r="S977">
        <f>IF(I977=0,0,(MIN(MAX((K977+O977),0),L977)*W977+SUMPRODUCT((Calc!$A$2:$A$1001=A977)*Calc!$G$2:$G$1001*((((K977+O977)-(L977+Calc!$J$2:$J$1001))&gt;0)*(((K977+O977)-(L977+Calc!$J$2:$J$1001))&lt;Calc!$F$2:$F$1001)*((K977+O977)-(L977+Calc!$J$2:$J$1001))+(((K977+O977)-(L977+Calc!$J$2:$J$1001))&gt;=Calc!$F$2:$F$1001)*Calc!$F$2:$F$1001))))</f>
        <v/>
      </c>
      <c r="T977">
        <f>IF(AND(E977=1,B977="RETURN"),Transactions!E977*Transactions!G977,0)</f>
        <v/>
      </c>
      <c r="U977">
        <f>IF(AND(E977=1,B977="EXPENSE"),Transactions!J977,0)</f>
        <v/>
      </c>
      <c r="V977">
        <f>IF(AND(Transactions!A977&lt;&gt;"",E977=0),ROW(),"")</f>
        <v/>
      </c>
      <c r="W977">
        <f>IFERROR(VLOOKUP(A977,Opening!$A:$D,4,0),0)</f>
        <v/>
      </c>
    </row>
    <row r="978">
      <c r="A978">
        <f>IF(Transactions!D978="","",UPPER(TRIM(Transactions!D978)))</f>
        <v/>
      </c>
      <c r="B978">
        <f>IF(Transactions!C978="","",UPPER(TRIM(Transactions!C978)))</f>
        <v/>
      </c>
      <c r="C978">
        <f>IF(Transactions!B978="",0,YEAR(Transactions!B978)*100+MONTH(Transactions!B978))</f>
        <v/>
      </c>
      <c r="D978">
        <f>IF(Transactions!A978="",1,IF(COUNTIF(Transactions!$A$1:A977,Transactions!A978)&gt;0,1,0))</f>
        <v/>
      </c>
      <c r="E978">
        <f>IF(D978=1,0,IF(B978="RETURN",IF(COUNTIFS($A$1:A977,A978,$B$1:B977,"SALE",$E$1:E977,1)&gt;0,1,0),1))</f>
        <v/>
      </c>
      <c r="F978">
        <f>IF(E978=1,IF(B978="RECEIPT",Transactions!E978,IF(AND(B978="RETURN",LOWER(TRIM(Transactions!H978))="resellable"),Transactions!E978,0)),0)</f>
        <v/>
      </c>
      <c r="G978">
        <f>IF(F978&gt;0,IF(B978="RECEIPT",Transactions!F978,IF(_xlfn.MAXIFS($H$2:H978,$A$2:A978,A978)&gt;0,INDEX(Transactions!$F:$F,_xlfn.MAXIFS($H$2:H978,$A$2:A978,A978)),W978)),0)</f>
        <v/>
      </c>
      <c r="H978">
        <f>IF(AND(E978=1,B978="RECEIPT"),ROW(),0)</f>
        <v/>
      </c>
      <c r="I978">
        <f>IF(E978=1,IF(OR(B978="SALE",B978="WRITEOFF"),Transactions!E978,0),0)</f>
        <v/>
      </c>
      <c r="J978">
        <f>SUMIFS($F$1:F977,$A$1:A977,A978)</f>
        <v/>
      </c>
      <c r="K978">
        <f>SUMIFS($I$1:I977,$A$1:A977,A978)</f>
        <v/>
      </c>
      <c r="L978">
        <f>IFERROR(VLOOKUP(A978,Opening!$A:$C,3,0),0)</f>
        <v/>
      </c>
      <c r="M978">
        <f>IF(I978=0,0,MAX(0,MIN(INDEX(Month!H$2:H$13,MATCH($A978,Month!$A$2:$A$13,0))-K978,I978)))</f>
        <v/>
      </c>
      <c r="N978">
        <f>IF(I978=0,0,MAX(0,MIN(INDEX(Month!I$2:I$13,MATCH($A978,Month!$A$2:$A$13,0))-K978,I978)))</f>
        <v/>
      </c>
      <c r="O978">
        <f>IF(I978=0,0,MAX(0,MIN(INDEX(Month!J$2:J$13,MATCH($A978,Month!$A$2:$A$13,0))-K978,I978)))</f>
        <v/>
      </c>
      <c r="P978">
        <f>IF(I978=0,0,(MIN(MAX(K978,0),L978)*W978+SUMPRODUCT((Calc!$A$2:$A$1001=A978)*Calc!$G$2:$G$1001*(((K978-(L978+Calc!$J$2:$J$1001))&gt;0)*((K978-(L978+Calc!$J$2:$J$1001))&lt;Calc!$F$2:$F$1001)*(K978-(L978+Calc!$J$2:$J$1001))+((K978-(L978+Calc!$J$2:$J$1001))&gt;=Calc!$F$2:$F$1001)*Calc!$F$2:$F$1001))))</f>
        <v/>
      </c>
      <c r="Q978">
        <f>IF(I978=0,0,(MIN(MAX((K978+M978),0),L978)*W978+SUMPRODUCT((Calc!$A$2:$A$1001=A978)*Calc!$G$2:$G$1001*((((K978+M978)-(L978+Calc!$J$2:$J$1001))&gt;0)*(((K978+M978)-(L978+Calc!$J$2:$J$1001))&lt;Calc!$F$2:$F$1001)*((K978+M978)-(L978+Calc!$J$2:$J$1001))+(((K978+M978)-(L978+Calc!$J$2:$J$1001))&gt;=Calc!$F$2:$F$1001)*Calc!$F$2:$F$1001))))</f>
        <v/>
      </c>
      <c r="R978">
        <f>IF(I978=0,0,(MIN(MAX((K978+N978),0),L978)*W978+SUMPRODUCT((Calc!$A$2:$A$1001=A978)*Calc!$G$2:$G$1001*((((K978+N978)-(L978+Calc!$J$2:$J$1001))&gt;0)*(((K978+N978)-(L978+Calc!$J$2:$J$1001))&lt;Calc!$F$2:$F$1001)*((K978+N978)-(L978+Calc!$J$2:$J$1001))+(((K978+N978)-(L978+Calc!$J$2:$J$1001))&gt;=Calc!$F$2:$F$1001)*Calc!$F$2:$F$1001))))</f>
        <v/>
      </c>
      <c r="S978">
        <f>IF(I978=0,0,(MIN(MAX((K978+O978),0),L978)*W978+SUMPRODUCT((Calc!$A$2:$A$1001=A978)*Calc!$G$2:$G$1001*((((K978+O978)-(L978+Calc!$J$2:$J$1001))&gt;0)*(((K978+O978)-(L978+Calc!$J$2:$J$1001))&lt;Calc!$F$2:$F$1001)*((K978+O978)-(L978+Calc!$J$2:$J$1001))+(((K978+O978)-(L978+Calc!$J$2:$J$1001))&gt;=Calc!$F$2:$F$1001)*Calc!$F$2:$F$1001))))</f>
        <v/>
      </c>
      <c r="T978">
        <f>IF(AND(E978=1,B978="RETURN"),Transactions!E978*Transactions!G978,0)</f>
        <v/>
      </c>
      <c r="U978">
        <f>IF(AND(E978=1,B978="EXPENSE"),Transactions!J978,0)</f>
        <v/>
      </c>
      <c r="V978">
        <f>IF(AND(Transactions!A978&lt;&gt;"",E978=0),ROW(),"")</f>
        <v/>
      </c>
      <c r="W978">
        <f>IFERROR(VLOOKUP(A978,Opening!$A:$D,4,0),0)</f>
        <v/>
      </c>
    </row>
    <row r="979">
      <c r="A979">
        <f>IF(Transactions!D979="","",UPPER(TRIM(Transactions!D979)))</f>
        <v/>
      </c>
      <c r="B979">
        <f>IF(Transactions!C979="","",UPPER(TRIM(Transactions!C979)))</f>
        <v/>
      </c>
      <c r="C979">
        <f>IF(Transactions!B979="",0,YEAR(Transactions!B979)*100+MONTH(Transactions!B979))</f>
        <v/>
      </c>
      <c r="D979">
        <f>IF(Transactions!A979="",1,IF(COUNTIF(Transactions!$A$1:A978,Transactions!A979)&gt;0,1,0))</f>
        <v/>
      </c>
      <c r="E979">
        <f>IF(D979=1,0,IF(B979="RETURN",IF(COUNTIFS($A$1:A978,A979,$B$1:B978,"SALE",$E$1:E978,1)&gt;0,1,0),1))</f>
        <v/>
      </c>
      <c r="F979">
        <f>IF(E979=1,IF(B979="RECEIPT",Transactions!E979,IF(AND(B979="RETURN",LOWER(TRIM(Transactions!H979))="resellable"),Transactions!E979,0)),0)</f>
        <v/>
      </c>
      <c r="G979">
        <f>IF(F979&gt;0,IF(B979="RECEIPT",Transactions!F979,IF(_xlfn.MAXIFS($H$2:H979,$A$2:A979,A979)&gt;0,INDEX(Transactions!$F:$F,_xlfn.MAXIFS($H$2:H979,$A$2:A979,A979)),W979)),0)</f>
        <v/>
      </c>
      <c r="H979">
        <f>IF(AND(E979=1,B979="RECEIPT"),ROW(),0)</f>
        <v/>
      </c>
      <c r="I979">
        <f>IF(E979=1,IF(OR(B979="SALE",B979="WRITEOFF"),Transactions!E979,0),0)</f>
        <v/>
      </c>
      <c r="J979">
        <f>SUMIFS($F$1:F978,$A$1:A978,A979)</f>
        <v/>
      </c>
      <c r="K979">
        <f>SUMIFS($I$1:I978,$A$1:A978,A979)</f>
        <v/>
      </c>
      <c r="L979">
        <f>IFERROR(VLOOKUP(A979,Opening!$A:$C,3,0),0)</f>
        <v/>
      </c>
      <c r="M979">
        <f>IF(I979=0,0,MAX(0,MIN(INDEX(Month!H$2:H$13,MATCH($A979,Month!$A$2:$A$13,0))-K979,I979)))</f>
        <v/>
      </c>
      <c r="N979">
        <f>IF(I979=0,0,MAX(0,MIN(INDEX(Month!I$2:I$13,MATCH($A979,Month!$A$2:$A$13,0))-K979,I979)))</f>
        <v/>
      </c>
      <c r="O979">
        <f>IF(I979=0,0,MAX(0,MIN(INDEX(Month!J$2:J$13,MATCH($A979,Month!$A$2:$A$13,0))-K979,I979)))</f>
        <v/>
      </c>
      <c r="P979">
        <f>IF(I979=0,0,(MIN(MAX(K979,0),L979)*W979+SUMPRODUCT((Calc!$A$2:$A$1001=A979)*Calc!$G$2:$G$1001*(((K979-(L979+Calc!$J$2:$J$1001))&gt;0)*((K979-(L979+Calc!$J$2:$J$1001))&lt;Calc!$F$2:$F$1001)*(K979-(L979+Calc!$J$2:$J$1001))+((K979-(L979+Calc!$J$2:$J$1001))&gt;=Calc!$F$2:$F$1001)*Calc!$F$2:$F$1001))))</f>
        <v/>
      </c>
      <c r="Q979">
        <f>IF(I979=0,0,(MIN(MAX((K979+M979),0),L979)*W979+SUMPRODUCT((Calc!$A$2:$A$1001=A979)*Calc!$G$2:$G$1001*((((K979+M979)-(L979+Calc!$J$2:$J$1001))&gt;0)*(((K979+M979)-(L979+Calc!$J$2:$J$1001))&lt;Calc!$F$2:$F$1001)*((K979+M979)-(L979+Calc!$J$2:$J$1001))+(((K979+M979)-(L979+Calc!$J$2:$J$1001))&gt;=Calc!$F$2:$F$1001)*Calc!$F$2:$F$1001))))</f>
        <v/>
      </c>
      <c r="R979">
        <f>IF(I979=0,0,(MIN(MAX((K979+N979),0),L979)*W979+SUMPRODUCT((Calc!$A$2:$A$1001=A979)*Calc!$G$2:$G$1001*((((K979+N979)-(L979+Calc!$J$2:$J$1001))&gt;0)*(((K979+N979)-(L979+Calc!$J$2:$J$1001))&lt;Calc!$F$2:$F$1001)*((K979+N979)-(L979+Calc!$J$2:$J$1001))+(((K979+N979)-(L979+Calc!$J$2:$J$1001))&gt;=Calc!$F$2:$F$1001)*Calc!$F$2:$F$1001))))</f>
        <v/>
      </c>
      <c r="S979">
        <f>IF(I979=0,0,(MIN(MAX((K979+O979),0),L979)*W979+SUMPRODUCT((Calc!$A$2:$A$1001=A979)*Calc!$G$2:$G$1001*((((K979+O979)-(L979+Calc!$J$2:$J$1001))&gt;0)*(((K979+O979)-(L979+Calc!$J$2:$J$1001))&lt;Calc!$F$2:$F$1001)*((K979+O979)-(L979+Calc!$J$2:$J$1001))+(((K979+O979)-(L979+Calc!$J$2:$J$1001))&gt;=Calc!$F$2:$F$1001)*Calc!$F$2:$F$1001))))</f>
        <v/>
      </c>
      <c r="T979">
        <f>IF(AND(E979=1,B979="RETURN"),Transactions!E979*Transactions!G979,0)</f>
        <v/>
      </c>
      <c r="U979">
        <f>IF(AND(E979=1,B979="EXPENSE"),Transactions!J979,0)</f>
        <v/>
      </c>
      <c r="V979">
        <f>IF(AND(Transactions!A979&lt;&gt;"",E979=0),ROW(),"")</f>
        <v/>
      </c>
      <c r="W979">
        <f>IFERROR(VLOOKUP(A979,Opening!$A:$D,4,0),0)</f>
        <v/>
      </c>
    </row>
    <row r="980">
      <c r="A980">
        <f>IF(Transactions!D980="","",UPPER(TRIM(Transactions!D980)))</f>
        <v/>
      </c>
      <c r="B980">
        <f>IF(Transactions!C980="","",UPPER(TRIM(Transactions!C980)))</f>
        <v/>
      </c>
      <c r="C980">
        <f>IF(Transactions!B980="",0,YEAR(Transactions!B980)*100+MONTH(Transactions!B980))</f>
        <v/>
      </c>
      <c r="D980">
        <f>IF(Transactions!A980="",1,IF(COUNTIF(Transactions!$A$1:A979,Transactions!A980)&gt;0,1,0))</f>
        <v/>
      </c>
      <c r="E980">
        <f>IF(D980=1,0,IF(B980="RETURN",IF(COUNTIFS($A$1:A979,A980,$B$1:B979,"SALE",$E$1:E979,1)&gt;0,1,0),1))</f>
        <v/>
      </c>
      <c r="F980">
        <f>IF(E980=1,IF(B980="RECEIPT",Transactions!E980,IF(AND(B980="RETURN",LOWER(TRIM(Transactions!H980))="resellable"),Transactions!E980,0)),0)</f>
        <v/>
      </c>
      <c r="G980">
        <f>IF(F980&gt;0,IF(B980="RECEIPT",Transactions!F980,IF(_xlfn.MAXIFS($H$2:H980,$A$2:A980,A980)&gt;0,INDEX(Transactions!$F:$F,_xlfn.MAXIFS($H$2:H980,$A$2:A980,A980)),W980)),0)</f>
        <v/>
      </c>
      <c r="H980">
        <f>IF(AND(E980=1,B980="RECEIPT"),ROW(),0)</f>
        <v/>
      </c>
      <c r="I980">
        <f>IF(E980=1,IF(OR(B980="SALE",B980="WRITEOFF"),Transactions!E980,0),0)</f>
        <v/>
      </c>
      <c r="J980">
        <f>SUMIFS($F$1:F979,$A$1:A979,A980)</f>
        <v/>
      </c>
      <c r="K980">
        <f>SUMIFS($I$1:I979,$A$1:A979,A980)</f>
        <v/>
      </c>
      <c r="L980">
        <f>IFERROR(VLOOKUP(A980,Opening!$A:$C,3,0),0)</f>
        <v/>
      </c>
      <c r="M980">
        <f>IF(I980=0,0,MAX(0,MIN(INDEX(Month!H$2:H$13,MATCH($A980,Month!$A$2:$A$13,0))-K980,I980)))</f>
        <v/>
      </c>
      <c r="N980">
        <f>IF(I980=0,0,MAX(0,MIN(INDEX(Month!I$2:I$13,MATCH($A980,Month!$A$2:$A$13,0))-K980,I980)))</f>
        <v/>
      </c>
      <c r="O980">
        <f>IF(I980=0,0,MAX(0,MIN(INDEX(Month!J$2:J$13,MATCH($A980,Month!$A$2:$A$13,0))-K980,I980)))</f>
        <v/>
      </c>
      <c r="P980">
        <f>IF(I980=0,0,(MIN(MAX(K980,0),L980)*W980+SUMPRODUCT((Calc!$A$2:$A$1001=A980)*Calc!$G$2:$G$1001*(((K980-(L980+Calc!$J$2:$J$1001))&gt;0)*((K980-(L980+Calc!$J$2:$J$1001))&lt;Calc!$F$2:$F$1001)*(K980-(L980+Calc!$J$2:$J$1001))+((K980-(L980+Calc!$J$2:$J$1001))&gt;=Calc!$F$2:$F$1001)*Calc!$F$2:$F$1001))))</f>
        <v/>
      </c>
      <c r="Q980">
        <f>IF(I980=0,0,(MIN(MAX((K980+M980),0),L980)*W980+SUMPRODUCT((Calc!$A$2:$A$1001=A980)*Calc!$G$2:$G$1001*((((K980+M980)-(L980+Calc!$J$2:$J$1001))&gt;0)*(((K980+M980)-(L980+Calc!$J$2:$J$1001))&lt;Calc!$F$2:$F$1001)*((K980+M980)-(L980+Calc!$J$2:$J$1001))+(((K980+M980)-(L980+Calc!$J$2:$J$1001))&gt;=Calc!$F$2:$F$1001)*Calc!$F$2:$F$1001))))</f>
        <v/>
      </c>
      <c r="R980">
        <f>IF(I980=0,0,(MIN(MAX((K980+N980),0),L980)*W980+SUMPRODUCT((Calc!$A$2:$A$1001=A980)*Calc!$G$2:$G$1001*((((K980+N980)-(L980+Calc!$J$2:$J$1001))&gt;0)*(((K980+N980)-(L980+Calc!$J$2:$J$1001))&lt;Calc!$F$2:$F$1001)*((K980+N980)-(L980+Calc!$J$2:$J$1001))+(((K980+N980)-(L980+Calc!$J$2:$J$1001))&gt;=Calc!$F$2:$F$1001)*Calc!$F$2:$F$1001))))</f>
        <v/>
      </c>
      <c r="S980">
        <f>IF(I980=0,0,(MIN(MAX((K980+O980),0),L980)*W980+SUMPRODUCT((Calc!$A$2:$A$1001=A980)*Calc!$G$2:$G$1001*((((K980+O980)-(L980+Calc!$J$2:$J$1001))&gt;0)*(((K980+O980)-(L980+Calc!$J$2:$J$1001))&lt;Calc!$F$2:$F$1001)*((K980+O980)-(L980+Calc!$J$2:$J$1001))+(((K980+O980)-(L980+Calc!$J$2:$J$1001))&gt;=Calc!$F$2:$F$1001)*Calc!$F$2:$F$1001))))</f>
        <v/>
      </c>
      <c r="T980">
        <f>IF(AND(E980=1,B980="RETURN"),Transactions!E980*Transactions!G980,0)</f>
        <v/>
      </c>
      <c r="U980">
        <f>IF(AND(E980=1,B980="EXPENSE"),Transactions!J980,0)</f>
        <v/>
      </c>
      <c r="V980">
        <f>IF(AND(Transactions!A980&lt;&gt;"",E980=0),ROW(),"")</f>
        <v/>
      </c>
      <c r="W980">
        <f>IFERROR(VLOOKUP(A980,Opening!$A:$D,4,0),0)</f>
        <v/>
      </c>
    </row>
    <row r="981">
      <c r="A981">
        <f>IF(Transactions!D981="","",UPPER(TRIM(Transactions!D981)))</f>
        <v/>
      </c>
      <c r="B981">
        <f>IF(Transactions!C981="","",UPPER(TRIM(Transactions!C981)))</f>
        <v/>
      </c>
      <c r="C981">
        <f>IF(Transactions!B981="",0,YEAR(Transactions!B981)*100+MONTH(Transactions!B981))</f>
        <v/>
      </c>
      <c r="D981">
        <f>IF(Transactions!A981="",1,IF(COUNTIF(Transactions!$A$1:A980,Transactions!A981)&gt;0,1,0))</f>
        <v/>
      </c>
      <c r="E981">
        <f>IF(D981=1,0,IF(B981="RETURN",IF(COUNTIFS($A$1:A980,A981,$B$1:B980,"SALE",$E$1:E980,1)&gt;0,1,0),1))</f>
        <v/>
      </c>
      <c r="F981">
        <f>IF(E981=1,IF(B981="RECEIPT",Transactions!E981,IF(AND(B981="RETURN",LOWER(TRIM(Transactions!H981))="resellable"),Transactions!E981,0)),0)</f>
        <v/>
      </c>
      <c r="G981">
        <f>IF(F981&gt;0,IF(B981="RECEIPT",Transactions!F981,IF(_xlfn.MAXIFS($H$2:H981,$A$2:A981,A981)&gt;0,INDEX(Transactions!$F:$F,_xlfn.MAXIFS($H$2:H981,$A$2:A981,A981)),W981)),0)</f>
        <v/>
      </c>
      <c r="H981">
        <f>IF(AND(E981=1,B981="RECEIPT"),ROW(),0)</f>
        <v/>
      </c>
      <c r="I981">
        <f>IF(E981=1,IF(OR(B981="SALE",B981="WRITEOFF"),Transactions!E981,0),0)</f>
        <v/>
      </c>
      <c r="J981">
        <f>SUMIFS($F$1:F980,$A$1:A980,A981)</f>
        <v/>
      </c>
      <c r="K981">
        <f>SUMIFS($I$1:I980,$A$1:A980,A981)</f>
        <v/>
      </c>
      <c r="L981">
        <f>IFERROR(VLOOKUP(A981,Opening!$A:$C,3,0),0)</f>
        <v/>
      </c>
      <c r="M981">
        <f>IF(I981=0,0,MAX(0,MIN(INDEX(Month!H$2:H$13,MATCH($A981,Month!$A$2:$A$13,0))-K981,I981)))</f>
        <v/>
      </c>
      <c r="N981">
        <f>IF(I981=0,0,MAX(0,MIN(INDEX(Month!I$2:I$13,MATCH($A981,Month!$A$2:$A$13,0))-K981,I981)))</f>
        <v/>
      </c>
      <c r="O981">
        <f>IF(I981=0,0,MAX(0,MIN(INDEX(Month!J$2:J$13,MATCH($A981,Month!$A$2:$A$13,0))-K981,I981)))</f>
        <v/>
      </c>
      <c r="P981">
        <f>IF(I981=0,0,(MIN(MAX(K981,0),L981)*W981+SUMPRODUCT((Calc!$A$2:$A$1001=A981)*Calc!$G$2:$G$1001*(((K981-(L981+Calc!$J$2:$J$1001))&gt;0)*((K981-(L981+Calc!$J$2:$J$1001))&lt;Calc!$F$2:$F$1001)*(K981-(L981+Calc!$J$2:$J$1001))+((K981-(L981+Calc!$J$2:$J$1001))&gt;=Calc!$F$2:$F$1001)*Calc!$F$2:$F$1001))))</f>
        <v/>
      </c>
      <c r="Q981">
        <f>IF(I981=0,0,(MIN(MAX((K981+M981),0),L981)*W981+SUMPRODUCT((Calc!$A$2:$A$1001=A981)*Calc!$G$2:$G$1001*((((K981+M981)-(L981+Calc!$J$2:$J$1001))&gt;0)*(((K981+M981)-(L981+Calc!$J$2:$J$1001))&lt;Calc!$F$2:$F$1001)*((K981+M981)-(L981+Calc!$J$2:$J$1001))+(((K981+M981)-(L981+Calc!$J$2:$J$1001))&gt;=Calc!$F$2:$F$1001)*Calc!$F$2:$F$1001))))</f>
        <v/>
      </c>
      <c r="R981">
        <f>IF(I981=0,0,(MIN(MAX((K981+N981),0),L981)*W981+SUMPRODUCT((Calc!$A$2:$A$1001=A981)*Calc!$G$2:$G$1001*((((K981+N981)-(L981+Calc!$J$2:$J$1001))&gt;0)*(((K981+N981)-(L981+Calc!$J$2:$J$1001))&lt;Calc!$F$2:$F$1001)*((K981+N981)-(L981+Calc!$J$2:$J$1001))+(((K981+N981)-(L981+Calc!$J$2:$J$1001))&gt;=Calc!$F$2:$F$1001)*Calc!$F$2:$F$1001))))</f>
        <v/>
      </c>
      <c r="S981">
        <f>IF(I981=0,0,(MIN(MAX((K981+O981),0),L981)*W981+SUMPRODUCT((Calc!$A$2:$A$1001=A981)*Calc!$G$2:$G$1001*((((K981+O981)-(L981+Calc!$J$2:$J$1001))&gt;0)*(((K981+O981)-(L981+Calc!$J$2:$J$1001))&lt;Calc!$F$2:$F$1001)*((K981+O981)-(L981+Calc!$J$2:$J$1001))+(((K981+O981)-(L981+Calc!$J$2:$J$1001))&gt;=Calc!$F$2:$F$1001)*Calc!$F$2:$F$1001))))</f>
        <v/>
      </c>
      <c r="T981">
        <f>IF(AND(E981=1,B981="RETURN"),Transactions!E981*Transactions!G981,0)</f>
        <v/>
      </c>
      <c r="U981">
        <f>IF(AND(E981=1,B981="EXPENSE"),Transactions!J981,0)</f>
        <v/>
      </c>
      <c r="V981">
        <f>IF(AND(Transactions!A981&lt;&gt;"",E981=0),ROW(),"")</f>
        <v/>
      </c>
      <c r="W981">
        <f>IFERROR(VLOOKUP(A981,Opening!$A:$D,4,0),0)</f>
        <v/>
      </c>
    </row>
    <row r="982">
      <c r="A982">
        <f>IF(Transactions!D982="","",UPPER(TRIM(Transactions!D982)))</f>
        <v/>
      </c>
      <c r="B982">
        <f>IF(Transactions!C982="","",UPPER(TRIM(Transactions!C982)))</f>
        <v/>
      </c>
      <c r="C982">
        <f>IF(Transactions!B982="",0,YEAR(Transactions!B982)*100+MONTH(Transactions!B982))</f>
        <v/>
      </c>
      <c r="D982">
        <f>IF(Transactions!A982="",1,IF(COUNTIF(Transactions!$A$1:A981,Transactions!A982)&gt;0,1,0))</f>
        <v/>
      </c>
      <c r="E982">
        <f>IF(D982=1,0,IF(B982="RETURN",IF(COUNTIFS($A$1:A981,A982,$B$1:B981,"SALE",$E$1:E981,1)&gt;0,1,0),1))</f>
        <v/>
      </c>
      <c r="F982">
        <f>IF(E982=1,IF(B982="RECEIPT",Transactions!E982,IF(AND(B982="RETURN",LOWER(TRIM(Transactions!H982))="resellable"),Transactions!E982,0)),0)</f>
        <v/>
      </c>
      <c r="G982">
        <f>IF(F982&gt;0,IF(B982="RECEIPT",Transactions!F982,IF(_xlfn.MAXIFS($H$2:H982,$A$2:A982,A982)&gt;0,INDEX(Transactions!$F:$F,_xlfn.MAXIFS($H$2:H982,$A$2:A982,A982)),W982)),0)</f>
        <v/>
      </c>
      <c r="H982">
        <f>IF(AND(E982=1,B982="RECEIPT"),ROW(),0)</f>
        <v/>
      </c>
      <c r="I982">
        <f>IF(E982=1,IF(OR(B982="SALE",B982="WRITEOFF"),Transactions!E982,0),0)</f>
        <v/>
      </c>
      <c r="J982">
        <f>SUMIFS($F$1:F981,$A$1:A981,A982)</f>
        <v/>
      </c>
      <c r="K982">
        <f>SUMIFS($I$1:I981,$A$1:A981,A982)</f>
        <v/>
      </c>
      <c r="L982">
        <f>IFERROR(VLOOKUP(A982,Opening!$A:$C,3,0),0)</f>
        <v/>
      </c>
      <c r="M982">
        <f>IF(I982=0,0,MAX(0,MIN(INDEX(Month!H$2:H$13,MATCH($A982,Month!$A$2:$A$13,0))-K982,I982)))</f>
        <v/>
      </c>
      <c r="N982">
        <f>IF(I982=0,0,MAX(0,MIN(INDEX(Month!I$2:I$13,MATCH($A982,Month!$A$2:$A$13,0))-K982,I982)))</f>
        <v/>
      </c>
      <c r="O982">
        <f>IF(I982=0,0,MAX(0,MIN(INDEX(Month!J$2:J$13,MATCH($A982,Month!$A$2:$A$13,0))-K982,I982)))</f>
        <v/>
      </c>
      <c r="P982">
        <f>IF(I982=0,0,(MIN(MAX(K982,0),L982)*W982+SUMPRODUCT((Calc!$A$2:$A$1001=A982)*Calc!$G$2:$G$1001*(((K982-(L982+Calc!$J$2:$J$1001))&gt;0)*((K982-(L982+Calc!$J$2:$J$1001))&lt;Calc!$F$2:$F$1001)*(K982-(L982+Calc!$J$2:$J$1001))+((K982-(L982+Calc!$J$2:$J$1001))&gt;=Calc!$F$2:$F$1001)*Calc!$F$2:$F$1001))))</f>
        <v/>
      </c>
      <c r="Q982">
        <f>IF(I982=0,0,(MIN(MAX((K982+M982),0),L982)*W982+SUMPRODUCT((Calc!$A$2:$A$1001=A982)*Calc!$G$2:$G$1001*((((K982+M982)-(L982+Calc!$J$2:$J$1001))&gt;0)*(((K982+M982)-(L982+Calc!$J$2:$J$1001))&lt;Calc!$F$2:$F$1001)*((K982+M982)-(L982+Calc!$J$2:$J$1001))+(((K982+M982)-(L982+Calc!$J$2:$J$1001))&gt;=Calc!$F$2:$F$1001)*Calc!$F$2:$F$1001))))</f>
        <v/>
      </c>
      <c r="R982">
        <f>IF(I982=0,0,(MIN(MAX((K982+N982),0),L982)*W982+SUMPRODUCT((Calc!$A$2:$A$1001=A982)*Calc!$G$2:$G$1001*((((K982+N982)-(L982+Calc!$J$2:$J$1001))&gt;0)*(((K982+N982)-(L982+Calc!$J$2:$J$1001))&lt;Calc!$F$2:$F$1001)*((K982+N982)-(L982+Calc!$J$2:$J$1001))+(((K982+N982)-(L982+Calc!$J$2:$J$1001))&gt;=Calc!$F$2:$F$1001)*Calc!$F$2:$F$1001))))</f>
        <v/>
      </c>
      <c r="S982">
        <f>IF(I982=0,0,(MIN(MAX((K982+O982),0),L982)*W982+SUMPRODUCT((Calc!$A$2:$A$1001=A982)*Calc!$G$2:$G$1001*((((K982+O982)-(L982+Calc!$J$2:$J$1001))&gt;0)*(((K982+O982)-(L982+Calc!$J$2:$J$1001))&lt;Calc!$F$2:$F$1001)*((K982+O982)-(L982+Calc!$J$2:$J$1001))+(((K982+O982)-(L982+Calc!$J$2:$J$1001))&gt;=Calc!$F$2:$F$1001)*Calc!$F$2:$F$1001))))</f>
        <v/>
      </c>
      <c r="T982">
        <f>IF(AND(E982=1,B982="RETURN"),Transactions!E982*Transactions!G982,0)</f>
        <v/>
      </c>
      <c r="U982">
        <f>IF(AND(E982=1,B982="EXPENSE"),Transactions!J982,0)</f>
        <v/>
      </c>
      <c r="V982">
        <f>IF(AND(Transactions!A982&lt;&gt;"",E982=0),ROW(),"")</f>
        <v/>
      </c>
      <c r="W982">
        <f>IFERROR(VLOOKUP(A982,Opening!$A:$D,4,0),0)</f>
        <v/>
      </c>
    </row>
    <row r="983">
      <c r="A983">
        <f>IF(Transactions!D983="","",UPPER(TRIM(Transactions!D983)))</f>
        <v/>
      </c>
      <c r="B983">
        <f>IF(Transactions!C983="","",UPPER(TRIM(Transactions!C983)))</f>
        <v/>
      </c>
      <c r="C983">
        <f>IF(Transactions!B983="",0,YEAR(Transactions!B983)*100+MONTH(Transactions!B983))</f>
        <v/>
      </c>
      <c r="D983">
        <f>IF(Transactions!A983="",1,IF(COUNTIF(Transactions!$A$1:A982,Transactions!A983)&gt;0,1,0))</f>
        <v/>
      </c>
      <c r="E983">
        <f>IF(D983=1,0,IF(B983="RETURN",IF(COUNTIFS($A$1:A982,A983,$B$1:B982,"SALE",$E$1:E982,1)&gt;0,1,0),1))</f>
        <v/>
      </c>
      <c r="F983">
        <f>IF(E983=1,IF(B983="RECEIPT",Transactions!E983,IF(AND(B983="RETURN",LOWER(TRIM(Transactions!H983))="resellable"),Transactions!E983,0)),0)</f>
        <v/>
      </c>
      <c r="G983">
        <f>IF(F983&gt;0,IF(B983="RECEIPT",Transactions!F983,IF(_xlfn.MAXIFS($H$2:H983,$A$2:A983,A983)&gt;0,INDEX(Transactions!$F:$F,_xlfn.MAXIFS($H$2:H983,$A$2:A983,A983)),W983)),0)</f>
        <v/>
      </c>
      <c r="H983">
        <f>IF(AND(E983=1,B983="RECEIPT"),ROW(),0)</f>
        <v/>
      </c>
      <c r="I983">
        <f>IF(E983=1,IF(OR(B983="SALE",B983="WRITEOFF"),Transactions!E983,0),0)</f>
        <v/>
      </c>
      <c r="J983">
        <f>SUMIFS($F$1:F982,$A$1:A982,A983)</f>
        <v/>
      </c>
      <c r="K983">
        <f>SUMIFS($I$1:I982,$A$1:A982,A983)</f>
        <v/>
      </c>
      <c r="L983">
        <f>IFERROR(VLOOKUP(A983,Opening!$A:$C,3,0),0)</f>
        <v/>
      </c>
      <c r="M983">
        <f>IF(I983=0,0,MAX(0,MIN(INDEX(Month!H$2:H$13,MATCH($A983,Month!$A$2:$A$13,0))-K983,I983)))</f>
        <v/>
      </c>
      <c r="N983">
        <f>IF(I983=0,0,MAX(0,MIN(INDEX(Month!I$2:I$13,MATCH($A983,Month!$A$2:$A$13,0))-K983,I983)))</f>
        <v/>
      </c>
      <c r="O983">
        <f>IF(I983=0,0,MAX(0,MIN(INDEX(Month!J$2:J$13,MATCH($A983,Month!$A$2:$A$13,0))-K983,I983)))</f>
        <v/>
      </c>
      <c r="P983">
        <f>IF(I983=0,0,(MIN(MAX(K983,0),L983)*W983+SUMPRODUCT((Calc!$A$2:$A$1001=A983)*Calc!$G$2:$G$1001*(((K983-(L983+Calc!$J$2:$J$1001))&gt;0)*((K983-(L983+Calc!$J$2:$J$1001))&lt;Calc!$F$2:$F$1001)*(K983-(L983+Calc!$J$2:$J$1001))+((K983-(L983+Calc!$J$2:$J$1001))&gt;=Calc!$F$2:$F$1001)*Calc!$F$2:$F$1001))))</f>
        <v/>
      </c>
      <c r="Q983">
        <f>IF(I983=0,0,(MIN(MAX((K983+M983),0),L983)*W983+SUMPRODUCT((Calc!$A$2:$A$1001=A983)*Calc!$G$2:$G$1001*((((K983+M983)-(L983+Calc!$J$2:$J$1001))&gt;0)*(((K983+M983)-(L983+Calc!$J$2:$J$1001))&lt;Calc!$F$2:$F$1001)*((K983+M983)-(L983+Calc!$J$2:$J$1001))+(((K983+M983)-(L983+Calc!$J$2:$J$1001))&gt;=Calc!$F$2:$F$1001)*Calc!$F$2:$F$1001))))</f>
        <v/>
      </c>
      <c r="R983">
        <f>IF(I983=0,0,(MIN(MAX((K983+N983),0),L983)*W983+SUMPRODUCT((Calc!$A$2:$A$1001=A983)*Calc!$G$2:$G$1001*((((K983+N983)-(L983+Calc!$J$2:$J$1001))&gt;0)*(((K983+N983)-(L983+Calc!$J$2:$J$1001))&lt;Calc!$F$2:$F$1001)*((K983+N983)-(L983+Calc!$J$2:$J$1001))+(((K983+N983)-(L983+Calc!$J$2:$J$1001))&gt;=Calc!$F$2:$F$1001)*Calc!$F$2:$F$1001))))</f>
        <v/>
      </c>
      <c r="S983">
        <f>IF(I983=0,0,(MIN(MAX((K983+O983),0),L983)*W983+SUMPRODUCT((Calc!$A$2:$A$1001=A983)*Calc!$G$2:$G$1001*((((K983+O983)-(L983+Calc!$J$2:$J$1001))&gt;0)*(((K983+O983)-(L983+Calc!$J$2:$J$1001))&lt;Calc!$F$2:$F$1001)*((K983+O983)-(L983+Calc!$J$2:$J$1001))+(((K983+O983)-(L983+Calc!$J$2:$J$1001))&gt;=Calc!$F$2:$F$1001)*Calc!$F$2:$F$1001))))</f>
        <v/>
      </c>
      <c r="T983">
        <f>IF(AND(E983=1,B983="RETURN"),Transactions!E983*Transactions!G983,0)</f>
        <v/>
      </c>
      <c r="U983">
        <f>IF(AND(E983=1,B983="EXPENSE"),Transactions!J983,0)</f>
        <v/>
      </c>
      <c r="V983">
        <f>IF(AND(Transactions!A983&lt;&gt;"",E983=0),ROW(),"")</f>
        <v/>
      </c>
      <c r="W983">
        <f>IFERROR(VLOOKUP(A983,Opening!$A:$D,4,0),0)</f>
        <v/>
      </c>
    </row>
    <row r="984">
      <c r="A984">
        <f>IF(Transactions!D984="","",UPPER(TRIM(Transactions!D984)))</f>
        <v/>
      </c>
      <c r="B984">
        <f>IF(Transactions!C984="","",UPPER(TRIM(Transactions!C984)))</f>
        <v/>
      </c>
      <c r="C984">
        <f>IF(Transactions!B984="",0,YEAR(Transactions!B984)*100+MONTH(Transactions!B984))</f>
        <v/>
      </c>
      <c r="D984">
        <f>IF(Transactions!A984="",1,IF(COUNTIF(Transactions!$A$1:A983,Transactions!A984)&gt;0,1,0))</f>
        <v/>
      </c>
      <c r="E984">
        <f>IF(D984=1,0,IF(B984="RETURN",IF(COUNTIFS($A$1:A983,A984,$B$1:B983,"SALE",$E$1:E983,1)&gt;0,1,0),1))</f>
        <v/>
      </c>
      <c r="F984">
        <f>IF(E984=1,IF(B984="RECEIPT",Transactions!E984,IF(AND(B984="RETURN",LOWER(TRIM(Transactions!H984))="resellable"),Transactions!E984,0)),0)</f>
        <v/>
      </c>
      <c r="G984">
        <f>IF(F984&gt;0,IF(B984="RECEIPT",Transactions!F984,IF(_xlfn.MAXIFS($H$2:H984,$A$2:A984,A984)&gt;0,INDEX(Transactions!$F:$F,_xlfn.MAXIFS($H$2:H984,$A$2:A984,A984)),W984)),0)</f>
        <v/>
      </c>
      <c r="H984">
        <f>IF(AND(E984=1,B984="RECEIPT"),ROW(),0)</f>
        <v/>
      </c>
      <c r="I984">
        <f>IF(E984=1,IF(OR(B984="SALE",B984="WRITEOFF"),Transactions!E984,0),0)</f>
        <v/>
      </c>
      <c r="J984">
        <f>SUMIFS($F$1:F983,$A$1:A983,A984)</f>
        <v/>
      </c>
      <c r="K984">
        <f>SUMIFS($I$1:I983,$A$1:A983,A984)</f>
        <v/>
      </c>
      <c r="L984">
        <f>IFERROR(VLOOKUP(A984,Opening!$A:$C,3,0),0)</f>
        <v/>
      </c>
      <c r="M984">
        <f>IF(I984=0,0,MAX(0,MIN(INDEX(Month!H$2:H$13,MATCH($A984,Month!$A$2:$A$13,0))-K984,I984)))</f>
        <v/>
      </c>
      <c r="N984">
        <f>IF(I984=0,0,MAX(0,MIN(INDEX(Month!I$2:I$13,MATCH($A984,Month!$A$2:$A$13,0))-K984,I984)))</f>
        <v/>
      </c>
      <c r="O984">
        <f>IF(I984=0,0,MAX(0,MIN(INDEX(Month!J$2:J$13,MATCH($A984,Month!$A$2:$A$13,0))-K984,I984)))</f>
        <v/>
      </c>
      <c r="P984">
        <f>IF(I984=0,0,(MIN(MAX(K984,0),L984)*W984+SUMPRODUCT((Calc!$A$2:$A$1001=A984)*Calc!$G$2:$G$1001*(((K984-(L984+Calc!$J$2:$J$1001))&gt;0)*((K984-(L984+Calc!$J$2:$J$1001))&lt;Calc!$F$2:$F$1001)*(K984-(L984+Calc!$J$2:$J$1001))+((K984-(L984+Calc!$J$2:$J$1001))&gt;=Calc!$F$2:$F$1001)*Calc!$F$2:$F$1001))))</f>
        <v/>
      </c>
      <c r="Q984">
        <f>IF(I984=0,0,(MIN(MAX((K984+M984),0),L984)*W984+SUMPRODUCT((Calc!$A$2:$A$1001=A984)*Calc!$G$2:$G$1001*((((K984+M984)-(L984+Calc!$J$2:$J$1001))&gt;0)*(((K984+M984)-(L984+Calc!$J$2:$J$1001))&lt;Calc!$F$2:$F$1001)*((K984+M984)-(L984+Calc!$J$2:$J$1001))+(((K984+M984)-(L984+Calc!$J$2:$J$1001))&gt;=Calc!$F$2:$F$1001)*Calc!$F$2:$F$1001))))</f>
        <v/>
      </c>
      <c r="R984">
        <f>IF(I984=0,0,(MIN(MAX((K984+N984),0),L984)*W984+SUMPRODUCT((Calc!$A$2:$A$1001=A984)*Calc!$G$2:$G$1001*((((K984+N984)-(L984+Calc!$J$2:$J$1001))&gt;0)*(((K984+N984)-(L984+Calc!$J$2:$J$1001))&lt;Calc!$F$2:$F$1001)*((K984+N984)-(L984+Calc!$J$2:$J$1001))+(((K984+N984)-(L984+Calc!$J$2:$J$1001))&gt;=Calc!$F$2:$F$1001)*Calc!$F$2:$F$1001))))</f>
        <v/>
      </c>
      <c r="S984">
        <f>IF(I984=0,0,(MIN(MAX((K984+O984),0),L984)*W984+SUMPRODUCT((Calc!$A$2:$A$1001=A984)*Calc!$G$2:$G$1001*((((K984+O984)-(L984+Calc!$J$2:$J$1001))&gt;0)*(((K984+O984)-(L984+Calc!$J$2:$J$1001))&lt;Calc!$F$2:$F$1001)*((K984+O984)-(L984+Calc!$J$2:$J$1001))+(((K984+O984)-(L984+Calc!$J$2:$J$1001))&gt;=Calc!$F$2:$F$1001)*Calc!$F$2:$F$1001))))</f>
        <v/>
      </c>
      <c r="T984">
        <f>IF(AND(E984=1,B984="RETURN"),Transactions!E984*Transactions!G984,0)</f>
        <v/>
      </c>
      <c r="U984">
        <f>IF(AND(E984=1,B984="EXPENSE"),Transactions!J984,0)</f>
        <v/>
      </c>
      <c r="V984">
        <f>IF(AND(Transactions!A984&lt;&gt;"",E984=0),ROW(),"")</f>
        <v/>
      </c>
      <c r="W984">
        <f>IFERROR(VLOOKUP(A984,Opening!$A:$D,4,0),0)</f>
        <v/>
      </c>
    </row>
    <row r="985">
      <c r="A985">
        <f>IF(Transactions!D985="","",UPPER(TRIM(Transactions!D985)))</f>
        <v/>
      </c>
      <c r="B985">
        <f>IF(Transactions!C985="","",UPPER(TRIM(Transactions!C985)))</f>
        <v/>
      </c>
      <c r="C985">
        <f>IF(Transactions!B985="",0,YEAR(Transactions!B985)*100+MONTH(Transactions!B985))</f>
        <v/>
      </c>
      <c r="D985">
        <f>IF(Transactions!A985="",1,IF(COUNTIF(Transactions!$A$1:A984,Transactions!A985)&gt;0,1,0))</f>
        <v/>
      </c>
      <c r="E985">
        <f>IF(D985=1,0,IF(B985="RETURN",IF(COUNTIFS($A$1:A984,A985,$B$1:B984,"SALE",$E$1:E984,1)&gt;0,1,0),1))</f>
        <v/>
      </c>
      <c r="F985">
        <f>IF(E985=1,IF(B985="RECEIPT",Transactions!E985,IF(AND(B985="RETURN",LOWER(TRIM(Transactions!H985))="resellable"),Transactions!E985,0)),0)</f>
        <v/>
      </c>
      <c r="G985">
        <f>IF(F985&gt;0,IF(B985="RECEIPT",Transactions!F985,IF(_xlfn.MAXIFS($H$2:H985,$A$2:A985,A985)&gt;0,INDEX(Transactions!$F:$F,_xlfn.MAXIFS($H$2:H985,$A$2:A985,A985)),W985)),0)</f>
        <v/>
      </c>
      <c r="H985">
        <f>IF(AND(E985=1,B985="RECEIPT"),ROW(),0)</f>
        <v/>
      </c>
      <c r="I985">
        <f>IF(E985=1,IF(OR(B985="SALE",B985="WRITEOFF"),Transactions!E985,0),0)</f>
        <v/>
      </c>
      <c r="J985">
        <f>SUMIFS($F$1:F984,$A$1:A984,A985)</f>
        <v/>
      </c>
      <c r="K985">
        <f>SUMIFS($I$1:I984,$A$1:A984,A985)</f>
        <v/>
      </c>
      <c r="L985">
        <f>IFERROR(VLOOKUP(A985,Opening!$A:$C,3,0),0)</f>
        <v/>
      </c>
      <c r="M985">
        <f>IF(I985=0,0,MAX(0,MIN(INDEX(Month!H$2:H$13,MATCH($A985,Month!$A$2:$A$13,0))-K985,I985)))</f>
        <v/>
      </c>
      <c r="N985">
        <f>IF(I985=0,0,MAX(0,MIN(INDEX(Month!I$2:I$13,MATCH($A985,Month!$A$2:$A$13,0))-K985,I985)))</f>
        <v/>
      </c>
      <c r="O985">
        <f>IF(I985=0,0,MAX(0,MIN(INDEX(Month!J$2:J$13,MATCH($A985,Month!$A$2:$A$13,0))-K985,I985)))</f>
        <v/>
      </c>
      <c r="P985">
        <f>IF(I985=0,0,(MIN(MAX(K985,0),L985)*W985+SUMPRODUCT((Calc!$A$2:$A$1001=A985)*Calc!$G$2:$G$1001*(((K985-(L985+Calc!$J$2:$J$1001))&gt;0)*((K985-(L985+Calc!$J$2:$J$1001))&lt;Calc!$F$2:$F$1001)*(K985-(L985+Calc!$J$2:$J$1001))+((K985-(L985+Calc!$J$2:$J$1001))&gt;=Calc!$F$2:$F$1001)*Calc!$F$2:$F$1001))))</f>
        <v/>
      </c>
      <c r="Q985">
        <f>IF(I985=0,0,(MIN(MAX((K985+M985),0),L985)*W985+SUMPRODUCT((Calc!$A$2:$A$1001=A985)*Calc!$G$2:$G$1001*((((K985+M985)-(L985+Calc!$J$2:$J$1001))&gt;0)*(((K985+M985)-(L985+Calc!$J$2:$J$1001))&lt;Calc!$F$2:$F$1001)*((K985+M985)-(L985+Calc!$J$2:$J$1001))+(((K985+M985)-(L985+Calc!$J$2:$J$1001))&gt;=Calc!$F$2:$F$1001)*Calc!$F$2:$F$1001))))</f>
        <v/>
      </c>
      <c r="R985">
        <f>IF(I985=0,0,(MIN(MAX((K985+N985),0),L985)*W985+SUMPRODUCT((Calc!$A$2:$A$1001=A985)*Calc!$G$2:$G$1001*((((K985+N985)-(L985+Calc!$J$2:$J$1001))&gt;0)*(((K985+N985)-(L985+Calc!$J$2:$J$1001))&lt;Calc!$F$2:$F$1001)*((K985+N985)-(L985+Calc!$J$2:$J$1001))+(((K985+N985)-(L985+Calc!$J$2:$J$1001))&gt;=Calc!$F$2:$F$1001)*Calc!$F$2:$F$1001))))</f>
        <v/>
      </c>
      <c r="S985">
        <f>IF(I985=0,0,(MIN(MAX((K985+O985),0),L985)*W985+SUMPRODUCT((Calc!$A$2:$A$1001=A985)*Calc!$G$2:$G$1001*((((K985+O985)-(L985+Calc!$J$2:$J$1001))&gt;0)*(((K985+O985)-(L985+Calc!$J$2:$J$1001))&lt;Calc!$F$2:$F$1001)*((K985+O985)-(L985+Calc!$J$2:$J$1001))+(((K985+O985)-(L985+Calc!$J$2:$J$1001))&gt;=Calc!$F$2:$F$1001)*Calc!$F$2:$F$1001))))</f>
        <v/>
      </c>
      <c r="T985">
        <f>IF(AND(E985=1,B985="RETURN"),Transactions!E985*Transactions!G985,0)</f>
        <v/>
      </c>
      <c r="U985">
        <f>IF(AND(E985=1,B985="EXPENSE"),Transactions!J985,0)</f>
        <v/>
      </c>
      <c r="V985">
        <f>IF(AND(Transactions!A985&lt;&gt;"",E985=0),ROW(),"")</f>
        <v/>
      </c>
      <c r="W985">
        <f>IFERROR(VLOOKUP(A985,Opening!$A:$D,4,0),0)</f>
        <v/>
      </c>
    </row>
    <row r="986">
      <c r="A986">
        <f>IF(Transactions!D986="","",UPPER(TRIM(Transactions!D986)))</f>
        <v/>
      </c>
      <c r="B986">
        <f>IF(Transactions!C986="","",UPPER(TRIM(Transactions!C986)))</f>
        <v/>
      </c>
      <c r="C986">
        <f>IF(Transactions!B986="",0,YEAR(Transactions!B986)*100+MONTH(Transactions!B986))</f>
        <v/>
      </c>
      <c r="D986">
        <f>IF(Transactions!A986="",1,IF(COUNTIF(Transactions!$A$1:A985,Transactions!A986)&gt;0,1,0))</f>
        <v/>
      </c>
      <c r="E986">
        <f>IF(D986=1,0,IF(B986="RETURN",IF(COUNTIFS($A$1:A985,A986,$B$1:B985,"SALE",$E$1:E985,1)&gt;0,1,0),1))</f>
        <v/>
      </c>
      <c r="F986">
        <f>IF(E986=1,IF(B986="RECEIPT",Transactions!E986,IF(AND(B986="RETURN",LOWER(TRIM(Transactions!H986))="resellable"),Transactions!E986,0)),0)</f>
        <v/>
      </c>
      <c r="G986">
        <f>IF(F986&gt;0,IF(B986="RECEIPT",Transactions!F986,IF(_xlfn.MAXIFS($H$2:H986,$A$2:A986,A986)&gt;0,INDEX(Transactions!$F:$F,_xlfn.MAXIFS($H$2:H986,$A$2:A986,A986)),W986)),0)</f>
        <v/>
      </c>
      <c r="H986">
        <f>IF(AND(E986=1,B986="RECEIPT"),ROW(),0)</f>
        <v/>
      </c>
      <c r="I986">
        <f>IF(E986=1,IF(OR(B986="SALE",B986="WRITEOFF"),Transactions!E986,0),0)</f>
        <v/>
      </c>
      <c r="J986">
        <f>SUMIFS($F$1:F985,$A$1:A985,A986)</f>
        <v/>
      </c>
      <c r="K986">
        <f>SUMIFS($I$1:I985,$A$1:A985,A986)</f>
        <v/>
      </c>
      <c r="L986">
        <f>IFERROR(VLOOKUP(A986,Opening!$A:$C,3,0),0)</f>
        <v/>
      </c>
      <c r="M986">
        <f>IF(I986=0,0,MAX(0,MIN(INDEX(Month!H$2:H$13,MATCH($A986,Month!$A$2:$A$13,0))-K986,I986)))</f>
        <v/>
      </c>
      <c r="N986">
        <f>IF(I986=0,0,MAX(0,MIN(INDEX(Month!I$2:I$13,MATCH($A986,Month!$A$2:$A$13,0))-K986,I986)))</f>
        <v/>
      </c>
      <c r="O986">
        <f>IF(I986=0,0,MAX(0,MIN(INDEX(Month!J$2:J$13,MATCH($A986,Month!$A$2:$A$13,0))-K986,I986)))</f>
        <v/>
      </c>
      <c r="P986">
        <f>IF(I986=0,0,(MIN(MAX(K986,0),L986)*W986+SUMPRODUCT((Calc!$A$2:$A$1001=A986)*Calc!$G$2:$G$1001*(((K986-(L986+Calc!$J$2:$J$1001))&gt;0)*((K986-(L986+Calc!$J$2:$J$1001))&lt;Calc!$F$2:$F$1001)*(K986-(L986+Calc!$J$2:$J$1001))+((K986-(L986+Calc!$J$2:$J$1001))&gt;=Calc!$F$2:$F$1001)*Calc!$F$2:$F$1001))))</f>
        <v/>
      </c>
      <c r="Q986">
        <f>IF(I986=0,0,(MIN(MAX((K986+M986),0),L986)*W986+SUMPRODUCT((Calc!$A$2:$A$1001=A986)*Calc!$G$2:$G$1001*((((K986+M986)-(L986+Calc!$J$2:$J$1001))&gt;0)*(((K986+M986)-(L986+Calc!$J$2:$J$1001))&lt;Calc!$F$2:$F$1001)*((K986+M986)-(L986+Calc!$J$2:$J$1001))+(((K986+M986)-(L986+Calc!$J$2:$J$1001))&gt;=Calc!$F$2:$F$1001)*Calc!$F$2:$F$1001))))</f>
        <v/>
      </c>
      <c r="R986">
        <f>IF(I986=0,0,(MIN(MAX((K986+N986),0),L986)*W986+SUMPRODUCT((Calc!$A$2:$A$1001=A986)*Calc!$G$2:$G$1001*((((K986+N986)-(L986+Calc!$J$2:$J$1001))&gt;0)*(((K986+N986)-(L986+Calc!$J$2:$J$1001))&lt;Calc!$F$2:$F$1001)*((K986+N986)-(L986+Calc!$J$2:$J$1001))+(((K986+N986)-(L986+Calc!$J$2:$J$1001))&gt;=Calc!$F$2:$F$1001)*Calc!$F$2:$F$1001))))</f>
        <v/>
      </c>
      <c r="S986">
        <f>IF(I986=0,0,(MIN(MAX((K986+O986),0),L986)*W986+SUMPRODUCT((Calc!$A$2:$A$1001=A986)*Calc!$G$2:$G$1001*((((K986+O986)-(L986+Calc!$J$2:$J$1001))&gt;0)*(((K986+O986)-(L986+Calc!$J$2:$J$1001))&lt;Calc!$F$2:$F$1001)*((K986+O986)-(L986+Calc!$J$2:$J$1001))+(((K986+O986)-(L986+Calc!$J$2:$J$1001))&gt;=Calc!$F$2:$F$1001)*Calc!$F$2:$F$1001))))</f>
        <v/>
      </c>
      <c r="T986">
        <f>IF(AND(E986=1,B986="RETURN"),Transactions!E986*Transactions!G986,0)</f>
        <v/>
      </c>
      <c r="U986">
        <f>IF(AND(E986=1,B986="EXPENSE"),Transactions!J986,0)</f>
        <v/>
      </c>
      <c r="V986">
        <f>IF(AND(Transactions!A986&lt;&gt;"",E986=0),ROW(),"")</f>
        <v/>
      </c>
      <c r="W986">
        <f>IFERROR(VLOOKUP(A986,Opening!$A:$D,4,0),0)</f>
        <v/>
      </c>
    </row>
    <row r="987">
      <c r="A987">
        <f>IF(Transactions!D987="","",UPPER(TRIM(Transactions!D987)))</f>
        <v/>
      </c>
      <c r="B987">
        <f>IF(Transactions!C987="","",UPPER(TRIM(Transactions!C987)))</f>
        <v/>
      </c>
      <c r="C987">
        <f>IF(Transactions!B987="",0,YEAR(Transactions!B987)*100+MONTH(Transactions!B987))</f>
        <v/>
      </c>
      <c r="D987">
        <f>IF(Transactions!A987="",1,IF(COUNTIF(Transactions!$A$1:A986,Transactions!A987)&gt;0,1,0))</f>
        <v/>
      </c>
      <c r="E987">
        <f>IF(D987=1,0,IF(B987="RETURN",IF(COUNTIFS($A$1:A986,A987,$B$1:B986,"SALE",$E$1:E986,1)&gt;0,1,0),1))</f>
        <v/>
      </c>
      <c r="F987">
        <f>IF(E987=1,IF(B987="RECEIPT",Transactions!E987,IF(AND(B987="RETURN",LOWER(TRIM(Transactions!H987))="resellable"),Transactions!E987,0)),0)</f>
        <v/>
      </c>
      <c r="G987">
        <f>IF(F987&gt;0,IF(B987="RECEIPT",Transactions!F987,IF(_xlfn.MAXIFS($H$2:H987,$A$2:A987,A987)&gt;0,INDEX(Transactions!$F:$F,_xlfn.MAXIFS($H$2:H987,$A$2:A987,A987)),W987)),0)</f>
        <v/>
      </c>
      <c r="H987">
        <f>IF(AND(E987=1,B987="RECEIPT"),ROW(),0)</f>
        <v/>
      </c>
      <c r="I987">
        <f>IF(E987=1,IF(OR(B987="SALE",B987="WRITEOFF"),Transactions!E987,0),0)</f>
        <v/>
      </c>
      <c r="J987">
        <f>SUMIFS($F$1:F986,$A$1:A986,A987)</f>
        <v/>
      </c>
      <c r="K987">
        <f>SUMIFS($I$1:I986,$A$1:A986,A987)</f>
        <v/>
      </c>
      <c r="L987">
        <f>IFERROR(VLOOKUP(A987,Opening!$A:$C,3,0),0)</f>
        <v/>
      </c>
      <c r="M987">
        <f>IF(I987=0,0,MAX(0,MIN(INDEX(Month!H$2:H$13,MATCH($A987,Month!$A$2:$A$13,0))-K987,I987)))</f>
        <v/>
      </c>
      <c r="N987">
        <f>IF(I987=0,0,MAX(0,MIN(INDEX(Month!I$2:I$13,MATCH($A987,Month!$A$2:$A$13,0))-K987,I987)))</f>
        <v/>
      </c>
      <c r="O987">
        <f>IF(I987=0,0,MAX(0,MIN(INDEX(Month!J$2:J$13,MATCH($A987,Month!$A$2:$A$13,0))-K987,I987)))</f>
        <v/>
      </c>
      <c r="P987">
        <f>IF(I987=0,0,(MIN(MAX(K987,0),L987)*W987+SUMPRODUCT((Calc!$A$2:$A$1001=A987)*Calc!$G$2:$G$1001*(((K987-(L987+Calc!$J$2:$J$1001))&gt;0)*((K987-(L987+Calc!$J$2:$J$1001))&lt;Calc!$F$2:$F$1001)*(K987-(L987+Calc!$J$2:$J$1001))+((K987-(L987+Calc!$J$2:$J$1001))&gt;=Calc!$F$2:$F$1001)*Calc!$F$2:$F$1001))))</f>
        <v/>
      </c>
      <c r="Q987">
        <f>IF(I987=0,0,(MIN(MAX((K987+M987),0),L987)*W987+SUMPRODUCT((Calc!$A$2:$A$1001=A987)*Calc!$G$2:$G$1001*((((K987+M987)-(L987+Calc!$J$2:$J$1001))&gt;0)*(((K987+M987)-(L987+Calc!$J$2:$J$1001))&lt;Calc!$F$2:$F$1001)*((K987+M987)-(L987+Calc!$J$2:$J$1001))+(((K987+M987)-(L987+Calc!$J$2:$J$1001))&gt;=Calc!$F$2:$F$1001)*Calc!$F$2:$F$1001))))</f>
        <v/>
      </c>
      <c r="R987">
        <f>IF(I987=0,0,(MIN(MAX((K987+N987),0),L987)*W987+SUMPRODUCT((Calc!$A$2:$A$1001=A987)*Calc!$G$2:$G$1001*((((K987+N987)-(L987+Calc!$J$2:$J$1001))&gt;0)*(((K987+N987)-(L987+Calc!$J$2:$J$1001))&lt;Calc!$F$2:$F$1001)*((K987+N987)-(L987+Calc!$J$2:$J$1001))+(((K987+N987)-(L987+Calc!$J$2:$J$1001))&gt;=Calc!$F$2:$F$1001)*Calc!$F$2:$F$1001))))</f>
        <v/>
      </c>
      <c r="S987">
        <f>IF(I987=0,0,(MIN(MAX((K987+O987),0),L987)*W987+SUMPRODUCT((Calc!$A$2:$A$1001=A987)*Calc!$G$2:$G$1001*((((K987+O987)-(L987+Calc!$J$2:$J$1001))&gt;0)*(((K987+O987)-(L987+Calc!$J$2:$J$1001))&lt;Calc!$F$2:$F$1001)*((K987+O987)-(L987+Calc!$J$2:$J$1001))+(((K987+O987)-(L987+Calc!$J$2:$J$1001))&gt;=Calc!$F$2:$F$1001)*Calc!$F$2:$F$1001))))</f>
        <v/>
      </c>
      <c r="T987">
        <f>IF(AND(E987=1,B987="RETURN"),Transactions!E987*Transactions!G987,0)</f>
        <v/>
      </c>
      <c r="U987">
        <f>IF(AND(E987=1,B987="EXPENSE"),Transactions!J987,0)</f>
        <v/>
      </c>
      <c r="V987">
        <f>IF(AND(Transactions!A987&lt;&gt;"",E987=0),ROW(),"")</f>
        <v/>
      </c>
      <c r="W987">
        <f>IFERROR(VLOOKUP(A987,Opening!$A:$D,4,0),0)</f>
        <v/>
      </c>
    </row>
    <row r="988">
      <c r="A988">
        <f>IF(Transactions!D988="","",UPPER(TRIM(Transactions!D988)))</f>
        <v/>
      </c>
      <c r="B988">
        <f>IF(Transactions!C988="","",UPPER(TRIM(Transactions!C988)))</f>
        <v/>
      </c>
      <c r="C988">
        <f>IF(Transactions!B988="",0,YEAR(Transactions!B988)*100+MONTH(Transactions!B988))</f>
        <v/>
      </c>
      <c r="D988">
        <f>IF(Transactions!A988="",1,IF(COUNTIF(Transactions!$A$1:A987,Transactions!A988)&gt;0,1,0))</f>
        <v/>
      </c>
      <c r="E988">
        <f>IF(D988=1,0,IF(B988="RETURN",IF(COUNTIFS($A$1:A987,A988,$B$1:B987,"SALE",$E$1:E987,1)&gt;0,1,0),1))</f>
        <v/>
      </c>
      <c r="F988">
        <f>IF(E988=1,IF(B988="RECEIPT",Transactions!E988,IF(AND(B988="RETURN",LOWER(TRIM(Transactions!H988))="resellable"),Transactions!E988,0)),0)</f>
        <v/>
      </c>
      <c r="G988">
        <f>IF(F988&gt;0,IF(B988="RECEIPT",Transactions!F988,IF(_xlfn.MAXIFS($H$2:H988,$A$2:A988,A988)&gt;0,INDEX(Transactions!$F:$F,_xlfn.MAXIFS($H$2:H988,$A$2:A988,A988)),W988)),0)</f>
        <v/>
      </c>
      <c r="H988">
        <f>IF(AND(E988=1,B988="RECEIPT"),ROW(),0)</f>
        <v/>
      </c>
      <c r="I988">
        <f>IF(E988=1,IF(OR(B988="SALE",B988="WRITEOFF"),Transactions!E988,0),0)</f>
        <v/>
      </c>
      <c r="J988">
        <f>SUMIFS($F$1:F987,$A$1:A987,A988)</f>
        <v/>
      </c>
      <c r="K988">
        <f>SUMIFS($I$1:I987,$A$1:A987,A988)</f>
        <v/>
      </c>
      <c r="L988">
        <f>IFERROR(VLOOKUP(A988,Opening!$A:$C,3,0),0)</f>
        <v/>
      </c>
      <c r="M988">
        <f>IF(I988=0,0,MAX(0,MIN(INDEX(Month!H$2:H$13,MATCH($A988,Month!$A$2:$A$13,0))-K988,I988)))</f>
        <v/>
      </c>
      <c r="N988">
        <f>IF(I988=0,0,MAX(0,MIN(INDEX(Month!I$2:I$13,MATCH($A988,Month!$A$2:$A$13,0))-K988,I988)))</f>
        <v/>
      </c>
      <c r="O988">
        <f>IF(I988=0,0,MAX(0,MIN(INDEX(Month!J$2:J$13,MATCH($A988,Month!$A$2:$A$13,0))-K988,I988)))</f>
        <v/>
      </c>
      <c r="P988">
        <f>IF(I988=0,0,(MIN(MAX(K988,0),L988)*W988+SUMPRODUCT((Calc!$A$2:$A$1001=A988)*Calc!$G$2:$G$1001*(((K988-(L988+Calc!$J$2:$J$1001))&gt;0)*((K988-(L988+Calc!$J$2:$J$1001))&lt;Calc!$F$2:$F$1001)*(K988-(L988+Calc!$J$2:$J$1001))+((K988-(L988+Calc!$J$2:$J$1001))&gt;=Calc!$F$2:$F$1001)*Calc!$F$2:$F$1001))))</f>
        <v/>
      </c>
      <c r="Q988">
        <f>IF(I988=0,0,(MIN(MAX((K988+M988),0),L988)*W988+SUMPRODUCT((Calc!$A$2:$A$1001=A988)*Calc!$G$2:$G$1001*((((K988+M988)-(L988+Calc!$J$2:$J$1001))&gt;0)*(((K988+M988)-(L988+Calc!$J$2:$J$1001))&lt;Calc!$F$2:$F$1001)*((K988+M988)-(L988+Calc!$J$2:$J$1001))+(((K988+M988)-(L988+Calc!$J$2:$J$1001))&gt;=Calc!$F$2:$F$1001)*Calc!$F$2:$F$1001))))</f>
        <v/>
      </c>
      <c r="R988">
        <f>IF(I988=0,0,(MIN(MAX((K988+N988),0),L988)*W988+SUMPRODUCT((Calc!$A$2:$A$1001=A988)*Calc!$G$2:$G$1001*((((K988+N988)-(L988+Calc!$J$2:$J$1001))&gt;0)*(((K988+N988)-(L988+Calc!$J$2:$J$1001))&lt;Calc!$F$2:$F$1001)*((K988+N988)-(L988+Calc!$J$2:$J$1001))+(((K988+N988)-(L988+Calc!$J$2:$J$1001))&gt;=Calc!$F$2:$F$1001)*Calc!$F$2:$F$1001))))</f>
        <v/>
      </c>
      <c r="S988">
        <f>IF(I988=0,0,(MIN(MAX((K988+O988),0),L988)*W988+SUMPRODUCT((Calc!$A$2:$A$1001=A988)*Calc!$G$2:$G$1001*((((K988+O988)-(L988+Calc!$J$2:$J$1001))&gt;0)*(((K988+O988)-(L988+Calc!$J$2:$J$1001))&lt;Calc!$F$2:$F$1001)*((K988+O988)-(L988+Calc!$J$2:$J$1001))+(((K988+O988)-(L988+Calc!$J$2:$J$1001))&gt;=Calc!$F$2:$F$1001)*Calc!$F$2:$F$1001))))</f>
        <v/>
      </c>
      <c r="T988">
        <f>IF(AND(E988=1,B988="RETURN"),Transactions!E988*Transactions!G988,0)</f>
        <v/>
      </c>
      <c r="U988">
        <f>IF(AND(E988=1,B988="EXPENSE"),Transactions!J988,0)</f>
        <v/>
      </c>
      <c r="V988">
        <f>IF(AND(Transactions!A988&lt;&gt;"",E988=0),ROW(),"")</f>
        <v/>
      </c>
      <c r="W988">
        <f>IFERROR(VLOOKUP(A988,Opening!$A:$D,4,0),0)</f>
        <v/>
      </c>
    </row>
    <row r="989">
      <c r="A989">
        <f>IF(Transactions!D989="","",UPPER(TRIM(Transactions!D989)))</f>
        <v/>
      </c>
      <c r="B989">
        <f>IF(Transactions!C989="","",UPPER(TRIM(Transactions!C989)))</f>
        <v/>
      </c>
      <c r="C989">
        <f>IF(Transactions!B989="",0,YEAR(Transactions!B989)*100+MONTH(Transactions!B989))</f>
        <v/>
      </c>
      <c r="D989">
        <f>IF(Transactions!A989="",1,IF(COUNTIF(Transactions!$A$1:A988,Transactions!A989)&gt;0,1,0))</f>
        <v/>
      </c>
      <c r="E989">
        <f>IF(D989=1,0,IF(B989="RETURN",IF(COUNTIFS($A$1:A988,A989,$B$1:B988,"SALE",$E$1:E988,1)&gt;0,1,0),1))</f>
        <v/>
      </c>
      <c r="F989">
        <f>IF(E989=1,IF(B989="RECEIPT",Transactions!E989,IF(AND(B989="RETURN",LOWER(TRIM(Transactions!H989))="resellable"),Transactions!E989,0)),0)</f>
        <v/>
      </c>
      <c r="G989">
        <f>IF(F989&gt;0,IF(B989="RECEIPT",Transactions!F989,IF(_xlfn.MAXIFS($H$2:H989,$A$2:A989,A989)&gt;0,INDEX(Transactions!$F:$F,_xlfn.MAXIFS($H$2:H989,$A$2:A989,A989)),W989)),0)</f>
        <v/>
      </c>
      <c r="H989">
        <f>IF(AND(E989=1,B989="RECEIPT"),ROW(),0)</f>
        <v/>
      </c>
      <c r="I989">
        <f>IF(E989=1,IF(OR(B989="SALE",B989="WRITEOFF"),Transactions!E989,0),0)</f>
        <v/>
      </c>
      <c r="J989">
        <f>SUMIFS($F$1:F988,$A$1:A988,A989)</f>
        <v/>
      </c>
      <c r="K989">
        <f>SUMIFS($I$1:I988,$A$1:A988,A989)</f>
        <v/>
      </c>
      <c r="L989">
        <f>IFERROR(VLOOKUP(A989,Opening!$A:$C,3,0),0)</f>
        <v/>
      </c>
      <c r="M989">
        <f>IF(I989=0,0,MAX(0,MIN(INDEX(Month!H$2:H$13,MATCH($A989,Month!$A$2:$A$13,0))-K989,I989)))</f>
        <v/>
      </c>
      <c r="N989">
        <f>IF(I989=0,0,MAX(0,MIN(INDEX(Month!I$2:I$13,MATCH($A989,Month!$A$2:$A$13,0))-K989,I989)))</f>
        <v/>
      </c>
      <c r="O989">
        <f>IF(I989=0,0,MAX(0,MIN(INDEX(Month!J$2:J$13,MATCH($A989,Month!$A$2:$A$13,0))-K989,I989)))</f>
        <v/>
      </c>
      <c r="P989">
        <f>IF(I989=0,0,(MIN(MAX(K989,0),L989)*W989+SUMPRODUCT((Calc!$A$2:$A$1001=A989)*Calc!$G$2:$G$1001*(((K989-(L989+Calc!$J$2:$J$1001))&gt;0)*((K989-(L989+Calc!$J$2:$J$1001))&lt;Calc!$F$2:$F$1001)*(K989-(L989+Calc!$J$2:$J$1001))+((K989-(L989+Calc!$J$2:$J$1001))&gt;=Calc!$F$2:$F$1001)*Calc!$F$2:$F$1001))))</f>
        <v/>
      </c>
      <c r="Q989">
        <f>IF(I989=0,0,(MIN(MAX((K989+M989),0),L989)*W989+SUMPRODUCT((Calc!$A$2:$A$1001=A989)*Calc!$G$2:$G$1001*((((K989+M989)-(L989+Calc!$J$2:$J$1001))&gt;0)*(((K989+M989)-(L989+Calc!$J$2:$J$1001))&lt;Calc!$F$2:$F$1001)*((K989+M989)-(L989+Calc!$J$2:$J$1001))+(((K989+M989)-(L989+Calc!$J$2:$J$1001))&gt;=Calc!$F$2:$F$1001)*Calc!$F$2:$F$1001))))</f>
        <v/>
      </c>
      <c r="R989">
        <f>IF(I989=0,0,(MIN(MAX((K989+N989),0),L989)*W989+SUMPRODUCT((Calc!$A$2:$A$1001=A989)*Calc!$G$2:$G$1001*((((K989+N989)-(L989+Calc!$J$2:$J$1001))&gt;0)*(((K989+N989)-(L989+Calc!$J$2:$J$1001))&lt;Calc!$F$2:$F$1001)*((K989+N989)-(L989+Calc!$J$2:$J$1001))+(((K989+N989)-(L989+Calc!$J$2:$J$1001))&gt;=Calc!$F$2:$F$1001)*Calc!$F$2:$F$1001))))</f>
        <v/>
      </c>
      <c r="S989">
        <f>IF(I989=0,0,(MIN(MAX((K989+O989),0),L989)*W989+SUMPRODUCT((Calc!$A$2:$A$1001=A989)*Calc!$G$2:$G$1001*((((K989+O989)-(L989+Calc!$J$2:$J$1001))&gt;0)*(((K989+O989)-(L989+Calc!$J$2:$J$1001))&lt;Calc!$F$2:$F$1001)*((K989+O989)-(L989+Calc!$J$2:$J$1001))+(((K989+O989)-(L989+Calc!$J$2:$J$1001))&gt;=Calc!$F$2:$F$1001)*Calc!$F$2:$F$1001))))</f>
        <v/>
      </c>
      <c r="T989">
        <f>IF(AND(E989=1,B989="RETURN"),Transactions!E989*Transactions!G989,0)</f>
        <v/>
      </c>
      <c r="U989">
        <f>IF(AND(E989=1,B989="EXPENSE"),Transactions!J989,0)</f>
        <v/>
      </c>
      <c r="V989">
        <f>IF(AND(Transactions!A989&lt;&gt;"",E989=0),ROW(),"")</f>
        <v/>
      </c>
      <c r="W989">
        <f>IFERROR(VLOOKUP(A989,Opening!$A:$D,4,0),0)</f>
        <v/>
      </c>
    </row>
    <row r="990">
      <c r="A990">
        <f>IF(Transactions!D990="","",UPPER(TRIM(Transactions!D990)))</f>
        <v/>
      </c>
      <c r="B990">
        <f>IF(Transactions!C990="","",UPPER(TRIM(Transactions!C990)))</f>
        <v/>
      </c>
      <c r="C990">
        <f>IF(Transactions!B990="",0,YEAR(Transactions!B990)*100+MONTH(Transactions!B990))</f>
        <v/>
      </c>
      <c r="D990">
        <f>IF(Transactions!A990="",1,IF(COUNTIF(Transactions!$A$1:A989,Transactions!A990)&gt;0,1,0))</f>
        <v/>
      </c>
      <c r="E990">
        <f>IF(D990=1,0,IF(B990="RETURN",IF(COUNTIFS($A$1:A989,A990,$B$1:B989,"SALE",$E$1:E989,1)&gt;0,1,0),1))</f>
        <v/>
      </c>
      <c r="F990">
        <f>IF(E990=1,IF(B990="RECEIPT",Transactions!E990,IF(AND(B990="RETURN",LOWER(TRIM(Transactions!H990))="resellable"),Transactions!E990,0)),0)</f>
        <v/>
      </c>
      <c r="G990">
        <f>IF(F990&gt;0,IF(B990="RECEIPT",Transactions!F990,IF(_xlfn.MAXIFS($H$2:H990,$A$2:A990,A990)&gt;0,INDEX(Transactions!$F:$F,_xlfn.MAXIFS($H$2:H990,$A$2:A990,A990)),W990)),0)</f>
        <v/>
      </c>
      <c r="H990">
        <f>IF(AND(E990=1,B990="RECEIPT"),ROW(),0)</f>
        <v/>
      </c>
      <c r="I990">
        <f>IF(E990=1,IF(OR(B990="SALE",B990="WRITEOFF"),Transactions!E990,0),0)</f>
        <v/>
      </c>
      <c r="J990">
        <f>SUMIFS($F$1:F989,$A$1:A989,A990)</f>
        <v/>
      </c>
      <c r="K990">
        <f>SUMIFS($I$1:I989,$A$1:A989,A990)</f>
        <v/>
      </c>
      <c r="L990">
        <f>IFERROR(VLOOKUP(A990,Opening!$A:$C,3,0),0)</f>
        <v/>
      </c>
      <c r="M990">
        <f>IF(I990=0,0,MAX(0,MIN(INDEX(Month!H$2:H$13,MATCH($A990,Month!$A$2:$A$13,0))-K990,I990)))</f>
        <v/>
      </c>
      <c r="N990">
        <f>IF(I990=0,0,MAX(0,MIN(INDEX(Month!I$2:I$13,MATCH($A990,Month!$A$2:$A$13,0))-K990,I990)))</f>
        <v/>
      </c>
      <c r="O990">
        <f>IF(I990=0,0,MAX(0,MIN(INDEX(Month!J$2:J$13,MATCH($A990,Month!$A$2:$A$13,0))-K990,I990)))</f>
        <v/>
      </c>
      <c r="P990">
        <f>IF(I990=0,0,(MIN(MAX(K990,0),L990)*W990+SUMPRODUCT((Calc!$A$2:$A$1001=A990)*Calc!$G$2:$G$1001*(((K990-(L990+Calc!$J$2:$J$1001))&gt;0)*((K990-(L990+Calc!$J$2:$J$1001))&lt;Calc!$F$2:$F$1001)*(K990-(L990+Calc!$J$2:$J$1001))+((K990-(L990+Calc!$J$2:$J$1001))&gt;=Calc!$F$2:$F$1001)*Calc!$F$2:$F$1001))))</f>
        <v/>
      </c>
      <c r="Q990">
        <f>IF(I990=0,0,(MIN(MAX((K990+M990),0),L990)*W990+SUMPRODUCT((Calc!$A$2:$A$1001=A990)*Calc!$G$2:$G$1001*((((K990+M990)-(L990+Calc!$J$2:$J$1001))&gt;0)*(((K990+M990)-(L990+Calc!$J$2:$J$1001))&lt;Calc!$F$2:$F$1001)*((K990+M990)-(L990+Calc!$J$2:$J$1001))+(((K990+M990)-(L990+Calc!$J$2:$J$1001))&gt;=Calc!$F$2:$F$1001)*Calc!$F$2:$F$1001))))</f>
        <v/>
      </c>
      <c r="R990">
        <f>IF(I990=0,0,(MIN(MAX((K990+N990),0),L990)*W990+SUMPRODUCT((Calc!$A$2:$A$1001=A990)*Calc!$G$2:$G$1001*((((K990+N990)-(L990+Calc!$J$2:$J$1001))&gt;0)*(((K990+N990)-(L990+Calc!$J$2:$J$1001))&lt;Calc!$F$2:$F$1001)*((K990+N990)-(L990+Calc!$J$2:$J$1001))+(((K990+N990)-(L990+Calc!$J$2:$J$1001))&gt;=Calc!$F$2:$F$1001)*Calc!$F$2:$F$1001))))</f>
        <v/>
      </c>
      <c r="S990">
        <f>IF(I990=0,0,(MIN(MAX((K990+O990),0),L990)*W990+SUMPRODUCT((Calc!$A$2:$A$1001=A990)*Calc!$G$2:$G$1001*((((K990+O990)-(L990+Calc!$J$2:$J$1001))&gt;0)*(((K990+O990)-(L990+Calc!$J$2:$J$1001))&lt;Calc!$F$2:$F$1001)*((K990+O990)-(L990+Calc!$J$2:$J$1001))+(((K990+O990)-(L990+Calc!$J$2:$J$1001))&gt;=Calc!$F$2:$F$1001)*Calc!$F$2:$F$1001))))</f>
        <v/>
      </c>
      <c r="T990">
        <f>IF(AND(E990=1,B990="RETURN"),Transactions!E990*Transactions!G990,0)</f>
        <v/>
      </c>
      <c r="U990">
        <f>IF(AND(E990=1,B990="EXPENSE"),Transactions!J990,0)</f>
        <v/>
      </c>
      <c r="V990">
        <f>IF(AND(Transactions!A990&lt;&gt;"",E990=0),ROW(),"")</f>
        <v/>
      </c>
      <c r="W990">
        <f>IFERROR(VLOOKUP(A990,Opening!$A:$D,4,0),0)</f>
        <v/>
      </c>
    </row>
    <row r="991">
      <c r="A991">
        <f>IF(Transactions!D991="","",UPPER(TRIM(Transactions!D991)))</f>
        <v/>
      </c>
      <c r="B991">
        <f>IF(Transactions!C991="","",UPPER(TRIM(Transactions!C991)))</f>
        <v/>
      </c>
      <c r="C991">
        <f>IF(Transactions!B991="",0,YEAR(Transactions!B991)*100+MONTH(Transactions!B991))</f>
        <v/>
      </c>
      <c r="D991">
        <f>IF(Transactions!A991="",1,IF(COUNTIF(Transactions!$A$1:A990,Transactions!A991)&gt;0,1,0))</f>
        <v/>
      </c>
      <c r="E991">
        <f>IF(D991=1,0,IF(B991="RETURN",IF(COUNTIFS($A$1:A990,A991,$B$1:B990,"SALE",$E$1:E990,1)&gt;0,1,0),1))</f>
        <v/>
      </c>
      <c r="F991">
        <f>IF(E991=1,IF(B991="RECEIPT",Transactions!E991,IF(AND(B991="RETURN",LOWER(TRIM(Transactions!H991))="resellable"),Transactions!E991,0)),0)</f>
        <v/>
      </c>
      <c r="G991">
        <f>IF(F991&gt;0,IF(B991="RECEIPT",Transactions!F991,IF(_xlfn.MAXIFS($H$2:H991,$A$2:A991,A991)&gt;0,INDEX(Transactions!$F:$F,_xlfn.MAXIFS($H$2:H991,$A$2:A991,A991)),W991)),0)</f>
        <v/>
      </c>
      <c r="H991">
        <f>IF(AND(E991=1,B991="RECEIPT"),ROW(),0)</f>
        <v/>
      </c>
      <c r="I991">
        <f>IF(E991=1,IF(OR(B991="SALE",B991="WRITEOFF"),Transactions!E991,0),0)</f>
        <v/>
      </c>
      <c r="J991">
        <f>SUMIFS($F$1:F990,$A$1:A990,A991)</f>
        <v/>
      </c>
      <c r="K991">
        <f>SUMIFS($I$1:I990,$A$1:A990,A991)</f>
        <v/>
      </c>
      <c r="L991">
        <f>IFERROR(VLOOKUP(A991,Opening!$A:$C,3,0),0)</f>
        <v/>
      </c>
      <c r="M991">
        <f>IF(I991=0,0,MAX(0,MIN(INDEX(Month!H$2:H$13,MATCH($A991,Month!$A$2:$A$13,0))-K991,I991)))</f>
        <v/>
      </c>
      <c r="N991">
        <f>IF(I991=0,0,MAX(0,MIN(INDEX(Month!I$2:I$13,MATCH($A991,Month!$A$2:$A$13,0))-K991,I991)))</f>
        <v/>
      </c>
      <c r="O991">
        <f>IF(I991=0,0,MAX(0,MIN(INDEX(Month!J$2:J$13,MATCH($A991,Month!$A$2:$A$13,0))-K991,I991)))</f>
        <v/>
      </c>
      <c r="P991">
        <f>IF(I991=0,0,(MIN(MAX(K991,0),L991)*W991+SUMPRODUCT((Calc!$A$2:$A$1001=A991)*Calc!$G$2:$G$1001*(((K991-(L991+Calc!$J$2:$J$1001))&gt;0)*((K991-(L991+Calc!$J$2:$J$1001))&lt;Calc!$F$2:$F$1001)*(K991-(L991+Calc!$J$2:$J$1001))+((K991-(L991+Calc!$J$2:$J$1001))&gt;=Calc!$F$2:$F$1001)*Calc!$F$2:$F$1001))))</f>
        <v/>
      </c>
      <c r="Q991">
        <f>IF(I991=0,0,(MIN(MAX((K991+M991),0),L991)*W991+SUMPRODUCT((Calc!$A$2:$A$1001=A991)*Calc!$G$2:$G$1001*((((K991+M991)-(L991+Calc!$J$2:$J$1001))&gt;0)*(((K991+M991)-(L991+Calc!$J$2:$J$1001))&lt;Calc!$F$2:$F$1001)*((K991+M991)-(L991+Calc!$J$2:$J$1001))+(((K991+M991)-(L991+Calc!$J$2:$J$1001))&gt;=Calc!$F$2:$F$1001)*Calc!$F$2:$F$1001))))</f>
        <v/>
      </c>
      <c r="R991">
        <f>IF(I991=0,0,(MIN(MAX((K991+N991),0),L991)*W991+SUMPRODUCT((Calc!$A$2:$A$1001=A991)*Calc!$G$2:$G$1001*((((K991+N991)-(L991+Calc!$J$2:$J$1001))&gt;0)*(((K991+N991)-(L991+Calc!$J$2:$J$1001))&lt;Calc!$F$2:$F$1001)*((K991+N991)-(L991+Calc!$J$2:$J$1001))+(((K991+N991)-(L991+Calc!$J$2:$J$1001))&gt;=Calc!$F$2:$F$1001)*Calc!$F$2:$F$1001))))</f>
        <v/>
      </c>
      <c r="S991">
        <f>IF(I991=0,0,(MIN(MAX((K991+O991),0),L991)*W991+SUMPRODUCT((Calc!$A$2:$A$1001=A991)*Calc!$G$2:$G$1001*((((K991+O991)-(L991+Calc!$J$2:$J$1001))&gt;0)*(((K991+O991)-(L991+Calc!$J$2:$J$1001))&lt;Calc!$F$2:$F$1001)*((K991+O991)-(L991+Calc!$J$2:$J$1001))+(((K991+O991)-(L991+Calc!$J$2:$J$1001))&gt;=Calc!$F$2:$F$1001)*Calc!$F$2:$F$1001))))</f>
        <v/>
      </c>
      <c r="T991">
        <f>IF(AND(E991=1,B991="RETURN"),Transactions!E991*Transactions!G991,0)</f>
        <v/>
      </c>
      <c r="U991">
        <f>IF(AND(E991=1,B991="EXPENSE"),Transactions!J991,0)</f>
        <v/>
      </c>
      <c r="V991">
        <f>IF(AND(Transactions!A991&lt;&gt;"",E991=0),ROW(),"")</f>
        <v/>
      </c>
      <c r="W991">
        <f>IFERROR(VLOOKUP(A991,Opening!$A:$D,4,0),0)</f>
        <v/>
      </c>
    </row>
    <row r="992">
      <c r="A992">
        <f>IF(Transactions!D992="","",UPPER(TRIM(Transactions!D992)))</f>
        <v/>
      </c>
      <c r="B992">
        <f>IF(Transactions!C992="","",UPPER(TRIM(Transactions!C992)))</f>
        <v/>
      </c>
      <c r="C992">
        <f>IF(Transactions!B992="",0,YEAR(Transactions!B992)*100+MONTH(Transactions!B992))</f>
        <v/>
      </c>
      <c r="D992">
        <f>IF(Transactions!A992="",1,IF(COUNTIF(Transactions!$A$1:A991,Transactions!A992)&gt;0,1,0))</f>
        <v/>
      </c>
      <c r="E992">
        <f>IF(D992=1,0,IF(B992="RETURN",IF(COUNTIFS($A$1:A991,A992,$B$1:B991,"SALE",$E$1:E991,1)&gt;0,1,0),1))</f>
        <v/>
      </c>
      <c r="F992">
        <f>IF(E992=1,IF(B992="RECEIPT",Transactions!E992,IF(AND(B992="RETURN",LOWER(TRIM(Transactions!H992))="resellable"),Transactions!E992,0)),0)</f>
        <v/>
      </c>
      <c r="G992">
        <f>IF(F992&gt;0,IF(B992="RECEIPT",Transactions!F992,IF(_xlfn.MAXIFS($H$2:H992,$A$2:A992,A992)&gt;0,INDEX(Transactions!$F:$F,_xlfn.MAXIFS($H$2:H992,$A$2:A992,A992)),W992)),0)</f>
        <v/>
      </c>
      <c r="H992">
        <f>IF(AND(E992=1,B992="RECEIPT"),ROW(),0)</f>
        <v/>
      </c>
      <c r="I992">
        <f>IF(E992=1,IF(OR(B992="SALE",B992="WRITEOFF"),Transactions!E992,0),0)</f>
        <v/>
      </c>
      <c r="J992">
        <f>SUMIFS($F$1:F991,$A$1:A991,A992)</f>
        <v/>
      </c>
      <c r="K992">
        <f>SUMIFS($I$1:I991,$A$1:A991,A992)</f>
        <v/>
      </c>
      <c r="L992">
        <f>IFERROR(VLOOKUP(A992,Opening!$A:$C,3,0),0)</f>
        <v/>
      </c>
      <c r="M992">
        <f>IF(I992=0,0,MAX(0,MIN(INDEX(Month!H$2:H$13,MATCH($A992,Month!$A$2:$A$13,0))-K992,I992)))</f>
        <v/>
      </c>
      <c r="N992">
        <f>IF(I992=0,0,MAX(0,MIN(INDEX(Month!I$2:I$13,MATCH($A992,Month!$A$2:$A$13,0))-K992,I992)))</f>
        <v/>
      </c>
      <c r="O992">
        <f>IF(I992=0,0,MAX(0,MIN(INDEX(Month!J$2:J$13,MATCH($A992,Month!$A$2:$A$13,0))-K992,I992)))</f>
        <v/>
      </c>
      <c r="P992">
        <f>IF(I992=0,0,(MIN(MAX(K992,0),L992)*W992+SUMPRODUCT((Calc!$A$2:$A$1001=A992)*Calc!$G$2:$G$1001*(((K992-(L992+Calc!$J$2:$J$1001))&gt;0)*((K992-(L992+Calc!$J$2:$J$1001))&lt;Calc!$F$2:$F$1001)*(K992-(L992+Calc!$J$2:$J$1001))+((K992-(L992+Calc!$J$2:$J$1001))&gt;=Calc!$F$2:$F$1001)*Calc!$F$2:$F$1001))))</f>
        <v/>
      </c>
      <c r="Q992">
        <f>IF(I992=0,0,(MIN(MAX((K992+M992),0),L992)*W992+SUMPRODUCT((Calc!$A$2:$A$1001=A992)*Calc!$G$2:$G$1001*((((K992+M992)-(L992+Calc!$J$2:$J$1001))&gt;0)*(((K992+M992)-(L992+Calc!$J$2:$J$1001))&lt;Calc!$F$2:$F$1001)*((K992+M992)-(L992+Calc!$J$2:$J$1001))+(((K992+M992)-(L992+Calc!$J$2:$J$1001))&gt;=Calc!$F$2:$F$1001)*Calc!$F$2:$F$1001))))</f>
        <v/>
      </c>
      <c r="R992">
        <f>IF(I992=0,0,(MIN(MAX((K992+N992),0),L992)*W992+SUMPRODUCT((Calc!$A$2:$A$1001=A992)*Calc!$G$2:$G$1001*((((K992+N992)-(L992+Calc!$J$2:$J$1001))&gt;0)*(((K992+N992)-(L992+Calc!$J$2:$J$1001))&lt;Calc!$F$2:$F$1001)*((K992+N992)-(L992+Calc!$J$2:$J$1001))+(((K992+N992)-(L992+Calc!$J$2:$J$1001))&gt;=Calc!$F$2:$F$1001)*Calc!$F$2:$F$1001))))</f>
        <v/>
      </c>
      <c r="S992">
        <f>IF(I992=0,0,(MIN(MAX((K992+O992),0),L992)*W992+SUMPRODUCT((Calc!$A$2:$A$1001=A992)*Calc!$G$2:$G$1001*((((K992+O992)-(L992+Calc!$J$2:$J$1001))&gt;0)*(((K992+O992)-(L992+Calc!$J$2:$J$1001))&lt;Calc!$F$2:$F$1001)*((K992+O992)-(L992+Calc!$J$2:$J$1001))+(((K992+O992)-(L992+Calc!$J$2:$J$1001))&gt;=Calc!$F$2:$F$1001)*Calc!$F$2:$F$1001))))</f>
        <v/>
      </c>
      <c r="T992">
        <f>IF(AND(E992=1,B992="RETURN"),Transactions!E992*Transactions!G992,0)</f>
        <v/>
      </c>
      <c r="U992">
        <f>IF(AND(E992=1,B992="EXPENSE"),Transactions!J992,0)</f>
        <v/>
      </c>
      <c r="V992">
        <f>IF(AND(Transactions!A992&lt;&gt;"",E992=0),ROW(),"")</f>
        <v/>
      </c>
      <c r="W992">
        <f>IFERROR(VLOOKUP(A992,Opening!$A:$D,4,0),0)</f>
        <v/>
      </c>
    </row>
    <row r="993">
      <c r="A993">
        <f>IF(Transactions!D993="","",UPPER(TRIM(Transactions!D993)))</f>
        <v/>
      </c>
      <c r="B993">
        <f>IF(Transactions!C993="","",UPPER(TRIM(Transactions!C993)))</f>
        <v/>
      </c>
      <c r="C993">
        <f>IF(Transactions!B993="",0,YEAR(Transactions!B993)*100+MONTH(Transactions!B993))</f>
        <v/>
      </c>
      <c r="D993">
        <f>IF(Transactions!A993="",1,IF(COUNTIF(Transactions!$A$1:A992,Transactions!A993)&gt;0,1,0))</f>
        <v/>
      </c>
      <c r="E993">
        <f>IF(D993=1,0,IF(B993="RETURN",IF(COUNTIFS($A$1:A992,A993,$B$1:B992,"SALE",$E$1:E992,1)&gt;0,1,0),1))</f>
        <v/>
      </c>
      <c r="F993">
        <f>IF(E993=1,IF(B993="RECEIPT",Transactions!E993,IF(AND(B993="RETURN",LOWER(TRIM(Transactions!H993))="resellable"),Transactions!E993,0)),0)</f>
        <v/>
      </c>
      <c r="G993">
        <f>IF(F993&gt;0,IF(B993="RECEIPT",Transactions!F993,IF(_xlfn.MAXIFS($H$2:H993,$A$2:A993,A993)&gt;0,INDEX(Transactions!$F:$F,_xlfn.MAXIFS($H$2:H993,$A$2:A993,A993)),W993)),0)</f>
        <v/>
      </c>
      <c r="H993">
        <f>IF(AND(E993=1,B993="RECEIPT"),ROW(),0)</f>
        <v/>
      </c>
      <c r="I993">
        <f>IF(E993=1,IF(OR(B993="SALE",B993="WRITEOFF"),Transactions!E993,0),0)</f>
        <v/>
      </c>
      <c r="J993">
        <f>SUMIFS($F$1:F992,$A$1:A992,A993)</f>
        <v/>
      </c>
      <c r="K993">
        <f>SUMIFS($I$1:I992,$A$1:A992,A993)</f>
        <v/>
      </c>
      <c r="L993">
        <f>IFERROR(VLOOKUP(A993,Opening!$A:$C,3,0),0)</f>
        <v/>
      </c>
      <c r="M993">
        <f>IF(I993=0,0,MAX(0,MIN(INDEX(Month!H$2:H$13,MATCH($A993,Month!$A$2:$A$13,0))-K993,I993)))</f>
        <v/>
      </c>
      <c r="N993">
        <f>IF(I993=0,0,MAX(0,MIN(INDEX(Month!I$2:I$13,MATCH($A993,Month!$A$2:$A$13,0))-K993,I993)))</f>
        <v/>
      </c>
      <c r="O993">
        <f>IF(I993=0,0,MAX(0,MIN(INDEX(Month!J$2:J$13,MATCH($A993,Month!$A$2:$A$13,0))-K993,I993)))</f>
        <v/>
      </c>
      <c r="P993">
        <f>IF(I993=0,0,(MIN(MAX(K993,0),L993)*W993+SUMPRODUCT((Calc!$A$2:$A$1001=A993)*Calc!$G$2:$G$1001*(((K993-(L993+Calc!$J$2:$J$1001))&gt;0)*((K993-(L993+Calc!$J$2:$J$1001))&lt;Calc!$F$2:$F$1001)*(K993-(L993+Calc!$J$2:$J$1001))+((K993-(L993+Calc!$J$2:$J$1001))&gt;=Calc!$F$2:$F$1001)*Calc!$F$2:$F$1001))))</f>
        <v/>
      </c>
      <c r="Q993">
        <f>IF(I993=0,0,(MIN(MAX((K993+M993),0),L993)*W993+SUMPRODUCT((Calc!$A$2:$A$1001=A993)*Calc!$G$2:$G$1001*((((K993+M993)-(L993+Calc!$J$2:$J$1001))&gt;0)*(((K993+M993)-(L993+Calc!$J$2:$J$1001))&lt;Calc!$F$2:$F$1001)*((K993+M993)-(L993+Calc!$J$2:$J$1001))+(((K993+M993)-(L993+Calc!$J$2:$J$1001))&gt;=Calc!$F$2:$F$1001)*Calc!$F$2:$F$1001))))</f>
        <v/>
      </c>
      <c r="R993">
        <f>IF(I993=0,0,(MIN(MAX((K993+N993),0),L993)*W993+SUMPRODUCT((Calc!$A$2:$A$1001=A993)*Calc!$G$2:$G$1001*((((K993+N993)-(L993+Calc!$J$2:$J$1001))&gt;0)*(((K993+N993)-(L993+Calc!$J$2:$J$1001))&lt;Calc!$F$2:$F$1001)*((K993+N993)-(L993+Calc!$J$2:$J$1001))+(((K993+N993)-(L993+Calc!$J$2:$J$1001))&gt;=Calc!$F$2:$F$1001)*Calc!$F$2:$F$1001))))</f>
        <v/>
      </c>
      <c r="S993">
        <f>IF(I993=0,0,(MIN(MAX((K993+O993),0),L993)*W993+SUMPRODUCT((Calc!$A$2:$A$1001=A993)*Calc!$G$2:$G$1001*((((K993+O993)-(L993+Calc!$J$2:$J$1001))&gt;0)*(((K993+O993)-(L993+Calc!$J$2:$J$1001))&lt;Calc!$F$2:$F$1001)*((K993+O993)-(L993+Calc!$J$2:$J$1001))+(((K993+O993)-(L993+Calc!$J$2:$J$1001))&gt;=Calc!$F$2:$F$1001)*Calc!$F$2:$F$1001))))</f>
        <v/>
      </c>
      <c r="T993">
        <f>IF(AND(E993=1,B993="RETURN"),Transactions!E993*Transactions!G993,0)</f>
        <v/>
      </c>
      <c r="U993">
        <f>IF(AND(E993=1,B993="EXPENSE"),Transactions!J993,0)</f>
        <v/>
      </c>
      <c r="V993">
        <f>IF(AND(Transactions!A993&lt;&gt;"",E993=0),ROW(),"")</f>
        <v/>
      </c>
      <c r="W993">
        <f>IFERROR(VLOOKUP(A993,Opening!$A:$D,4,0),0)</f>
        <v/>
      </c>
    </row>
    <row r="994">
      <c r="A994">
        <f>IF(Transactions!D994="","",UPPER(TRIM(Transactions!D994)))</f>
        <v/>
      </c>
      <c r="B994">
        <f>IF(Transactions!C994="","",UPPER(TRIM(Transactions!C994)))</f>
        <v/>
      </c>
      <c r="C994">
        <f>IF(Transactions!B994="",0,YEAR(Transactions!B994)*100+MONTH(Transactions!B994))</f>
        <v/>
      </c>
      <c r="D994">
        <f>IF(Transactions!A994="",1,IF(COUNTIF(Transactions!$A$1:A993,Transactions!A994)&gt;0,1,0))</f>
        <v/>
      </c>
      <c r="E994">
        <f>IF(D994=1,0,IF(B994="RETURN",IF(COUNTIFS($A$1:A993,A994,$B$1:B993,"SALE",$E$1:E993,1)&gt;0,1,0),1))</f>
        <v/>
      </c>
      <c r="F994">
        <f>IF(E994=1,IF(B994="RECEIPT",Transactions!E994,IF(AND(B994="RETURN",LOWER(TRIM(Transactions!H994))="resellable"),Transactions!E994,0)),0)</f>
        <v/>
      </c>
      <c r="G994">
        <f>IF(F994&gt;0,IF(B994="RECEIPT",Transactions!F994,IF(_xlfn.MAXIFS($H$2:H994,$A$2:A994,A994)&gt;0,INDEX(Transactions!$F:$F,_xlfn.MAXIFS($H$2:H994,$A$2:A994,A994)),W994)),0)</f>
        <v/>
      </c>
      <c r="H994">
        <f>IF(AND(E994=1,B994="RECEIPT"),ROW(),0)</f>
        <v/>
      </c>
      <c r="I994">
        <f>IF(E994=1,IF(OR(B994="SALE",B994="WRITEOFF"),Transactions!E994,0),0)</f>
        <v/>
      </c>
      <c r="J994">
        <f>SUMIFS($F$1:F993,$A$1:A993,A994)</f>
        <v/>
      </c>
      <c r="K994">
        <f>SUMIFS($I$1:I993,$A$1:A993,A994)</f>
        <v/>
      </c>
      <c r="L994">
        <f>IFERROR(VLOOKUP(A994,Opening!$A:$C,3,0),0)</f>
        <v/>
      </c>
      <c r="M994">
        <f>IF(I994=0,0,MAX(0,MIN(INDEX(Month!H$2:H$13,MATCH($A994,Month!$A$2:$A$13,0))-K994,I994)))</f>
        <v/>
      </c>
      <c r="N994">
        <f>IF(I994=0,0,MAX(0,MIN(INDEX(Month!I$2:I$13,MATCH($A994,Month!$A$2:$A$13,0))-K994,I994)))</f>
        <v/>
      </c>
      <c r="O994">
        <f>IF(I994=0,0,MAX(0,MIN(INDEX(Month!J$2:J$13,MATCH($A994,Month!$A$2:$A$13,0))-K994,I994)))</f>
        <v/>
      </c>
      <c r="P994">
        <f>IF(I994=0,0,(MIN(MAX(K994,0),L994)*W994+SUMPRODUCT((Calc!$A$2:$A$1001=A994)*Calc!$G$2:$G$1001*(((K994-(L994+Calc!$J$2:$J$1001))&gt;0)*((K994-(L994+Calc!$J$2:$J$1001))&lt;Calc!$F$2:$F$1001)*(K994-(L994+Calc!$J$2:$J$1001))+((K994-(L994+Calc!$J$2:$J$1001))&gt;=Calc!$F$2:$F$1001)*Calc!$F$2:$F$1001))))</f>
        <v/>
      </c>
      <c r="Q994">
        <f>IF(I994=0,0,(MIN(MAX((K994+M994),0),L994)*W994+SUMPRODUCT((Calc!$A$2:$A$1001=A994)*Calc!$G$2:$G$1001*((((K994+M994)-(L994+Calc!$J$2:$J$1001))&gt;0)*(((K994+M994)-(L994+Calc!$J$2:$J$1001))&lt;Calc!$F$2:$F$1001)*((K994+M994)-(L994+Calc!$J$2:$J$1001))+(((K994+M994)-(L994+Calc!$J$2:$J$1001))&gt;=Calc!$F$2:$F$1001)*Calc!$F$2:$F$1001))))</f>
        <v/>
      </c>
      <c r="R994">
        <f>IF(I994=0,0,(MIN(MAX((K994+N994),0),L994)*W994+SUMPRODUCT((Calc!$A$2:$A$1001=A994)*Calc!$G$2:$G$1001*((((K994+N994)-(L994+Calc!$J$2:$J$1001))&gt;0)*(((K994+N994)-(L994+Calc!$J$2:$J$1001))&lt;Calc!$F$2:$F$1001)*((K994+N994)-(L994+Calc!$J$2:$J$1001))+(((K994+N994)-(L994+Calc!$J$2:$J$1001))&gt;=Calc!$F$2:$F$1001)*Calc!$F$2:$F$1001))))</f>
        <v/>
      </c>
      <c r="S994">
        <f>IF(I994=0,0,(MIN(MAX((K994+O994),0),L994)*W994+SUMPRODUCT((Calc!$A$2:$A$1001=A994)*Calc!$G$2:$G$1001*((((K994+O994)-(L994+Calc!$J$2:$J$1001))&gt;0)*(((K994+O994)-(L994+Calc!$J$2:$J$1001))&lt;Calc!$F$2:$F$1001)*((K994+O994)-(L994+Calc!$J$2:$J$1001))+(((K994+O994)-(L994+Calc!$J$2:$J$1001))&gt;=Calc!$F$2:$F$1001)*Calc!$F$2:$F$1001))))</f>
        <v/>
      </c>
      <c r="T994">
        <f>IF(AND(E994=1,B994="RETURN"),Transactions!E994*Transactions!G994,0)</f>
        <v/>
      </c>
      <c r="U994">
        <f>IF(AND(E994=1,B994="EXPENSE"),Transactions!J994,0)</f>
        <v/>
      </c>
      <c r="V994">
        <f>IF(AND(Transactions!A994&lt;&gt;"",E994=0),ROW(),"")</f>
        <v/>
      </c>
      <c r="W994">
        <f>IFERROR(VLOOKUP(A994,Opening!$A:$D,4,0),0)</f>
        <v/>
      </c>
    </row>
    <row r="995">
      <c r="A995">
        <f>IF(Transactions!D995="","",UPPER(TRIM(Transactions!D995)))</f>
        <v/>
      </c>
      <c r="B995">
        <f>IF(Transactions!C995="","",UPPER(TRIM(Transactions!C995)))</f>
        <v/>
      </c>
      <c r="C995">
        <f>IF(Transactions!B995="",0,YEAR(Transactions!B995)*100+MONTH(Transactions!B995))</f>
        <v/>
      </c>
      <c r="D995">
        <f>IF(Transactions!A995="",1,IF(COUNTIF(Transactions!$A$1:A994,Transactions!A995)&gt;0,1,0))</f>
        <v/>
      </c>
      <c r="E995">
        <f>IF(D995=1,0,IF(B995="RETURN",IF(COUNTIFS($A$1:A994,A995,$B$1:B994,"SALE",$E$1:E994,1)&gt;0,1,0),1))</f>
        <v/>
      </c>
      <c r="F995">
        <f>IF(E995=1,IF(B995="RECEIPT",Transactions!E995,IF(AND(B995="RETURN",LOWER(TRIM(Transactions!H995))="resellable"),Transactions!E995,0)),0)</f>
        <v/>
      </c>
      <c r="G995">
        <f>IF(F995&gt;0,IF(B995="RECEIPT",Transactions!F995,IF(_xlfn.MAXIFS($H$2:H995,$A$2:A995,A995)&gt;0,INDEX(Transactions!$F:$F,_xlfn.MAXIFS($H$2:H995,$A$2:A995,A995)),W995)),0)</f>
        <v/>
      </c>
      <c r="H995">
        <f>IF(AND(E995=1,B995="RECEIPT"),ROW(),0)</f>
        <v/>
      </c>
      <c r="I995">
        <f>IF(E995=1,IF(OR(B995="SALE",B995="WRITEOFF"),Transactions!E995,0),0)</f>
        <v/>
      </c>
      <c r="J995">
        <f>SUMIFS($F$1:F994,$A$1:A994,A995)</f>
        <v/>
      </c>
      <c r="K995">
        <f>SUMIFS($I$1:I994,$A$1:A994,A995)</f>
        <v/>
      </c>
      <c r="L995">
        <f>IFERROR(VLOOKUP(A995,Opening!$A:$C,3,0),0)</f>
        <v/>
      </c>
      <c r="M995">
        <f>IF(I995=0,0,MAX(0,MIN(INDEX(Month!H$2:H$13,MATCH($A995,Month!$A$2:$A$13,0))-K995,I995)))</f>
        <v/>
      </c>
      <c r="N995">
        <f>IF(I995=0,0,MAX(0,MIN(INDEX(Month!I$2:I$13,MATCH($A995,Month!$A$2:$A$13,0))-K995,I995)))</f>
        <v/>
      </c>
      <c r="O995">
        <f>IF(I995=0,0,MAX(0,MIN(INDEX(Month!J$2:J$13,MATCH($A995,Month!$A$2:$A$13,0))-K995,I995)))</f>
        <v/>
      </c>
      <c r="P995">
        <f>IF(I995=0,0,(MIN(MAX(K995,0),L995)*W995+SUMPRODUCT((Calc!$A$2:$A$1001=A995)*Calc!$G$2:$G$1001*(((K995-(L995+Calc!$J$2:$J$1001))&gt;0)*((K995-(L995+Calc!$J$2:$J$1001))&lt;Calc!$F$2:$F$1001)*(K995-(L995+Calc!$J$2:$J$1001))+((K995-(L995+Calc!$J$2:$J$1001))&gt;=Calc!$F$2:$F$1001)*Calc!$F$2:$F$1001))))</f>
        <v/>
      </c>
      <c r="Q995">
        <f>IF(I995=0,0,(MIN(MAX((K995+M995),0),L995)*W995+SUMPRODUCT((Calc!$A$2:$A$1001=A995)*Calc!$G$2:$G$1001*((((K995+M995)-(L995+Calc!$J$2:$J$1001))&gt;0)*(((K995+M995)-(L995+Calc!$J$2:$J$1001))&lt;Calc!$F$2:$F$1001)*((K995+M995)-(L995+Calc!$J$2:$J$1001))+(((K995+M995)-(L995+Calc!$J$2:$J$1001))&gt;=Calc!$F$2:$F$1001)*Calc!$F$2:$F$1001))))</f>
        <v/>
      </c>
      <c r="R995">
        <f>IF(I995=0,0,(MIN(MAX((K995+N995),0),L995)*W995+SUMPRODUCT((Calc!$A$2:$A$1001=A995)*Calc!$G$2:$G$1001*((((K995+N995)-(L995+Calc!$J$2:$J$1001))&gt;0)*(((K995+N995)-(L995+Calc!$J$2:$J$1001))&lt;Calc!$F$2:$F$1001)*((K995+N995)-(L995+Calc!$J$2:$J$1001))+(((K995+N995)-(L995+Calc!$J$2:$J$1001))&gt;=Calc!$F$2:$F$1001)*Calc!$F$2:$F$1001))))</f>
        <v/>
      </c>
      <c r="S995">
        <f>IF(I995=0,0,(MIN(MAX((K995+O995),0),L995)*W995+SUMPRODUCT((Calc!$A$2:$A$1001=A995)*Calc!$G$2:$G$1001*((((K995+O995)-(L995+Calc!$J$2:$J$1001))&gt;0)*(((K995+O995)-(L995+Calc!$J$2:$J$1001))&lt;Calc!$F$2:$F$1001)*((K995+O995)-(L995+Calc!$J$2:$J$1001))+(((K995+O995)-(L995+Calc!$J$2:$J$1001))&gt;=Calc!$F$2:$F$1001)*Calc!$F$2:$F$1001))))</f>
        <v/>
      </c>
      <c r="T995">
        <f>IF(AND(E995=1,B995="RETURN"),Transactions!E995*Transactions!G995,0)</f>
        <v/>
      </c>
      <c r="U995">
        <f>IF(AND(E995=1,B995="EXPENSE"),Transactions!J995,0)</f>
        <v/>
      </c>
      <c r="V995">
        <f>IF(AND(Transactions!A995&lt;&gt;"",E995=0),ROW(),"")</f>
        <v/>
      </c>
      <c r="W995">
        <f>IFERROR(VLOOKUP(A995,Opening!$A:$D,4,0),0)</f>
        <v/>
      </c>
    </row>
    <row r="996">
      <c r="A996">
        <f>IF(Transactions!D996="","",UPPER(TRIM(Transactions!D996)))</f>
        <v/>
      </c>
      <c r="B996">
        <f>IF(Transactions!C996="","",UPPER(TRIM(Transactions!C996)))</f>
        <v/>
      </c>
      <c r="C996">
        <f>IF(Transactions!B996="",0,YEAR(Transactions!B996)*100+MONTH(Transactions!B996))</f>
        <v/>
      </c>
      <c r="D996">
        <f>IF(Transactions!A996="",1,IF(COUNTIF(Transactions!$A$1:A995,Transactions!A996)&gt;0,1,0))</f>
        <v/>
      </c>
      <c r="E996">
        <f>IF(D996=1,0,IF(B996="RETURN",IF(COUNTIFS($A$1:A995,A996,$B$1:B995,"SALE",$E$1:E995,1)&gt;0,1,0),1))</f>
        <v/>
      </c>
      <c r="F996">
        <f>IF(E996=1,IF(B996="RECEIPT",Transactions!E996,IF(AND(B996="RETURN",LOWER(TRIM(Transactions!H996))="resellable"),Transactions!E996,0)),0)</f>
        <v/>
      </c>
      <c r="G996">
        <f>IF(F996&gt;0,IF(B996="RECEIPT",Transactions!F996,IF(_xlfn.MAXIFS($H$2:H996,$A$2:A996,A996)&gt;0,INDEX(Transactions!$F:$F,_xlfn.MAXIFS($H$2:H996,$A$2:A996,A996)),W996)),0)</f>
        <v/>
      </c>
      <c r="H996">
        <f>IF(AND(E996=1,B996="RECEIPT"),ROW(),0)</f>
        <v/>
      </c>
      <c r="I996">
        <f>IF(E996=1,IF(OR(B996="SALE",B996="WRITEOFF"),Transactions!E996,0),0)</f>
        <v/>
      </c>
      <c r="J996">
        <f>SUMIFS($F$1:F995,$A$1:A995,A996)</f>
        <v/>
      </c>
      <c r="K996">
        <f>SUMIFS($I$1:I995,$A$1:A995,A996)</f>
        <v/>
      </c>
      <c r="L996">
        <f>IFERROR(VLOOKUP(A996,Opening!$A:$C,3,0),0)</f>
        <v/>
      </c>
      <c r="M996">
        <f>IF(I996=0,0,MAX(0,MIN(INDEX(Month!H$2:H$13,MATCH($A996,Month!$A$2:$A$13,0))-K996,I996)))</f>
        <v/>
      </c>
      <c r="N996">
        <f>IF(I996=0,0,MAX(0,MIN(INDEX(Month!I$2:I$13,MATCH($A996,Month!$A$2:$A$13,0))-K996,I996)))</f>
        <v/>
      </c>
      <c r="O996">
        <f>IF(I996=0,0,MAX(0,MIN(INDEX(Month!J$2:J$13,MATCH($A996,Month!$A$2:$A$13,0))-K996,I996)))</f>
        <v/>
      </c>
      <c r="P996">
        <f>IF(I996=0,0,(MIN(MAX(K996,0),L996)*W996+SUMPRODUCT((Calc!$A$2:$A$1001=A996)*Calc!$G$2:$G$1001*(((K996-(L996+Calc!$J$2:$J$1001))&gt;0)*((K996-(L996+Calc!$J$2:$J$1001))&lt;Calc!$F$2:$F$1001)*(K996-(L996+Calc!$J$2:$J$1001))+((K996-(L996+Calc!$J$2:$J$1001))&gt;=Calc!$F$2:$F$1001)*Calc!$F$2:$F$1001))))</f>
        <v/>
      </c>
      <c r="Q996">
        <f>IF(I996=0,0,(MIN(MAX((K996+M996),0),L996)*W996+SUMPRODUCT((Calc!$A$2:$A$1001=A996)*Calc!$G$2:$G$1001*((((K996+M996)-(L996+Calc!$J$2:$J$1001))&gt;0)*(((K996+M996)-(L996+Calc!$J$2:$J$1001))&lt;Calc!$F$2:$F$1001)*((K996+M996)-(L996+Calc!$J$2:$J$1001))+(((K996+M996)-(L996+Calc!$J$2:$J$1001))&gt;=Calc!$F$2:$F$1001)*Calc!$F$2:$F$1001))))</f>
        <v/>
      </c>
      <c r="R996">
        <f>IF(I996=0,0,(MIN(MAX((K996+N996),0),L996)*W996+SUMPRODUCT((Calc!$A$2:$A$1001=A996)*Calc!$G$2:$G$1001*((((K996+N996)-(L996+Calc!$J$2:$J$1001))&gt;0)*(((K996+N996)-(L996+Calc!$J$2:$J$1001))&lt;Calc!$F$2:$F$1001)*((K996+N996)-(L996+Calc!$J$2:$J$1001))+(((K996+N996)-(L996+Calc!$J$2:$J$1001))&gt;=Calc!$F$2:$F$1001)*Calc!$F$2:$F$1001))))</f>
        <v/>
      </c>
      <c r="S996">
        <f>IF(I996=0,0,(MIN(MAX((K996+O996),0),L996)*W996+SUMPRODUCT((Calc!$A$2:$A$1001=A996)*Calc!$G$2:$G$1001*((((K996+O996)-(L996+Calc!$J$2:$J$1001))&gt;0)*(((K996+O996)-(L996+Calc!$J$2:$J$1001))&lt;Calc!$F$2:$F$1001)*((K996+O996)-(L996+Calc!$J$2:$J$1001))+(((K996+O996)-(L996+Calc!$J$2:$J$1001))&gt;=Calc!$F$2:$F$1001)*Calc!$F$2:$F$1001))))</f>
        <v/>
      </c>
      <c r="T996">
        <f>IF(AND(E996=1,B996="RETURN"),Transactions!E996*Transactions!G996,0)</f>
        <v/>
      </c>
      <c r="U996">
        <f>IF(AND(E996=1,B996="EXPENSE"),Transactions!J996,0)</f>
        <v/>
      </c>
      <c r="V996">
        <f>IF(AND(Transactions!A996&lt;&gt;"",E996=0),ROW(),"")</f>
        <v/>
      </c>
      <c r="W996">
        <f>IFERROR(VLOOKUP(A996,Opening!$A:$D,4,0),0)</f>
        <v/>
      </c>
    </row>
    <row r="997">
      <c r="A997">
        <f>IF(Transactions!D997="","",UPPER(TRIM(Transactions!D997)))</f>
        <v/>
      </c>
      <c r="B997">
        <f>IF(Transactions!C997="","",UPPER(TRIM(Transactions!C997)))</f>
        <v/>
      </c>
      <c r="C997">
        <f>IF(Transactions!B997="",0,YEAR(Transactions!B997)*100+MONTH(Transactions!B997))</f>
        <v/>
      </c>
      <c r="D997">
        <f>IF(Transactions!A997="",1,IF(COUNTIF(Transactions!$A$1:A996,Transactions!A997)&gt;0,1,0))</f>
        <v/>
      </c>
      <c r="E997">
        <f>IF(D997=1,0,IF(B997="RETURN",IF(COUNTIFS($A$1:A996,A997,$B$1:B996,"SALE",$E$1:E996,1)&gt;0,1,0),1))</f>
        <v/>
      </c>
      <c r="F997">
        <f>IF(E997=1,IF(B997="RECEIPT",Transactions!E997,IF(AND(B997="RETURN",LOWER(TRIM(Transactions!H997))="resellable"),Transactions!E997,0)),0)</f>
        <v/>
      </c>
      <c r="G997">
        <f>IF(F997&gt;0,IF(B997="RECEIPT",Transactions!F997,IF(_xlfn.MAXIFS($H$2:H997,$A$2:A997,A997)&gt;0,INDEX(Transactions!$F:$F,_xlfn.MAXIFS($H$2:H997,$A$2:A997,A997)),W997)),0)</f>
        <v/>
      </c>
      <c r="H997">
        <f>IF(AND(E997=1,B997="RECEIPT"),ROW(),0)</f>
        <v/>
      </c>
      <c r="I997">
        <f>IF(E997=1,IF(OR(B997="SALE",B997="WRITEOFF"),Transactions!E997,0),0)</f>
        <v/>
      </c>
      <c r="J997">
        <f>SUMIFS($F$1:F996,$A$1:A996,A997)</f>
        <v/>
      </c>
      <c r="K997">
        <f>SUMIFS($I$1:I996,$A$1:A996,A997)</f>
        <v/>
      </c>
      <c r="L997">
        <f>IFERROR(VLOOKUP(A997,Opening!$A:$C,3,0),0)</f>
        <v/>
      </c>
      <c r="M997">
        <f>IF(I997=0,0,MAX(0,MIN(INDEX(Month!H$2:H$13,MATCH($A997,Month!$A$2:$A$13,0))-K997,I997)))</f>
        <v/>
      </c>
      <c r="N997">
        <f>IF(I997=0,0,MAX(0,MIN(INDEX(Month!I$2:I$13,MATCH($A997,Month!$A$2:$A$13,0))-K997,I997)))</f>
        <v/>
      </c>
      <c r="O997">
        <f>IF(I997=0,0,MAX(0,MIN(INDEX(Month!J$2:J$13,MATCH($A997,Month!$A$2:$A$13,0))-K997,I997)))</f>
        <v/>
      </c>
      <c r="P997">
        <f>IF(I997=0,0,(MIN(MAX(K997,0),L997)*W997+SUMPRODUCT((Calc!$A$2:$A$1001=A997)*Calc!$G$2:$G$1001*(((K997-(L997+Calc!$J$2:$J$1001))&gt;0)*((K997-(L997+Calc!$J$2:$J$1001))&lt;Calc!$F$2:$F$1001)*(K997-(L997+Calc!$J$2:$J$1001))+((K997-(L997+Calc!$J$2:$J$1001))&gt;=Calc!$F$2:$F$1001)*Calc!$F$2:$F$1001))))</f>
        <v/>
      </c>
      <c r="Q997">
        <f>IF(I997=0,0,(MIN(MAX((K997+M997),0),L997)*W997+SUMPRODUCT((Calc!$A$2:$A$1001=A997)*Calc!$G$2:$G$1001*((((K997+M997)-(L997+Calc!$J$2:$J$1001))&gt;0)*(((K997+M997)-(L997+Calc!$J$2:$J$1001))&lt;Calc!$F$2:$F$1001)*((K997+M997)-(L997+Calc!$J$2:$J$1001))+(((K997+M997)-(L997+Calc!$J$2:$J$1001))&gt;=Calc!$F$2:$F$1001)*Calc!$F$2:$F$1001))))</f>
        <v/>
      </c>
      <c r="R997">
        <f>IF(I997=0,0,(MIN(MAX((K997+N997),0),L997)*W997+SUMPRODUCT((Calc!$A$2:$A$1001=A997)*Calc!$G$2:$G$1001*((((K997+N997)-(L997+Calc!$J$2:$J$1001))&gt;0)*(((K997+N997)-(L997+Calc!$J$2:$J$1001))&lt;Calc!$F$2:$F$1001)*((K997+N997)-(L997+Calc!$J$2:$J$1001))+(((K997+N997)-(L997+Calc!$J$2:$J$1001))&gt;=Calc!$F$2:$F$1001)*Calc!$F$2:$F$1001))))</f>
        <v/>
      </c>
      <c r="S997">
        <f>IF(I997=0,0,(MIN(MAX((K997+O997),0),L997)*W997+SUMPRODUCT((Calc!$A$2:$A$1001=A997)*Calc!$G$2:$G$1001*((((K997+O997)-(L997+Calc!$J$2:$J$1001))&gt;0)*(((K997+O997)-(L997+Calc!$J$2:$J$1001))&lt;Calc!$F$2:$F$1001)*((K997+O997)-(L997+Calc!$J$2:$J$1001))+(((K997+O997)-(L997+Calc!$J$2:$J$1001))&gt;=Calc!$F$2:$F$1001)*Calc!$F$2:$F$1001))))</f>
        <v/>
      </c>
      <c r="T997">
        <f>IF(AND(E997=1,B997="RETURN"),Transactions!E997*Transactions!G997,0)</f>
        <v/>
      </c>
      <c r="U997">
        <f>IF(AND(E997=1,B997="EXPENSE"),Transactions!J997,0)</f>
        <v/>
      </c>
      <c r="V997">
        <f>IF(AND(Transactions!A997&lt;&gt;"",E997=0),ROW(),"")</f>
        <v/>
      </c>
      <c r="W997">
        <f>IFERROR(VLOOKUP(A997,Opening!$A:$D,4,0),0)</f>
        <v/>
      </c>
    </row>
    <row r="998">
      <c r="A998">
        <f>IF(Transactions!D998="","",UPPER(TRIM(Transactions!D998)))</f>
        <v/>
      </c>
      <c r="B998">
        <f>IF(Transactions!C998="","",UPPER(TRIM(Transactions!C998)))</f>
        <v/>
      </c>
      <c r="C998">
        <f>IF(Transactions!B998="",0,YEAR(Transactions!B998)*100+MONTH(Transactions!B998))</f>
        <v/>
      </c>
      <c r="D998">
        <f>IF(Transactions!A998="",1,IF(COUNTIF(Transactions!$A$1:A997,Transactions!A998)&gt;0,1,0))</f>
        <v/>
      </c>
      <c r="E998">
        <f>IF(D998=1,0,IF(B998="RETURN",IF(COUNTIFS($A$1:A997,A998,$B$1:B997,"SALE",$E$1:E997,1)&gt;0,1,0),1))</f>
        <v/>
      </c>
      <c r="F998">
        <f>IF(E998=1,IF(B998="RECEIPT",Transactions!E998,IF(AND(B998="RETURN",LOWER(TRIM(Transactions!H998))="resellable"),Transactions!E998,0)),0)</f>
        <v/>
      </c>
      <c r="G998">
        <f>IF(F998&gt;0,IF(B998="RECEIPT",Transactions!F998,IF(_xlfn.MAXIFS($H$2:H998,$A$2:A998,A998)&gt;0,INDEX(Transactions!$F:$F,_xlfn.MAXIFS($H$2:H998,$A$2:A998,A998)),W998)),0)</f>
        <v/>
      </c>
      <c r="H998">
        <f>IF(AND(E998=1,B998="RECEIPT"),ROW(),0)</f>
        <v/>
      </c>
      <c r="I998">
        <f>IF(E998=1,IF(OR(B998="SALE",B998="WRITEOFF"),Transactions!E998,0),0)</f>
        <v/>
      </c>
      <c r="J998">
        <f>SUMIFS($F$1:F997,$A$1:A997,A998)</f>
        <v/>
      </c>
      <c r="K998">
        <f>SUMIFS($I$1:I997,$A$1:A997,A998)</f>
        <v/>
      </c>
      <c r="L998">
        <f>IFERROR(VLOOKUP(A998,Opening!$A:$C,3,0),0)</f>
        <v/>
      </c>
      <c r="M998">
        <f>IF(I998=0,0,MAX(0,MIN(INDEX(Month!H$2:H$13,MATCH($A998,Month!$A$2:$A$13,0))-K998,I998)))</f>
        <v/>
      </c>
      <c r="N998">
        <f>IF(I998=0,0,MAX(0,MIN(INDEX(Month!I$2:I$13,MATCH($A998,Month!$A$2:$A$13,0))-K998,I998)))</f>
        <v/>
      </c>
      <c r="O998">
        <f>IF(I998=0,0,MAX(0,MIN(INDEX(Month!J$2:J$13,MATCH($A998,Month!$A$2:$A$13,0))-K998,I998)))</f>
        <v/>
      </c>
      <c r="P998">
        <f>IF(I998=0,0,(MIN(MAX(K998,0),L998)*W998+SUMPRODUCT((Calc!$A$2:$A$1001=A998)*Calc!$G$2:$G$1001*(((K998-(L998+Calc!$J$2:$J$1001))&gt;0)*((K998-(L998+Calc!$J$2:$J$1001))&lt;Calc!$F$2:$F$1001)*(K998-(L998+Calc!$J$2:$J$1001))+((K998-(L998+Calc!$J$2:$J$1001))&gt;=Calc!$F$2:$F$1001)*Calc!$F$2:$F$1001))))</f>
        <v/>
      </c>
      <c r="Q998">
        <f>IF(I998=0,0,(MIN(MAX((K998+M998),0),L998)*W998+SUMPRODUCT((Calc!$A$2:$A$1001=A998)*Calc!$G$2:$G$1001*((((K998+M998)-(L998+Calc!$J$2:$J$1001))&gt;0)*(((K998+M998)-(L998+Calc!$J$2:$J$1001))&lt;Calc!$F$2:$F$1001)*((K998+M998)-(L998+Calc!$J$2:$J$1001))+(((K998+M998)-(L998+Calc!$J$2:$J$1001))&gt;=Calc!$F$2:$F$1001)*Calc!$F$2:$F$1001))))</f>
        <v/>
      </c>
      <c r="R998">
        <f>IF(I998=0,0,(MIN(MAX((K998+N998),0),L998)*W998+SUMPRODUCT((Calc!$A$2:$A$1001=A998)*Calc!$G$2:$G$1001*((((K998+N998)-(L998+Calc!$J$2:$J$1001))&gt;0)*(((K998+N998)-(L998+Calc!$J$2:$J$1001))&lt;Calc!$F$2:$F$1001)*((K998+N998)-(L998+Calc!$J$2:$J$1001))+(((K998+N998)-(L998+Calc!$J$2:$J$1001))&gt;=Calc!$F$2:$F$1001)*Calc!$F$2:$F$1001))))</f>
        <v/>
      </c>
      <c r="S998">
        <f>IF(I998=0,0,(MIN(MAX((K998+O998),0),L998)*W998+SUMPRODUCT((Calc!$A$2:$A$1001=A998)*Calc!$G$2:$G$1001*((((K998+O998)-(L998+Calc!$J$2:$J$1001))&gt;0)*(((K998+O998)-(L998+Calc!$J$2:$J$1001))&lt;Calc!$F$2:$F$1001)*((K998+O998)-(L998+Calc!$J$2:$J$1001))+(((K998+O998)-(L998+Calc!$J$2:$J$1001))&gt;=Calc!$F$2:$F$1001)*Calc!$F$2:$F$1001))))</f>
        <v/>
      </c>
      <c r="T998">
        <f>IF(AND(E998=1,B998="RETURN"),Transactions!E998*Transactions!G998,0)</f>
        <v/>
      </c>
      <c r="U998">
        <f>IF(AND(E998=1,B998="EXPENSE"),Transactions!J998,0)</f>
        <v/>
      </c>
      <c r="V998">
        <f>IF(AND(Transactions!A998&lt;&gt;"",E998=0),ROW(),"")</f>
        <v/>
      </c>
      <c r="W998">
        <f>IFERROR(VLOOKUP(A998,Opening!$A:$D,4,0),0)</f>
        <v/>
      </c>
    </row>
    <row r="999">
      <c r="A999">
        <f>IF(Transactions!D999="","",UPPER(TRIM(Transactions!D999)))</f>
        <v/>
      </c>
      <c r="B999">
        <f>IF(Transactions!C999="","",UPPER(TRIM(Transactions!C999)))</f>
        <v/>
      </c>
      <c r="C999">
        <f>IF(Transactions!B999="",0,YEAR(Transactions!B999)*100+MONTH(Transactions!B999))</f>
        <v/>
      </c>
      <c r="D999">
        <f>IF(Transactions!A999="",1,IF(COUNTIF(Transactions!$A$1:A998,Transactions!A999)&gt;0,1,0))</f>
        <v/>
      </c>
      <c r="E999">
        <f>IF(D999=1,0,IF(B999="RETURN",IF(COUNTIFS($A$1:A998,A999,$B$1:B998,"SALE",$E$1:E998,1)&gt;0,1,0),1))</f>
        <v/>
      </c>
      <c r="F999">
        <f>IF(E999=1,IF(B999="RECEIPT",Transactions!E999,IF(AND(B999="RETURN",LOWER(TRIM(Transactions!H999))="resellable"),Transactions!E999,0)),0)</f>
        <v/>
      </c>
      <c r="G999">
        <f>IF(F999&gt;0,IF(B999="RECEIPT",Transactions!F999,IF(_xlfn.MAXIFS($H$2:H999,$A$2:A999,A999)&gt;0,INDEX(Transactions!$F:$F,_xlfn.MAXIFS($H$2:H999,$A$2:A999,A999)),W999)),0)</f>
        <v/>
      </c>
      <c r="H999">
        <f>IF(AND(E999=1,B999="RECEIPT"),ROW(),0)</f>
        <v/>
      </c>
      <c r="I999">
        <f>IF(E999=1,IF(OR(B999="SALE",B999="WRITEOFF"),Transactions!E999,0),0)</f>
        <v/>
      </c>
      <c r="J999">
        <f>SUMIFS($F$1:F998,$A$1:A998,A999)</f>
        <v/>
      </c>
      <c r="K999">
        <f>SUMIFS($I$1:I998,$A$1:A998,A999)</f>
        <v/>
      </c>
      <c r="L999">
        <f>IFERROR(VLOOKUP(A999,Opening!$A:$C,3,0),0)</f>
        <v/>
      </c>
      <c r="M999">
        <f>IF(I999=0,0,MAX(0,MIN(INDEX(Month!H$2:H$13,MATCH($A999,Month!$A$2:$A$13,0))-K999,I999)))</f>
        <v/>
      </c>
      <c r="N999">
        <f>IF(I999=0,0,MAX(0,MIN(INDEX(Month!I$2:I$13,MATCH($A999,Month!$A$2:$A$13,0))-K999,I999)))</f>
        <v/>
      </c>
      <c r="O999">
        <f>IF(I999=0,0,MAX(0,MIN(INDEX(Month!J$2:J$13,MATCH($A999,Month!$A$2:$A$13,0))-K999,I999)))</f>
        <v/>
      </c>
      <c r="P999">
        <f>IF(I999=0,0,(MIN(MAX(K999,0),L999)*W999+SUMPRODUCT((Calc!$A$2:$A$1001=A999)*Calc!$G$2:$G$1001*(((K999-(L999+Calc!$J$2:$J$1001))&gt;0)*((K999-(L999+Calc!$J$2:$J$1001))&lt;Calc!$F$2:$F$1001)*(K999-(L999+Calc!$J$2:$J$1001))+((K999-(L999+Calc!$J$2:$J$1001))&gt;=Calc!$F$2:$F$1001)*Calc!$F$2:$F$1001))))</f>
        <v/>
      </c>
      <c r="Q999">
        <f>IF(I999=0,0,(MIN(MAX((K999+M999),0),L999)*W999+SUMPRODUCT((Calc!$A$2:$A$1001=A999)*Calc!$G$2:$G$1001*((((K999+M999)-(L999+Calc!$J$2:$J$1001))&gt;0)*(((K999+M999)-(L999+Calc!$J$2:$J$1001))&lt;Calc!$F$2:$F$1001)*((K999+M999)-(L999+Calc!$J$2:$J$1001))+(((K999+M999)-(L999+Calc!$J$2:$J$1001))&gt;=Calc!$F$2:$F$1001)*Calc!$F$2:$F$1001))))</f>
        <v/>
      </c>
      <c r="R999">
        <f>IF(I999=0,0,(MIN(MAX((K999+N999),0),L999)*W999+SUMPRODUCT((Calc!$A$2:$A$1001=A999)*Calc!$G$2:$G$1001*((((K999+N999)-(L999+Calc!$J$2:$J$1001))&gt;0)*(((K999+N999)-(L999+Calc!$J$2:$J$1001))&lt;Calc!$F$2:$F$1001)*((K999+N999)-(L999+Calc!$J$2:$J$1001))+(((K999+N999)-(L999+Calc!$J$2:$J$1001))&gt;=Calc!$F$2:$F$1001)*Calc!$F$2:$F$1001))))</f>
        <v/>
      </c>
      <c r="S999">
        <f>IF(I999=0,0,(MIN(MAX((K999+O999),0),L999)*W999+SUMPRODUCT((Calc!$A$2:$A$1001=A999)*Calc!$G$2:$G$1001*((((K999+O999)-(L999+Calc!$J$2:$J$1001))&gt;0)*(((K999+O999)-(L999+Calc!$J$2:$J$1001))&lt;Calc!$F$2:$F$1001)*((K999+O999)-(L999+Calc!$J$2:$J$1001))+(((K999+O999)-(L999+Calc!$J$2:$J$1001))&gt;=Calc!$F$2:$F$1001)*Calc!$F$2:$F$1001))))</f>
        <v/>
      </c>
      <c r="T999">
        <f>IF(AND(E999=1,B999="RETURN"),Transactions!E999*Transactions!G999,0)</f>
        <v/>
      </c>
      <c r="U999">
        <f>IF(AND(E999=1,B999="EXPENSE"),Transactions!J999,0)</f>
        <v/>
      </c>
      <c r="V999">
        <f>IF(AND(Transactions!A999&lt;&gt;"",E999=0),ROW(),"")</f>
        <v/>
      </c>
      <c r="W999">
        <f>IFERROR(VLOOKUP(A999,Opening!$A:$D,4,0),0)</f>
        <v/>
      </c>
    </row>
    <row r="1000">
      <c r="A1000">
        <f>IF(Transactions!D1000="","",UPPER(TRIM(Transactions!D1000)))</f>
        <v/>
      </c>
      <c r="B1000">
        <f>IF(Transactions!C1000="","",UPPER(TRIM(Transactions!C1000)))</f>
        <v/>
      </c>
      <c r="C1000">
        <f>IF(Transactions!B1000="",0,YEAR(Transactions!B1000)*100+MONTH(Transactions!B1000))</f>
        <v/>
      </c>
      <c r="D1000">
        <f>IF(Transactions!A1000="",1,IF(COUNTIF(Transactions!$A$1:A999,Transactions!A1000)&gt;0,1,0))</f>
        <v/>
      </c>
      <c r="E1000">
        <f>IF(D1000=1,0,IF(B1000="RETURN",IF(COUNTIFS($A$1:A999,A1000,$B$1:B999,"SALE",$E$1:E999,1)&gt;0,1,0),1))</f>
        <v/>
      </c>
      <c r="F1000">
        <f>IF(E1000=1,IF(B1000="RECEIPT",Transactions!E1000,IF(AND(B1000="RETURN",LOWER(TRIM(Transactions!H1000))="resellable"),Transactions!E1000,0)),0)</f>
        <v/>
      </c>
      <c r="G1000">
        <f>IF(F1000&gt;0,IF(B1000="RECEIPT",Transactions!F1000,IF(_xlfn.MAXIFS($H$2:H1000,$A$2:A1000,A1000)&gt;0,INDEX(Transactions!$F:$F,_xlfn.MAXIFS($H$2:H1000,$A$2:A1000,A1000)),W1000)),0)</f>
        <v/>
      </c>
      <c r="H1000">
        <f>IF(AND(E1000=1,B1000="RECEIPT"),ROW(),0)</f>
        <v/>
      </c>
      <c r="I1000">
        <f>IF(E1000=1,IF(OR(B1000="SALE",B1000="WRITEOFF"),Transactions!E1000,0),0)</f>
        <v/>
      </c>
      <c r="J1000">
        <f>SUMIFS($F$1:F999,$A$1:A999,A1000)</f>
        <v/>
      </c>
      <c r="K1000">
        <f>SUMIFS($I$1:I999,$A$1:A999,A1000)</f>
        <v/>
      </c>
      <c r="L1000">
        <f>IFERROR(VLOOKUP(A1000,Opening!$A:$C,3,0),0)</f>
        <v/>
      </c>
      <c r="M1000">
        <f>IF(I1000=0,0,MAX(0,MIN(INDEX(Month!H$2:H$13,MATCH($A1000,Month!$A$2:$A$13,0))-K1000,I1000)))</f>
        <v/>
      </c>
      <c r="N1000">
        <f>IF(I1000=0,0,MAX(0,MIN(INDEX(Month!I$2:I$13,MATCH($A1000,Month!$A$2:$A$13,0))-K1000,I1000)))</f>
        <v/>
      </c>
      <c r="O1000">
        <f>IF(I1000=0,0,MAX(0,MIN(INDEX(Month!J$2:J$13,MATCH($A1000,Month!$A$2:$A$13,0))-K1000,I1000)))</f>
        <v/>
      </c>
      <c r="P1000">
        <f>IF(I1000=0,0,(MIN(MAX(K1000,0),L1000)*W1000+SUMPRODUCT((Calc!$A$2:$A$1001=A1000)*Calc!$G$2:$G$1001*(((K1000-(L1000+Calc!$J$2:$J$1001))&gt;0)*((K1000-(L1000+Calc!$J$2:$J$1001))&lt;Calc!$F$2:$F$1001)*(K1000-(L1000+Calc!$J$2:$J$1001))+((K1000-(L1000+Calc!$J$2:$J$1001))&gt;=Calc!$F$2:$F$1001)*Calc!$F$2:$F$1001))))</f>
        <v/>
      </c>
      <c r="Q1000">
        <f>IF(I1000=0,0,(MIN(MAX((K1000+M1000),0),L1000)*W1000+SUMPRODUCT((Calc!$A$2:$A$1001=A1000)*Calc!$G$2:$G$1001*((((K1000+M1000)-(L1000+Calc!$J$2:$J$1001))&gt;0)*(((K1000+M1000)-(L1000+Calc!$J$2:$J$1001))&lt;Calc!$F$2:$F$1001)*((K1000+M1000)-(L1000+Calc!$J$2:$J$1001))+(((K1000+M1000)-(L1000+Calc!$J$2:$J$1001))&gt;=Calc!$F$2:$F$1001)*Calc!$F$2:$F$1001))))</f>
        <v/>
      </c>
      <c r="R1000">
        <f>IF(I1000=0,0,(MIN(MAX((K1000+N1000),0),L1000)*W1000+SUMPRODUCT((Calc!$A$2:$A$1001=A1000)*Calc!$G$2:$G$1001*((((K1000+N1000)-(L1000+Calc!$J$2:$J$1001))&gt;0)*(((K1000+N1000)-(L1000+Calc!$J$2:$J$1001))&lt;Calc!$F$2:$F$1001)*((K1000+N1000)-(L1000+Calc!$J$2:$J$1001))+(((K1000+N1000)-(L1000+Calc!$J$2:$J$1001))&gt;=Calc!$F$2:$F$1001)*Calc!$F$2:$F$1001))))</f>
        <v/>
      </c>
      <c r="S1000">
        <f>IF(I1000=0,0,(MIN(MAX((K1000+O1000),0),L1000)*W1000+SUMPRODUCT((Calc!$A$2:$A$1001=A1000)*Calc!$G$2:$G$1001*((((K1000+O1000)-(L1000+Calc!$J$2:$J$1001))&gt;0)*(((K1000+O1000)-(L1000+Calc!$J$2:$J$1001))&lt;Calc!$F$2:$F$1001)*((K1000+O1000)-(L1000+Calc!$J$2:$J$1001))+(((K1000+O1000)-(L1000+Calc!$J$2:$J$1001))&gt;=Calc!$F$2:$F$1001)*Calc!$F$2:$F$1001))))</f>
        <v/>
      </c>
      <c r="T1000">
        <f>IF(AND(E1000=1,B1000="RETURN"),Transactions!E1000*Transactions!G1000,0)</f>
        <v/>
      </c>
      <c r="U1000">
        <f>IF(AND(E1000=1,B1000="EXPENSE"),Transactions!J1000,0)</f>
        <v/>
      </c>
      <c r="V1000">
        <f>IF(AND(Transactions!A1000&lt;&gt;"",E1000=0),ROW(),"")</f>
        <v/>
      </c>
      <c r="W1000">
        <f>IFERROR(VLOOKUP(A1000,Opening!$A:$D,4,0),0)</f>
        <v/>
      </c>
    </row>
    <row r="1001">
      <c r="A1001">
        <f>IF(Transactions!D1001="","",UPPER(TRIM(Transactions!D1001)))</f>
        <v/>
      </c>
      <c r="B1001">
        <f>IF(Transactions!C1001="","",UPPER(TRIM(Transactions!C1001)))</f>
        <v/>
      </c>
      <c r="C1001">
        <f>IF(Transactions!B1001="",0,YEAR(Transactions!B1001)*100+MONTH(Transactions!B1001))</f>
        <v/>
      </c>
      <c r="D1001">
        <f>IF(Transactions!A1001="",1,IF(COUNTIF(Transactions!$A$1:A1000,Transactions!A1001)&gt;0,1,0))</f>
        <v/>
      </c>
      <c r="E1001">
        <f>IF(D1001=1,0,IF(B1001="RETURN",IF(COUNTIFS($A$1:A1000,A1001,$B$1:B1000,"SALE",$E$1:E1000,1)&gt;0,1,0),1))</f>
        <v/>
      </c>
      <c r="F1001">
        <f>IF(E1001=1,IF(B1001="RECEIPT",Transactions!E1001,IF(AND(B1001="RETURN",LOWER(TRIM(Transactions!H1001))="resellable"),Transactions!E1001,0)),0)</f>
        <v/>
      </c>
      <c r="G1001">
        <f>IF(F1001&gt;0,IF(B1001="RECEIPT",Transactions!F1001,IF(_xlfn.MAXIFS($H$2:H1001,$A$2:A1001,A1001)&gt;0,INDEX(Transactions!$F:$F,_xlfn.MAXIFS($H$2:H1001,$A$2:A1001,A1001)),W1001)),0)</f>
        <v/>
      </c>
      <c r="H1001">
        <f>IF(AND(E1001=1,B1001="RECEIPT"),ROW(),0)</f>
        <v/>
      </c>
      <c r="I1001">
        <f>IF(E1001=1,IF(OR(B1001="SALE",B1001="WRITEOFF"),Transactions!E1001,0),0)</f>
        <v/>
      </c>
      <c r="J1001">
        <f>SUMIFS($F$1:F1000,$A$1:A1000,A1001)</f>
        <v/>
      </c>
      <c r="K1001">
        <f>SUMIFS($I$1:I1000,$A$1:A1000,A1001)</f>
        <v/>
      </c>
      <c r="L1001">
        <f>IFERROR(VLOOKUP(A1001,Opening!$A:$C,3,0),0)</f>
        <v/>
      </c>
      <c r="M1001">
        <f>IF(I1001=0,0,MAX(0,MIN(INDEX(Month!H$2:H$13,MATCH($A1001,Month!$A$2:$A$13,0))-K1001,I1001)))</f>
        <v/>
      </c>
      <c r="N1001">
        <f>IF(I1001=0,0,MAX(0,MIN(INDEX(Month!I$2:I$13,MATCH($A1001,Month!$A$2:$A$13,0))-K1001,I1001)))</f>
        <v/>
      </c>
      <c r="O1001">
        <f>IF(I1001=0,0,MAX(0,MIN(INDEX(Month!J$2:J$13,MATCH($A1001,Month!$A$2:$A$13,0))-K1001,I1001)))</f>
        <v/>
      </c>
      <c r="P1001">
        <f>IF(I1001=0,0,(MIN(MAX(K1001,0),L1001)*W1001+SUMPRODUCT((Calc!$A$2:$A$1001=A1001)*Calc!$G$2:$G$1001*(((K1001-(L1001+Calc!$J$2:$J$1001))&gt;0)*((K1001-(L1001+Calc!$J$2:$J$1001))&lt;Calc!$F$2:$F$1001)*(K1001-(L1001+Calc!$J$2:$J$1001))+((K1001-(L1001+Calc!$J$2:$J$1001))&gt;=Calc!$F$2:$F$1001)*Calc!$F$2:$F$1001))))</f>
        <v/>
      </c>
      <c r="Q1001">
        <f>IF(I1001=0,0,(MIN(MAX((K1001+M1001),0),L1001)*W1001+SUMPRODUCT((Calc!$A$2:$A$1001=A1001)*Calc!$G$2:$G$1001*((((K1001+M1001)-(L1001+Calc!$J$2:$J$1001))&gt;0)*(((K1001+M1001)-(L1001+Calc!$J$2:$J$1001))&lt;Calc!$F$2:$F$1001)*((K1001+M1001)-(L1001+Calc!$J$2:$J$1001))+(((K1001+M1001)-(L1001+Calc!$J$2:$J$1001))&gt;=Calc!$F$2:$F$1001)*Calc!$F$2:$F$1001))))</f>
        <v/>
      </c>
      <c r="R1001">
        <f>IF(I1001=0,0,(MIN(MAX((K1001+N1001),0),L1001)*W1001+SUMPRODUCT((Calc!$A$2:$A$1001=A1001)*Calc!$G$2:$G$1001*((((K1001+N1001)-(L1001+Calc!$J$2:$J$1001))&gt;0)*(((K1001+N1001)-(L1001+Calc!$J$2:$J$1001))&lt;Calc!$F$2:$F$1001)*((K1001+N1001)-(L1001+Calc!$J$2:$J$1001))+(((K1001+N1001)-(L1001+Calc!$J$2:$J$1001))&gt;=Calc!$F$2:$F$1001)*Calc!$F$2:$F$1001))))</f>
        <v/>
      </c>
      <c r="S1001">
        <f>IF(I1001=0,0,(MIN(MAX((K1001+O1001),0),L1001)*W1001+SUMPRODUCT((Calc!$A$2:$A$1001=A1001)*Calc!$G$2:$G$1001*((((K1001+O1001)-(L1001+Calc!$J$2:$J$1001))&gt;0)*(((K1001+O1001)-(L1001+Calc!$J$2:$J$1001))&lt;Calc!$F$2:$F$1001)*((K1001+O1001)-(L1001+Calc!$J$2:$J$1001))+(((K1001+O1001)-(L1001+Calc!$J$2:$J$1001))&gt;=Calc!$F$2:$F$1001)*Calc!$F$2:$F$1001))))</f>
        <v/>
      </c>
      <c r="T1001">
        <f>IF(AND(E1001=1,B1001="RETURN"),Transactions!E1001*Transactions!G1001,0)</f>
        <v/>
      </c>
      <c r="U1001">
        <f>IF(AND(E1001=1,B1001="EXPENSE"),Transactions!J1001,0)</f>
        <v/>
      </c>
      <c r="V1001">
        <f>IF(AND(Transactions!A1001&lt;&gt;"",E1001=0),ROW(),"")</f>
        <v/>
      </c>
      <c r="W1001">
        <f>IFERROR(VLOOKUP(A1001,Opening!$A:$D,4,0),0)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Demand≤Jul</t>
        </is>
      </c>
      <c r="C1" s="1" t="inlineStr">
        <is>
          <t>Demand≤Aug</t>
        </is>
      </c>
      <c r="D1" s="1" t="inlineStr">
        <is>
          <t>Demand≤Sep</t>
        </is>
      </c>
      <c r="E1" s="1" t="inlineStr">
        <is>
          <t>Supply≤Jul</t>
        </is>
      </c>
      <c r="F1" s="1" t="inlineStr">
        <is>
          <t>Supply≤Aug</t>
        </is>
      </c>
      <c r="G1" s="1" t="inlineStr">
        <is>
          <t>Supply≤Sep</t>
        </is>
      </c>
      <c r="H1" s="1" t="inlineStr">
        <is>
          <t>Shipped≤Jul</t>
        </is>
      </c>
      <c r="I1" s="1" t="inlineStr">
        <is>
          <t>Shipped≤Aug</t>
        </is>
      </c>
      <c r="J1" s="1" t="inlineStr">
        <is>
          <t>Shipped≤Sep</t>
        </is>
      </c>
    </row>
    <row r="2">
      <c r="A2">
        <f>Opening!A2</f>
        <v/>
      </c>
      <c r="B2">
        <f>SUMIFS(Calc!$I$2:$I$1001,Calc!$A$2:$A$1001,$A2,Calc!$C$2:$C$1001,"&lt;="&amp;202507)</f>
        <v/>
      </c>
      <c r="C2">
        <f>SUMIFS(Calc!$I$2:$I$1001,Calc!$A$2:$A$1001,$A2,Calc!$C$2:$C$1001,"&lt;="&amp;202508)</f>
        <v/>
      </c>
      <c r="D2">
        <f>SUMIFS(Calc!$I$2:$I$1001,Calc!$A$2:$A$1001,$A2,Calc!$C$2:$C$1001,"&lt;="&amp;202509)</f>
        <v/>
      </c>
      <c r="E2">
        <f>Opening!C2+SUMIFS(Calc!$F$2:$F$1001,Calc!$A$2:$A$1001,$A2,Calc!$C$2:$C$1001,"&lt;="&amp;202507)</f>
        <v/>
      </c>
      <c r="F2">
        <f>Opening!C2+SUMIFS(Calc!$F$2:$F$1001,Calc!$A$2:$A$1001,$A2,Calc!$C$2:$C$1001,"&lt;="&amp;202508)</f>
        <v/>
      </c>
      <c r="G2">
        <f>Opening!C2+SUMIFS(Calc!$F$2:$F$1001,Calc!$A$2:$A$1001,$A2,Calc!$C$2:$C$1001,"&lt;="&amp;202509)</f>
        <v/>
      </c>
      <c r="H2">
        <f>MIN(B2,E2)</f>
        <v/>
      </c>
      <c r="I2">
        <f>MIN(C2,F2)</f>
        <v/>
      </c>
      <c r="J2">
        <f>MIN(D2,G2)</f>
        <v/>
      </c>
    </row>
    <row r="3">
      <c r="A3">
        <f>Opening!A3</f>
        <v/>
      </c>
      <c r="B3">
        <f>SUMIFS(Calc!$I$2:$I$1001,Calc!$A$2:$A$1001,$A3,Calc!$C$2:$C$1001,"&lt;="&amp;202507)</f>
        <v/>
      </c>
      <c r="C3">
        <f>SUMIFS(Calc!$I$2:$I$1001,Calc!$A$2:$A$1001,$A3,Calc!$C$2:$C$1001,"&lt;="&amp;202508)</f>
        <v/>
      </c>
      <c r="D3">
        <f>SUMIFS(Calc!$I$2:$I$1001,Calc!$A$2:$A$1001,$A3,Calc!$C$2:$C$1001,"&lt;="&amp;202509)</f>
        <v/>
      </c>
      <c r="E3">
        <f>Opening!C3+SUMIFS(Calc!$F$2:$F$1001,Calc!$A$2:$A$1001,$A3,Calc!$C$2:$C$1001,"&lt;="&amp;202507)</f>
        <v/>
      </c>
      <c r="F3">
        <f>Opening!C3+SUMIFS(Calc!$F$2:$F$1001,Calc!$A$2:$A$1001,$A3,Calc!$C$2:$C$1001,"&lt;="&amp;202508)</f>
        <v/>
      </c>
      <c r="G3">
        <f>Opening!C3+SUMIFS(Calc!$F$2:$F$1001,Calc!$A$2:$A$1001,$A3,Calc!$C$2:$C$1001,"&lt;="&amp;202509)</f>
        <v/>
      </c>
      <c r="H3">
        <f>MIN(B3,E3)</f>
        <v/>
      </c>
      <c r="I3">
        <f>MIN(C3,F3)</f>
        <v/>
      </c>
      <c r="J3">
        <f>MIN(D3,G3)</f>
        <v/>
      </c>
    </row>
    <row r="4">
      <c r="A4">
        <f>Opening!A4</f>
        <v/>
      </c>
      <c r="B4">
        <f>SUMIFS(Calc!$I$2:$I$1001,Calc!$A$2:$A$1001,$A4,Calc!$C$2:$C$1001,"&lt;="&amp;202507)</f>
        <v/>
      </c>
      <c r="C4">
        <f>SUMIFS(Calc!$I$2:$I$1001,Calc!$A$2:$A$1001,$A4,Calc!$C$2:$C$1001,"&lt;="&amp;202508)</f>
        <v/>
      </c>
      <c r="D4">
        <f>SUMIFS(Calc!$I$2:$I$1001,Calc!$A$2:$A$1001,$A4,Calc!$C$2:$C$1001,"&lt;="&amp;202509)</f>
        <v/>
      </c>
      <c r="E4">
        <f>Opening!C4+SUMIFS(Calc!$F$2:$F$1001,Calc!$A$2:$A$1001,$A4,Calc!$C$2:$C$1001,"&lt;="&amp;202507)</f>
        <v/>
      </c>
      <c r="F4">
        <f>Opening!C4+SUMIFS(Calc!$F$2:$F$1001,Calc!$A$2:$A$1001,$A4,Calc!$C$2:$C$1001,"&lt;="&amp;202508)</f>
        <v/>
      </c>
      <c r="G4">
        <f>Opening!C4+SUMIFS(Calc!$F$2:$F$1001,Calc!$A$2:$A$1001,$A4,Calc!$C$2:$C$1001,"&lt;="&amp;202509)</f>
        <v/>
      </c>
      <c r="H4">
        <f>MIN(B4,E4)</f>
        <v/>
      </c>
      <c r="I4">
        <f>MIN(C4,F4)</f>
        <v/>
      </c>
      <c r="J4">
        <f>MIN(D4,G4)</f>
        <v/>
      </c>
    </row>
    <row r="5">
      <c r="A5">
        <f>Opening!A5</f>
        <v/>
      </c>
      <c r="B5">
        <f>SUMIFS(Calc!$I$2:$I$1001,Calc!$A$2:$A$1001,$A5,Calc!$C$2:$C$1001,"&lt;="&amp;202507)</f>
        <v/>
      </c>
      <c r="C5">
        <f>SUMIFS(Calc!$I$2:$I$1001,Calc!$A$2:$A$1001,$A5,Calc!$C$2:$C$1001,"&lt;="&amp;202508)</f>
        <v/>
      </c>
      <c r="D5">
        <f>SUMIFS(Calc!$I$2:$I$1001,Calc!$A$2:$A$1001,$A5,Calc!$C$2:$C$1001,"&lt;="&amp;202509)</f>
        <v/>
      </c>
      <c r="E5">
        <f>Opening!C5+SUMIFS(Calc!$F$2:$F$1001,Calc!$A$2:$A$1001,$A5,Calc!$C$2:$C$1001,"&lt;="&amp;202507)</f>
        <v/>
      </c>
      <c r="F5">
        <f>Opening!C5+SUMIFS(Calc!$F$2:$F$1001,Calc!$A$2:$A$1001,$A5,Calc!$C$2:$C$1001,"&lt;="&amp;202508)</f>
        <v/>
      </c>
      <c r="G5">
        <f>Opening!C5+SUMIFS(Calc!$F$2:$F$1001,Calc!$A$2:$A$1001,$A5,Calc!$C$2:$C$1001,"&lt;="&amp;202509)</f>
        <v/>
      </c>
      <c r="H5">
        <f>MIN(B5,E5)</f>
        <v/>
      </c>
      <c r="I5">
        <f>MIN(C5,F5)</f>
        <v/>
      </c>
      <c r="J5">
        <f>MIN(D5,G5)</f>
        <v/>
      </c>
    </row>
    <row r="6">
      <c r="A6">
        <f>Opening!A6</f>
        <v/>
      </c>
      <c r="B6">
        <f>SUMIFS(Calc!$I$2:$I$1001,Calc!$A$2:$A$1001,$A6,Calc!$C$2:$C$1001,"&lt;="&amp;202507)</f>
        <v/>
      </c>
      <c r="C6">
        <f>SUMIFS(Calc!$I$2:$I$1001,Calc!$A$2:$A$1001,$A6,Calc!$C$2:$C$1001,"&lt;="&amp;202508)</f>
        <v/>
      </c>
      <c r="D6">
        <f>SUMIFS(Calc!$I$2:$I$1001,Calc!$A$2:$A$1001,$A6,Calc!$C$2:$C$1001,"&lt;="&amp;202509)</f>
        <v/>
      </c>
      <c r="E6">
        <f>Opening!C6+SUMIFS(Calc!$F$2:$F$1001,Calc!$A$2:$A$1001,$A6,Calc!$C$2:$C$1001,"&lt;="&amp;202507)</f>
        <v/>
      </c>
      <c r="F6">
        <f>Opening!C6+SUMIFS(Calc!$F$2:$F$1001,Calc!$A$2:$A$1001,$A6,Calc!$C$2:$C$1001,"&lt;="&amp;202508)</f>
        <v/>
      </c>
      <c r="G6">
        <f>Opening!C6+SUMIFS(Calc!$F$2:$F$1001,Calc!$A$2:$A$1001,$A6,Calc!$C$2:$C$1001,"&lt;="&amp;202509)</f>
        <v/>
      </c>
      <c r="H6">
        <f>MIN(B6,E6)</f>
        <v/>
      </c>
      <c r="I6">
        <f>MIN(C6,F6)</f>
        <v/>
      </c>
      <c r="J6">
        <f>MIN(D6,G6)</f>
        <v/>
      </c>
    </row>
    <row r="7">
      <c r="A7">
        <f>Opening!A7</f>
        <v/>
      </c>
      <c r="B7">
        <f>SUMIFS(Calc!$I$2:$I$1001,Calc!$A$2:$A$1001,$A7,Calc!$C$2:$C$1001,"&lt;="&amp;202507)</f>
        <v/>
      </c>
      <c r="C7">
        <f>SUMIFS(Calc!$I$2:$I$1001,Calc!$A$2:$A$1001,$A7,Calc!$C$2:$C$1001,"&lt;="&amp;202508)</f>
        <v/>
      </c>
      <c r="D7">
        <f>SUMIFS(Calc!$I$2:$I$1001,Calc!$A$2:$A$1001,$A7,Calc!$C$2:$C$1001,"&lt;="&amp;202509)</f>
        <v/>
      </c>
      <c r="E7">
        <f>Opening!C7+SUMIFS(Calc!$F$2:$F$1001,Calc!$A$2:$A$1001,$A7,Calc!$C$2:$C$1001,"&lt;="&amp;202507)</f>
        <v/>
      </c>
      <c r="F7">
        <f>Opening!C7+SUMIFS(Calc!$F$2:$F$1001,Calc!$A$2:$A$1001,$A7,Calc!$C$2:$C$1001,"&lt;="&amp;202508)</f>
        <v/>
      </c>
      <c r="G7">
        <f>Opening!C7+SUMIFS(Calc!$F$2:$F$1001,Calc!$A$2:$A$1001,$A7,Calc!$C$2:$C$1001,"&lt;="&amp;202509)</f>
        <v/>
      </c>
      <c r="H7">
        <f>MIN(B7,E7)</f>
        <v/>
      </c>
      <c r="I7">
        <f>MIN(C7,F7)</f>
        <v/>
      </c>
      <c r="J7">
        <f>MIN(D7,G7)</f>
        <v/>
      </c>
    </row>
    <row r="8">
      <c r="A8">
        <f>Opening!A8</f>
        <v/>
      </c>
      <c r="B8">
        <f>SUMIFS(Calc!$I$2:$I$1001,Calc!$A$2:$A$1001,$A8,Calc!$C$2:$C$1001,"&lt;="&amp;202507)</f>
        <v/>
      </c>
      <c r="C8">
        <f>SUMIFS(Calc!$I$2:$I$1001,Calc!$A$2:$A$1001,$A8,Calc!$C$2:$C$1001,"&lt;="&amp;202508)</f>
        <v/>
      </c>
      <c r="D8">
        <f>SUMIFS(Calc!$I$2:$I$1001,Calc!$A$2:$A$1001,$A8,Calc!$C$2:$C$1001,"&lt;="&amp;202509)</f>
        <v/>
      </c>
      <c r="E8">
        <f>Opening!C8+SUMIFS(Calc!$F$2:$F$1001,Calc!$A$2:$A$1001,$A8,Calc!$C$2:$C$1001,"&lt;="&amp;202507)</f>
        <v/>
      </c>
      <c r="F8">
        <f>Opening!C8+SUMIFS(Calc!$F$2:$F$1001,Calc!$A$2:$A$1001,$A8,Calc!$C$2:$C$1001,"&lt;="&amp;202508)</f>
        <v/>
      </c>
      <c r="G8">
        <f>Opening!C8+SUMIFS(Calc!$F$2:$F$1001,Calc!$A$2:$A$1001,$A8,Calc!$C$2:$C$1001,"&lt;="&amp;202509)</f>
        <v/>
      </c>
      <c r="H8">
        <f>MIN(B8,E8)</f>
        <v/>
      </c>
      <c r="I8">
        <f>MIN(C8,F8)</f>
        <v/>
      </c>
      <c r="J8">
        <f>MIN(D8,G8)</f>
        <v/>
      </c>
    </row>
    <row r="9">
      <c r="A9">
        <f>Opening!A9</f>
        <v/>
      </c>
      <c r="B9">
        <f>SUMIFS(Calc!$I$2:$I$1001,Calc!$A$2:$A$1001,$A9,Calc!$C$2:$C$1001,"&lt;="&amp;202507)</f>
        <v/>
      </c>
      <c r="C9">
        <f>SUMIFS(Calc!$I$2:$I$1001,Calc!$A$2:$A$1001,$A9,Calc!$C$2:$C$1001,"&lt;="&amp;202508)</f>
        <v/>
      </c>
      <c r="D9">
        <f>SUMIFS(Calc!$I$2:$I$1001,Calc!$A$2:$A$1001,$A9,Calc!$C$2:$C$1001,"&lt;="&amp;202509)</f>
        <v/>
      </c>
      <c r="E9">
        <f>Opening!C9+SUMIFS(Calc!$F$2:$F$1001,Calc!$A$2:$A$1001,$A9,Calc!$C$2:$C$1001,"&lt;="&amp;202507)</f>
        <v/>
      </c>
      <c r="F9">
        <f>Opening!C9+SUMIFS(Calc!$F$2:$F$1001,Calc!$A$2:$A$1001,$A9,Calc!$C$2:$C$1001,"&lt;="&amp;202508)</f>
        <v/>
      </c>
      <c r="G9">
        <f>Opening!C9+SUMIFS(Calc!$F$2:$F$1001,Calc!$A$2:$A$1001,$A9,Calc!$C$2:$C$1001,"&lt;="&amp;202509)</f>
        <v/>
      </c>
      <c r="H9">
        <f>MIN(B9,E9)</f>
        <v/>
      </c>
      <c r="I9">
        <f>MIN(C9,F9)</f>
        <v/>
      </c>
      <c r="J9">
        <f>MIN(D9,G9)</f>
        <v/>
      </c>
    </row>
    <row r="10">
      <c r="A10">
        <f>Opening!A10</f>
        <v/>
      </c>
      <c r="B10">
        <f>SUMIFS(Calc!$I$2:$I$1001,Calc!$A$2:$A$1001,$A10,Calc!$C$2:$C$1001,"&lt;="&amp;202507)</f>
        <v/>
      </c>
      <c r="C10">
        <f>SUMIFS(Calc!$I$2:$I$1001,Calc!$A$2:$A$1001,$A10,Calc!$C$2:$C$1001,"&lt;="&amp;202508)</f>
        <v/>
      </c>
      <c r="D10">
        <f>SUMIFS(Calc!$I$2:$I$1001,Calc!$A$2:$A$1001,$A10,Calc!$C$2:$C$1001,"&lt;="&amp;202509)</f>
        <v/>
      </c>
      <c r="E10">
        <f>Opening!C10+SUMIFS(Calc!$F$2:$F$1001,Calc!$A$2:$A$1001,$A10,Calc!$C$2:$C$1001,"&lt;="&amp;202507)</f>
        <v/>
      </c>
      <c r="F10">
        <f>Opening!C10+SUMIFS(Calc!$F$2:$F$1001,Calc!$A$2:$A$1001,$A10,Calc!$C$2:$C$1001,"&lt;="&amp;202508)</f>
        <v/>
      </c>
      <c r="G10">
        <f>Opening!C10+SUMIFS(Calc!$F$2:$F$1001,Calc!$A$2:$A$1001,$A10,Calc!$C$2:$C$1001,"&lt;="&amp;202509)</f>
        <v/>
      </c>
      <c r="H10">
        <f>MIN(B10,E10)</f>
        <v/>
      </c>
      <c r="I10">
        <f>MIN(C10,F10)</f>
        <v/>
      </c>
      <c r="J10">
        <f>MIN(D10,G10)</f>
        <v/>
      </c>
    </row>
    <row r="11">
      <c r="A11">
        <f>Opening!A11</f>
        <v/>
      </c>
      <c r="B11">
        <f>SUMIFS(Calc!$I$2:$I$1001,Calc!$A$2:$A$1001,$A11,Calc!$C$2:$C$1001,"&lt;="&amp;202507)</f>
        <v/>
      </c>
      <c r="C11">
        <f>SUMIFS(Calc!$I$2:$I$1001,Calc!$A$2:$A$1001,$A11,Calc!$C$2:$C$1001,"&lt;="&amp;202508)</f>
        <v/>
      </c>
      <c r="D11">
        <f>SUMIFS(Calc!$I$2:$I$1001,Calc!$A$2:$A$1001,$A11,Calc!$C$2:$C$1001,"&lt;="&amp;202509)</f>
        <v/>
      </c>
      <c r="E11">
        <f>Opening!C11+SUMIFS(Calc!$F$2:$F$1001,Calc!$A$2:$A$1001,$A11,Calc!$C$2:$C$1001,"&lt;="&amp;202507)</f>
        <v/>
      </c>
      <c r="F11">
        <f>Opening!C11+SUMIFS(Calc!$F$2:$F$1001,Calc!$A$2:$A$1001,$A11,Calc!$C$2:$C$1001,"&lt;="&amp;202508)</f>
        <v/>
      </c>
      <c r="G11">
        <f>Opening!C11+SUMIFS(Calc!$F$2:$F$1001,Calc!$A$2:$A$1001,$A11,Calc!$C$2:$C$1001,"&lt;="&amp;202509)</f>
        <v/>
      </c>
      <c r="H11">
        <f>MIN(B11,E11)</f>
        <v/>
      </c>
      <c r="I11">
        <f>MIN(C11,F11)</f>
        <v/>
      </c>
      <c r="J11">
        <f>MIN(D11,G11)</f>
        <v/>
      </c>
    </row>
    <row r="12">
      <c r="A12">
        <f>Opening!A12</f>
        <v/>
      </c>
      <c r="B12">
        <f>SUMIFS(Calc!$I$2:$I$1001,Calc!$A$2:$A$1001,$A12,Calc!$C$2:$C$1001,"&lt;="&amp;202507)</f>
        <v/>
      </c>
      <c r="C12">
        <f>SUMIFS(Calc!$I$2:$I$1001,Calc!$A$2:$A$1001,$A12,Calc!$C$2:$C$1001,"&lt;="&amp;202508)</f>
        <v/>
      </c>
      <c r="D12">
        <f>SUMIFS(Calc!$I$2:$I$1001,Calc!$A$2:$A$1001,$A12,Calc!$C$2:$C$1001,"&lt;="&amp;202509)</f>
        <v/>
      </c>
      <c r="E12">
        <f>Opening!C12+SUMIFS(Calc!$F$2:$F$1001,Calc!$A$2:$A$1001,$A12,Calc!$C$2:$C$1001,"&lt;="&amp;202507)</f>
        <v/>
      </c>
      <c r="F12">
        <f>Opening!C12+SUMIFS(Calc!$F$2:$F$1001,Calc!$A$2:$A$1001,$A12,Calc!$C$2:$C$1001,"&lt;="&amp;202508)</f>
        <v/>
      </c>
      <c r="G12">
        <f>Opening!C12+SUMIFS(Calc!$F$2:$F$1001,Calc!$A$2:$A$1001,$A12,Calc!$C$2:$C$1001,"&lt;="&amp;202509)</f>
        <v/>
      </c>
      <c r="H12">
        <f>MIN(B12,E12)</f>
        <v/>
      </c>
      <c r="I12">
        <f>MIN(C12,F12)</f>
        <v/>
      </c>
      <c r="J12">
        <f>MIN(D12,G12)</f>
        <v/>
      </c>
    </row>
    <row r="13">
      <c r="A13">
        <f>Opening!A13</f>
        <v/>
      </c>
      <c r="B13">
        <f>SUMIFS(Calc!$I$2:$I$1001,Calc!$A$2:$A$1001,$A13,Calc!$C$2:$C$1001,"&lt;="&amp;202507)</f>
        <v/>
      </c>
      <c r="C13">
        <f>SUMIFS(Calc!$I$2:$I$1001,Calc!$A$2:$A$1001,$A13,Calc!$C$2:$C$1001,"&lt;="&amp;202508)</f>
        <v/>
      </c>
      <c r="D13">
        <f>SUMIFS(Calc!$I$2:$I$1001,Calc!$A$2:$A$1001,$A13,Calc!$C$2:$C$1001,"&lt;="&amp;202509)</f>
        <v/>
      </c>
      <c r="E13">
        <f>Opening!C13+SUMIFS(Calc!$F$2:$F$1001,Calc!$A$2:$A$1001,$A13,Calc!$C$2:$C$1001,"&lt;="&amp;202507)</f>
        <v/>
      </c>
      <c r="F13">
        <f>Opening!C13+SUMIFS(Calc!$F$2:$F$1001,Calc!$A$2:$A$1001,$A13,Calc!$C$2:$C$1001,"&lt;="&amp;202508)</f>
        <v/>
      </c>
      <c r="G13">
        <f>Opening!C13+SUMIFS(Calc!$F$2:$F$1001,Calc!$A$2:$A$1001,$A13,Calc!$C$2:$C$1001,"&lt;="&amp;202509)</f>
        <v/>
      </c>
      <c r="H13">
        <f>MIN(B13,E13)</f>
        <v/>
      </c>
      <c r="I13">
        <f>MIN(C13,F13)</f>
        <v/>
      </c>
      <c r="J13">
        <f>MIN(D13,G13)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Pip's Outdoor Gear — Q3 2025 P&amp;L</t>
        </is>
      </c>
      <c r="B1" s="1" t="n"/>
      <c r="C1" s="1" t="n"/>
      <c r="D1" s="1" t="n"/>
      <c r="E1" s="1" t="n"/>
    </row>
    <row r="2">
      <c r="A2" t="inlineStr">
        <is>
          <t>Metric</t>
        </is>
      </c>
      <c r="B2" t="inlineStr">
        <is>
          <t>2025-07</t>
        </is>
      </c>
      <c r="C2" t="inlineStr">
        <is>
          <t>2025-08</t>
        </is>
      </c>
      <c r="D2" t="inlineStr">
        <is>
          <t>2025-09</t>
        </is>
      </c>
      <c r="E2" t="inlineStr">
        <is>
          <t>Q3 total</t>
        </is>
      </c>
    </row>
    <row r="3">
      <c r="A3" t="inlineStr">
        <is>
          <t>Revenue</t>
        </is>
      </c>
      <c r="B3">
        <f>SUMPRODUCT((Calc!$B$2:$B$1001="SALE")*Transactions!$G$2:$G$1001*(Calc!$M$2:$M$1001-0))</f>
        <v/>
      </c>
      <c r="C3">
        <f>SUMPRODUCT((Calc!$B$2:$B$1001="SALE")*Transactions!$G$2:$G$1001*(Calc!$N$2:$N$1001-Calc!$M$2:$M$1001))</f>
        <v/>
      </c>
      <c r="D3">
        <f>SUMPRODUCT((Calc!$B$2:$B$1001="SALE")*Transactions!$G$2:$G$1001*(Calc!$O$2:$O$1001-Calc!$N$2:$N$1001))</f>
        <v/>
      </c>
      <c r="E3">
        <f>SUM(B3:D3)</f>
        <v/>
      </c>
    </row>
    <row r="4">
      <c r="A4" t="inlineStr">
        <is>
          <t>Refunds</t>
        </is>
      </c>
      <c r="B4">
        <f>SUMIFS(Calc!$T$2:$T$1001,Calc!$C$2:$C$1001,202507)</f>
        <v/>
      </c>
      <c r="C4">
        <f>SUMIFS(Calc!$T$2:$T$1001,Calc!$C$2:$C$1001,202508)</f>
        <v/>
      </c>
      <c r="D4">
        <f>SUMIFS(Calc!$T$2:$T$1001,Calc!$C$2:$C$1001,202509)</f>
        <v/>
      </c>
      <c r="E4">
        <f>SUM(B4:D4)</f>
        <v/>
      </c>
    </row>
    <row r="5">
      <c r="A5" t="inlineStr">
        <is>
          <t>COGS</t>
        </is>
      </c>
      <c r="B5">
        <f>SUMPRODUCT((Calc!$B$2:$B$1001="SALE")*(Calc!$Q$2:$Q$1001-Calc!$P$2:$P$1001))</f>
        <v/>
      </c>
      <c r="C5">
        <f>SUMPRODUCT((Calc!$B$2:$B$1001="SALE")*(Calc!$R$2:$R$1001-Calc!$Q$2:$Q$1001))</f>
        <v/>
      </c>
      <c r="D5">
        <f>SUMPRODUCT((Calc!$B$2:$B$1001="SALE")*(Calc!$S$2:$S$1001-Calc!$R$2:$R$1001))</f>
        <v/>
      </c>
      <c r="E5">
        <f>SUM(B5:D5)</f>
        <v/>
      </c>
    </row>
    <row r="6">
      <c r="A6" t="inlineStr">
        <is>
          <t>Write-offs</t>
        </is>
      </c>
      <c r="B6">
        <f>SUMPRODUCT((Calc!$B$2:$B$1001="WRITEOFF")*(Calc!$Q$2:$Q$1001-Calc!$P$2:$P$1001))</f>
        <v/>
      </c>
      <c r="C6">
        <f>SUMPRODUCT((Calc!$B$2:$B$1001="WRITEOFF")*(Calc!$R$2:$R$1001-Calc!$Q$2:$Q$1001))</f>
        <v/>
      </c>
      <c r="D6">
        <f>SUMPRODUCT((Calc!$B$2:$B$1001="WRITEOFF")*(Calc!$S$2:$S$1001-Calc!$R$2:$R$1001))</f>
        <v/>
      </c>
      <c r="E6">
        <f>SUM(B6:D6)</f>
        <v/>
      </c>
    </row>
    <row r="7">
      <c r="A7" t="inlineStr">
        <is>
          <t>Gross profit</t>
        </is>
      </c>
      <c r="B7">
        <f>B3-B4-B5-B6</f>
        <v/>
      </c>
      <c r="C7">
        <f>C3-C4-C5-C6</f>
        <v/>
      </c>
      <c r="D7">
        <f>D3-D4-D5-D6</f>
        <v/>
      </c>
      <c r="E7">
        <f>SUM(B7:D7)</f>
        <v/>
      </c>
    </row>
    <row r="8">
      <c r="A8" t="inlineStr">
        <is>
          <t>Operating expenses</t>
        </is>
      </c>
      <c r="B8">
        <f>SUMIFS(Calc!$U$2:$U$1001,Calc!$C$2:$C$1001,202507)</f>
        <v/>
      </c>
      <c r="C8">
        <f>SUMIFS(Calc!$U$2:$U$1001,Calc!$C$2:$C$1001,202508)</f>
        <v/>
      </c>
      <c r="D8">
        <f>SUMIFS(Calc!$U$2:$U$1001,Calc!$C$2:$C$1001,202509)</f>
        <v/>
      </c>
      <c r="E8">
        <f>SUM(B8:D8)</f>
        <v/>
      </c>
    </row>
    <row r="9">
      <c r="A9" t="inlineStr">
        <is>
          <t>Net profit</t>
        </is>
      </c>
      <c r="B9">
        <f>B7-B8</f>
        <v/>
      </c>
      <c r="C9">
        <f>C7-C8</f>
        <v/>
      </c>
      <c r="D9">
        <f>D7-D8</f>
        <v/>
      </c>
      <c r="E9">
        <f>SUM(B9:D9)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On hand</t>
        </is>
      </c>
      <c r="C1" s="1" t="inlineStr">
        <is>
          <t>Backordered</t>
        </is>
      </c>
      <c r="D1" s="1" t="inlineStr">
        <is>
          <t>Stock value (FIFO)</t>
        </is>
      </c>
      <c r="E1" s="1" t="inlineStr">
        <is>
          <t>Reorder?</t>
        </is>
      </c>
      <c r="F1" s="1" t="inlineStr">
        <is>
          <t>Reorder qty</t>
        </is>
      </c>
    </row>
    <row r="2">
      <c r="A2">
        <f>Opening!A2</f>
        <v/>
      </c>
      <c r="B2">
        <f>Month!G2-Month!J2</f>
        <v/>
      </c>
      <c r="C2">
        <f>SUMPRODUCT((Calc!$A$2:$A$1001=$A2)*(Calc!$B$2:$B$1001="SALE")*(Calc!$I$2:$I$1001-Calc!$O$2:$O$1001))</f>
        <v/>
      </c>
      <c r="D2">
        <f>ROUND((MIN(MAX(Month!G2,0),Opening!C2)*Opening!D2+SUMPRODUCT((Calc!$A$2:$A$1001=$A2)*Calc!$G$2:$G$1001*(((Month!G2-(Opening!C2+Calc!$J$2:$J$1001))&gt;0)*((Month!G2-(Opening!C2+Calc!$J$2:$J$1001))&lt;Calc!$F$2:$F$1001)*(Month!G2-(Opening!C2+Calc!$J$2:$J$1001))+((Month!G2-(Opening!C2+Calc!$J$2:$J$1001))&gt;=Calc!$F$2:$F$1001)*Calc!$F$2:$F$1001)))-(MIN(MAX(Month!J2,0),Opening!C2)*Opening!D2+SUMPRODUCT((Calc!$A$2:$A$1001=$A2)*Calc!$G$2:$G$1001*(((Month!J2-(Opening!C2+Calc!$J$2:$J$1001))&gt;0)*((Month!J2-(Opening!C2+Calc!$J$2:$J$1001))&lt;Calc!$F$2:$F$1001)*(Month!J2-(Opening!C2+Calc!$J$2:$J$1001))+((Month!J2-(Opening!C2+Calc!$J$2:$J$1001))&gt;=Calc!$F$2:$F$1001)*Calc!$F$2:$F$1001))),2)</f>
        <v/>
      </c>
      <c r="E2">
        <f>IF(B2&lt;Opening!F2,"YES","NO")</f>
        <v/>
      </c>
      <c r="F2">
        <f>IF(E2="YES",Opening!G2,0)</f>
        <v/>
      </c>
    </row>
    <row r="3">
      <c r="A3">
        <f>Opening!A3</f>
        <v/>
      </c>
      <c r="B3">
        <f>Month!G3-Month!J3</f>
        <v/>
      </c>
      <c r="C3">
        <f>SUMPRODUCT((Calc!$A$2:$A$1001=$A3)*(Calc!$B$2:$B$1001="SALE")*(Calc!$I$2:$I$1001-Calc!$O$2:$O$1001))</f>
        <v/>
      </c>
      <c r="D3">
        <f>ROUND((MIN(MAX(Month!G3,0),Opening!C3)*Opening!D3+SUMPRODUCT((Calc!$A$2:$A$1001=$A3)*Calc!$G$2:$G$1001*(((Month!G3-(Opening!C3+Calc!$J$2:$J$1001))&gt;0)*((Month!G3-(Opening!C3+Calc!$J$2:$J$1001))&lt;Calc!$F$2:$F$1001)*(Month!G3-(Opening!C3+Calc!$J$2:$J$1001))+((Month!G3-(Opening!C3+Calc!$J$2:$J$1001))&gt;=Calc!$F$2:$F$1001)*Calc!$F$2:$F$1001)))-(MIN(MAX(Month!J3,0),Opening!C3)*Opening!D3+SUMPRODUCT((Calc!$A$2:$A$1001=$A3)*Calc!$G$2:$G$1001*(((Month!J3-(Opening!C3+Calc!$J$2:$J$1001))&gt;0)*((Month!J3-(Opening!C3+Calc!$J$2:$J$1001))&lt;Calc!$F$2:$F$1001)*(Month!J3-(Opening!C3+Calc!$J$2:$J$1001))+((Month!J3-(Opening!C3+Calc!$J$2:$J$1001))&gt;=Calc!$F$2:$F$1001)*Calc!$F$2:$F$1001))),2)</f>
        <v/>
      </c>
      <c r="E3">
        <f>IF(B3&lt;Opening!F3,"YES","NO")</f>
        <v/>
      </c>
      <c r="F3">
        <f>IF(E3="YES",Opening!G3,0)</f>
        <v/>
      </c>
    </row>
    <row r="4">
      <c r="A4">
        <f>Opening!A4</f>
        <v/>
      </c>
      <c r="B4">
        <f>Month!G4-Month!J4</f>
        <v/>
      </c>
      <c r="C4">
        <f>SUMPRODUCT((Calc!$A$2:$A$1001=$A4)*(Calc!$B$2:$B$1001="SALE")*(Calc!$I$2:$I$1001-Calc!$O$2:$O$1001))</f>
        <v/>
      </c>
      <c r="D4">
        <f>ROUND((MIN(MAX(Month!G4,0),Opening!C4)*Opening!D4+SUMPRODUCT((Calc!$A$2:$A$1001=$A4)*Calc!$G$2:$G$1001*(((Month!G4-(Opening!C4+Calc!$J$2:$J$1001))&gt;0)*((Month!G4-(Opening!C4+Calc!$J$2:$J$1001))&lt;Calc!$F$2:$F$1001)*(Month!G4-(Opening!C4+Calc!$J$2:$J$1001))+((Month!G4-(Opening!C4+Calc!$J$2:$J$1001))&gt;=Calc!$F$2:$F$1001)*Calc!$F$2:$F$1001)))-(MIN(MAX(Month!J4,0),Opening!C4)*Opening!D4+SUMPRODUCT((Calc!$A$2:$A$1001=$A4)*Calc!$G$2:$G$1001*(((Month!J4-(Opening!C4+Calc!$J$2:$J$1001))&gt;0)*((Month!J4-(Opening!C4+Calc!$J$2:$J$1001))&lt;Calc!$F$2:$F$1001)*(Month!J4-(Opening!C4+Calc!$J$2:$J$1001))+((Month!J4-(Opening!C4+Calc!$J$2:$J$1001))&gt;=Calc!$F$2:$F$1001)*Calc!$F$2:$F$1001))),2)</f>
        <v/>
      </c>
      <c r="E4">
        <f>IF(B4&lt;Opening!F4,"YES","NO")</f>
        <v/>
      </c>
      <c r="F4">
        <f>IF(E4="YES",Opening!G4,0)</f>
        <v/>
      </c>
    </row>
    <row r="5">
      <c r="A5">
        <f>Opening!A5</f>
        <v/>
      </c>
      <c r="B5">
        <f>Month!G5-Month!J5</f>
        <v/>
      </c>
      <c r="C5">
        <f>SUMPRODUCT((Calc!$A$2:$A$1001=$A5)*(Calc!$B$2:$B$1001="SALE")*(Calc!$I$2:$I$1001-Calc!$O$2:$O$1001))</f>
        <v/>
      </c>
      <c r="D5">
        <f>ROUND((MIN(MAX(Month!G5,0),Opening!C5)*Opening!D5+SUMPRODUCT((Calc!$A$2:$A$1001=$A5)*Calc!$G$2:$G$1001*(((Month!G5-(Opening!C5+Calc!$J$2:$J$1001))&gt;0)*((Month!G5-(Opening!C5+Calc!$J$2:$J$1001))&lt;Calc!$F$2:$F$1001)*(Month!G5-(Opening!C5+Calc!$J$2:$J$1001))+((Month!G5-(Opening!C5+Calc!$J$2:$J$1001))&gt;=Calc!$F$2:$F$1001)*Calc!$F$2:$F$1001)))-(MIN(MAX(Month!J5,0),Opening!C5)*Opening!D5+SUMPRODUCT((Calc!$A$2:$A$1001=$A5)*Calc!$G$2:$G$1001*(((Month!J5-(Opening!C5+Calc!$J$2:$J$1001))&gt;0)*((Month!J5-(Opening!C5+Calc!$J$2:$J$1001))&lt;Calc!$F$2:$F$1001)*(Month!J5-(Opening!C5+Calc!$J$2:$J$1001))+((Month!J5-(Opening!C5+Calc!$J$2:$J$1001))&gt;=Calc!$F$2:$F$1001)*Calc!$F$2:$F$1001))),2)</f>
        <v/>
      </c>
      <c r="E5">
        <f>IF(B5&lt;Opening!F5,"YES","NO")</f>
        <v/>
      </c>
      <c r="F5">
        <f>IF(E5="YES",Opening!G5,0)</f>
        <v/>
      </c>
    </row>
    <row r="6">
      <c r="A6">
        <f>Opening!A6</f>
        <v/>
      </c>
      <c r="B6">
        <f>Month!G6-Month!J6</f>
        <v/>
      </c>
      <c r="C6">
        <f>SUMPRODUCT((Calc!$A$2:$A$1001=$A6)*(Calc!$B$2:$B$1001="SALE")*(Calc!$I$2:$I$1001-Calc!$O$2:$O$1001))</f>
        <v/>
      </c>
      <c r="D6">
        <f>ROUND((MIN(MAX(Month!G6,0),Opening!C6)*Opening!D6+SUMPRODUCT((Calc!$A$2:$A$1001=$A6)*Calc!$G$2:$G$1001*(((Month!G6-(Opening!C6+Calc!$J$2:$J$1001))&gt;0)*((Month!G6-(Opening!C6+Calc!$J$2:$J$1001))&lt;Calc!$F$2:$F$1001)*(Month!G6-(Opening!C6+Calc!$J$2:$J$1001))+((Month!G6-(Opening!C6+Calc!$J$2:$J$1001))&gt;=Calc!$F$2:$F$1001)*Calc!$F$2:$F$1001)))-(MIN(MAX(Month!J6,0),Opening!C6)*Opening!D6+SUMPRODUCT((Calc!$A$2:$A$1001=$A6)*Calc!$G$2:$G$1001*(((Month!J6-(Opening!C6+Calc!$J$2:$J$1001))&gt;0)*((Month!J6-(Opening!C6+Calc!$J$2:$J$1001))&lt;Calc!$F$2:$F$1001)*(Month!J6-(Opening!C6+Calc!$J$2:$J$1001))+((Month!J6-(Opening!C6+Calc!$J$2:$J$1001))&gt;=Calc!$F$2:$F$1001)*Calc!$F$2:$F$1001))),2)</f>
        <v/>
      </c>
      <c r="E6">
        <f>IF(B6&lt;Opening!F6,"YES","NO")</f>
        <v/>
      </c>
      <c r="F6">
        <f>IF(E6="YES",Opening!G6,0)</f>
        <v/>
      </c>
    </row>
    <row r="7">
      <c r="A7">
        <f>Opening!A7</f>
        <v/>
      </c>
      <c r="B7">
        <f>Month!G7-Month!J7</f>
        <v/>
      </c>
      <c r="C7">
        <f>SUMPRODUCT((Calc!$A$2:$A$1001=$A7)*(Calc!$B$2:$B$1001="SALE")*(Calc!$I$2:$I$1001-Calc!$O$2:$O$1001))</f>
        <v/>
      </c>
      <c r="D7">
        <f>ROUND((MIN(MAX(Month!G7,0),Opening!C7)*Opening!D7+SUMPRODUCT((Calc!$A$2:$A$1001=$A7)*Calc!$G$2:$G$1001*(((Month!G7-(Opening!C7+Calc!$J$2:$J$1001))&gt;0)*((Month!G7-(Opening!C7+Calc!$J$2:$J$1001))&lt;Calc!$F$2:$F$1001)*(Month!G7-(Opening!C7+Calc!$J$2:$J$1001))+((Month!G7-(Opening!C7+Calc!$J$2:$J$1001))&gt;=Calc!$F$2:$F$1001)*Calc!$F$2:$F$1001)))-(MIN(MAX(Month!J7,0),Opening!C7)*Opening!D7+SUMPRODUCT((Calc!$A$2:$A$1001=$A7)*Calc!$G$2:$G$1001*(((Month!J7-(Opening!C7+Calc!$J$2:$J$1001))&gt;0)*((Month!J7-(Opening!C7+Calc!$J$2:$J$1001))&lt;Calc!$F$2:$F$1001)*(Month!J7-(Opening!C7+Calc!$J$2:$J$1001))+((Month!J7-(Opening!C7+Calc!$J$2:$J$1001))&gt;=Calc!$F$2:$F$1001)*Calc!$F$2:$F$1001))),2)</f>
        <v/>
      </c>
      <c r="E7">
        <f>IF(B7&lt;Opening!F7,"YES","NO")</f>
        <v/>
      </c>
      <c r="F7">
        <f>IF(E7="YES",Opening!G7,0)</f>
        <v/>
      </c>
    </row>
    <row r="8">
      <c r="A8">
        <f>Opening!A8</f>
        <v/>
      </c>
      <c r="B8">
        <f>Month!G8-Month!J8</f>
        <v/>
      </c>
      <c r="C8">
        <f>SUMPRODUCT((Calc!$A$2:$A$1001=$A8)*(Calc!$B$2:$B$1001="SALE")*(Calc!$I$2:$I$1001-Calc!$O$2:$O$1001))</f>
        <v/>
      </c>
      <c r="D8">
        <f>ROUND((MIN(MAX(Month!G8,0),Opening!C8)*Opening!D8+SUMPRODUCT((Calc!$A$2:$A$1001=$A8)*Calc!$G$2:$G$1001*(((Month!G8-(Opening!C8+Calc!$J$2:$J$1001))&gt;0)*((Month!G8-(Opening!C8+Calc!$J$2:$J$1001))&lt;Calc!$F$2:$F$1001)*(Month!G8-(Opening!C8+Calc!$J$2:$J$1001))+((Month!G8-(Opening!C8+Calc!$J$2:$J$1001))&gt;=Calc!$F$2:$F$1001)*Calc!$F$2:$F$1001)))-(MIN(MAX(Month!J8,0),Opening!C8)*Opening!D8+SUMPRODUCT((Calc!$A$2:$A$1001=$A8)*Calc!$G$2:$G$1001*(((Month!J8-(Opening!C8+Calc!$J$2:$J$1001))&gt;0)*((Month!J8-(Opening!C8+Calc!$J$2:$J$1001))&lt;Calc!$F$2:$F$1001)*(Month!J8-(Opening!C8+Calc!$J$2:$J$1001))+((Month!J8-(Opening!C8+Calc!$J$2:$J$1001))&gt;=Calc!$F$2:$F$1001)*Calc!$F$2:$F$1001))),2)</f>
        <v/>
      </c>
      <c r="E8">
        <f>IF(B8&lt;Opening!F8,"YES","NO")</f>
        <v/>
      </c>
      <c r="F8">
        <f>IF(E8="YES",Opening!G8,0)</f>
        <v/>
      </c>
    </row>
    <row r="9">
      <c r="A9">
        <f>Opening!A9</f>
        <v/>
      </c>
      <c r="B9">
        <f>Month!G9-Month!J9</f>
        <v/>
      </c>
      <c r="C9">
        <f>SUMPRODUCT((Calc!$A$2:$A$1001=$A9)*(Calc!$B$2:$B$1001="SALE")*(Calc!$I$2:$I$1001-Calc!$O$2:$O$1001))</f>
        <v/>
      </c>
      <c r="D9">
        <f>ROUND((MIN(MAX(Month!G9,0),Opening!C9)*Opening!D9+SUMPRODUCT((Calc!$A$2:$A$1001=$A9)*Calc!$G$2:$G$1001*(((Month!G9-(Opening!C9+Calc!$J$2:$J$1001))&gt;0)*((Month!G9-(Opening!C9+Calc!$J$2:$J$1001))&lt;Calc!$F$2:$F$1001)*(Month!G9-(Opening!C9+Calc!$J$2:$J$1001))+((Month!G9-(Opening!C9+Calc!$J$2:$J$1001))&gt;=Calc!$F$2:$F$1001)*Calc!$F$2:$F$1001)))-(MIN(MAX(Month!J9,0),Opening!C9)*Opening!D9+SUMPRODUCT((Calc!$A$2:$A$1001=$A9)*Calc!$G$2:$G$1001*(((Month!J9-(Opening!C9+Calc!$J$2:$J$1001))&gt;0)*((Month!J9-(Opening!C9+Calc!$J$2:$J$1001))&lt;Calc!$F$2:$F$1001)*(Month!J9-(Opening!C9+Calc!$J$2:$J$1001))+((Month!J9-(Opening!C9+Calc!$J$2:$J$1001))&gt;=Calc!$F$2:$F$1001)*Calc!$F$2:$F$1001))),2)</f>
        <v/>
      </c>
      <c r="E9">
        <f>IF(B9&lt;Opening!F9,"YES","NO")</f>
        <v/>
      </c>
      <c r="F9">
        <f>IF(E9="YES",Opening!G9,0)</f>
        <v/>
      </c>
    </row>
    <row r="10">
      <c r="A10">
        <f>Opening!A10</f>
        <v/>
      </c>
      <c r="B10">
        <f>Month!G10-Month!J10</f>
        <v/>
      </c>
      <c r="C10">
        <f>SUMPRODUCT((Calc!$A$2:$A$1001=$A10)*(Calc!$B$2:$B$1001="SALE")*(Calc!$I$2:$I$1001-Calc!$O$2:$O$1001))</f>
        <v/>
      </c>
      <c r="D10">
        <f>ROUND((MIN(MAX(Month!G10,0),Opening!C10)*Opening!D10+SUMPRODUCT((Calc!$A$2:$A$1001=$A10)*Calc!$G$2:$G$1001*(((Month!G10-(Opening!C10+Calc!$J$2:$J$1001))&gt;0)*((Month!G10-(Opening!C10+Calc!$J$2:$J$1001))&lt;Calc!$F$2:$F$1001)*(Month!G10-(Opening!C10+Calc!$J$2:$J$1001))+((Month!G10-(Opening!C10+Calc!$J$2:$J$1001))&gt;=Calc!$F$2:$F$1001)*Calc!$F$2:$F$1001)))-(MIN(MAX(Month!J10,0),Opening!C10)*Opening!D10+SUMPRODUCT((Calc!$A$2:$A$1001=$A10)*Calc!$G$2:$G$1001*(((Month!J10-(Opening!C10+Calc!$J$2:$J$1001))&gt;0)*((Month!J10-(Opening!C10+Calc!$J$2:$J$1001))&lt;Calc!$F$2:$F$1001)*(Month!J10-(Opening!C10+Calc!$J$2:$J$1001))+((Month!J10-(Opening!C10+Calc!$J$2:$J$1001))&gt;=Calc!$F$2:$F$1001)*Calc!$F$2:$F$1001))),2)</f>
        <v/>
      </c>
      <c r="E10">
        <f>IF(B10&lt;Opening!F10,"YES","NO")</f>
        <v/>
      </c>
      <c r="F10">
        <f>IF(E10="YES",Opening!G10,0)</f>
        <v/>
      </c>
    </row>
    <row r="11">
      <c r="A11">
        <f>Opening!A11</f>
        <v/>
      </c>
      <c r="B11">
        <f>Month!G11-Month!J11</f>
        <v/>
      </c>
      <c r="C11">
        <f>SUMPRODUCT((Calc!$A$2:$A$1001=$A11)*(Calc!$B$2:$B$1001="SALE")*(Calc!$I$2:$I$1001-Calc!$O$2:$O$1001))</f>
        <v/>
      </c>
      <c r="D11">
        <f>ROUND((MIN(MAX(Month!G11,0),Opening!C11)*Opening!D11+SUMPRODUCT((Calc!$A$2:$A$1001=$A11)*Calc!$G$2:$G$1001*(((Month!G11-(Opening!C11+Calc!$J$2:$J$1001))&gt;0)*((Month!G11-(Opening!C11+Calc!$J$2:$J$1001))&lt;Calc!$F$2:$F$1001)*(Month!G11-(Opening!C11+Calc!$J$2:$J$1001))+((Month!G11-(Opening!C11+Calc!$J$2:$J$1001))&gt;=Calc!$F$2:$F$1001)*Calc!$F$2:$F$1001)))-(MIN(MAX(Month!J11,0),Opening!C11)*Opening!D11+SUMPRODUCT((Calc!$A$2:$A$1001=$A11)*Calc!$G$2:$G$1001*(((Month!J11-(Opening!C11+Calc!$J$2:$J$1001))&gt;0)*((Month!J11-(Opening!C11+Calc!$J$2:$J$1001))&lt;Calc!$F$2:$F$1001)*(Month!J11-(Opening!C11+Calc!$J$2:$J$1001))+((Month!J11-(Opening!C11+Calc!$J$2:$J$1001))&gt;=Calc!$F$2:$F$1001)*Calc!$F$2:$F$1001))),2)</f>
        <v/>
      </c>
      <c r="E11">
        <f>IF(B11&lt;Opening!F11,"YES","NO")</f>
        <v/>
      </c>
      <c r="F11">
        <f>IF(E11="YES",Opening!G11,0)</f>
        <v/>
      </c>
    </row>
    <row r="12">
      <c r="A12">
        <f>Opening!A12</f>
        <v/>
      </c>
      <c r="B12">
        <f>Month!G12-Month!J12</f>
        <v/>
      </c>
      <c r="C12">
        <f>SUMPRODUCT((Calc!$A$2:$A$1001=$A12)*(Calc!$B$2:$B$1001="SALE")*(Calc!$I$2:$I$1001-Calc!$O$2:$O$1001))</f>
        <v/>
      </c>
      <c r="D12">
        <f>ROUND((MIN(MAX(Month!G12,0),Opening!C12)*Opening!D12+SUMPRODUCT((Calc!$A$2:$A$1001=$A12)*Calc!$G$2:$G$1001*(((Month!G12-(Opening!C12+Calc!$J$2:$J$1001))&gt;0)*((Month!G12-(Opening!C12+Calc!$J$2:$J$1001))&lt;Calc!$F$2:$F$1001)*(Month!G12-(Opening!C12+Calc!$J$2:$J$1001))+((Month!G12-(Opening!C12+Calc!$J$2:$J$1001))&gt;=Calc!$F$2:$F$1001)*Calc!$F$2:$F$1001)))-(MIN(MAX(Month!J12,0),Opening!C12)*Opening!D12+SUMPRODUCT((Calc!$A$2:$A$1001=$A12)*Calc!$G$2:$G$1001*(((Month!J12-(Opening!C12+Calc!$J$2:$J$1001))&gt;0)*((Month!J12-(Opening!C12+Calc!$J$2:$J$1001))&lt;Calc!$F$2:$F$1001)*(Month!J12-(Opening!C12+Calc!$J$2:$J$1001))+((Month!J12-(Opening!C12+Calc!$J$2:$J$1001))&gt;=Calc!$F$2:$F$1001)*Calc!$F$2:$F$1001))),2)</f>
        <v/>
      </c>
      <c r="E12">
        <f>IF(B12&lt;Opening!F12,"YES","NO")</f>
        <v/>
      </c>
      <c r="F12">
        <f>IF(E12="YES",Opening!G12,0)</f>
        <v/>
      </c>
    </row>
    <row r="13">
      <c r="A13">
        <f>Opening!A13</f>
        <v/>
      </c>
      <c r="B13">
        <f>Month!G13-Month!J13</f>
        <v/>
      </c>
      <c r="C13">
        <f>SUMPRODUCT((Calc!$A$2:$A$1001=$A13)*(Calc!$B$2:$B$1001="SALE")*(Calc!$I$2:$I$1001-Calc!$O$2:$O$1001))</f>
        <v/>
      </c>
      <c r="D13">
        <f>ROUND((MIN(MAX(Month!G13,0),Opening!C13)*Opening!D13+SUMPRODUCT((Calc!$A$2:$A$1001=$A13)*Calc!$G$2:$G$1001*(((Month!G13-(Opening!C13+Calc!$J$2:$J$1001))&gt;0)*((Month!G13-(Opening!C13+Calc!$J$2:$J$1001))&lt;Calc!$F$2:$F$1001)*(Month!G13-(Opening!C13+Calc!$J$2:$J$1001))+((Month!G13-(Opening!C13+Calc!$J$2:$J$1001))&gt;=Calc!$F$2:$F$1001)*Calc!$F$2:$F$1001)))-(MIN(MAX(Month!J13,0),Opening!C13)*Opening!D13+SUMPRODUCT((Calc!$A$2:$A$1001=$A13)*Calc!$G$2:$G$1001*(((Month!J13-(Opening!C13+Calc!$J$2:$J$1001))&gt;0)*((Month!J13-(Opening!C13+Calc!$J$2:$J$1001))&lt;Calc!$F$2:$F$1001)*(Month!J13-(Opening!C13+Calc!$J$2:$J$1001))+((Month!J13-(Opening!C13+Calc!$J$2:$J$1001))&gt;=Calc!$F$2:$F$1001)*Calc!$F$2:$F$1001))),2)</f>
        <v/>
      </c>
      <c r="E13">
        <f>IF(B13&lt;Opening!F13,"YES","NO")</f>
        <v/>
      </c>
      <c r="F13">
        <f>IF(E13="YES",Opening!G13,0)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TxnID</t>
        </is>
      </c>
      <c r="B1" s="1" t="inlineStr">
        <is>
          <t>Why it was ignored</t>
        </is>
      </c>
    </row>
    <row r="2">
      <c r="A2">
        <f>IFERROR(INDEX(Transactions!$A:$A,SMALL(Calc!$V$2:$V$1001,1)),"")</f>
        <v/>
      </c>
      <c r="B2">
        <f>IF(A2="","",IF(COUNTIF(Transactions!$A$1:INDEX(Transactions!$A:$A,SMALL(Calc!$V$2:$V$1001,1)-1),A2)&gt;0,"duplicate transaction id","return of a product never sold"))</f>
        <v/>
      </c>
    </row>
    <row r="3">
      <c r="A3">
        <f>IFERROR(INDEX(Transactions!$A:$A,SMALL(Calc!$V$2:$V$1001,2)),"")</f>
        <v/>
      </c>
      <c r="B3">
        <f>IF(A3="","",IF(COUNTIF(Transactions!$A$1:INDEX(Transactions!$A:$A,SMALL(Calc!$V$2:$V$1001,2)-1),A3)&gt;0,"duplicate transaction id","return of a product never sold"))</f>
        <v/>
      </c>
    </row>
    <row r="4">
      <c r="A4">
        <f>IFERROR(INDEX(Transactions!$A:$A,SMALL(Calc!$V$2:$V$1001,3)),"")</f>
        <v/>
      </c>
      <c r="B4">
        <f>IF(A4="","",IF(COUNTIF(Transactions!$A$1:INDEX(Transactions!$A:$A,SMALL(Calc!$V$2:$V$1001,3)-1),A4)&gt;0,"duplicate transaction id","return of a product never sold"))</f>
        <v/>
      </c>
    </row>
    <row r="5">
      <c r="A5">
        <f>IFERROR(INDEX(Transactions!$A:$A,SMALL(Calc!$V$2:$V$1001,4)),"")</f>
        <v/>
      </c>
      <c r="B5">
        <f>IF(A5="","",IF(COUNTIF(Transactions!$A$1:INDEX(Transactions!$A:$A,SMALL(Calc!$V$2:$V$1001,4)-1),A5)&gt;0,"duplicate transaction id","return of a product never sold"))</f>
        <v/>
      </c>
    </row>
    <row r="6">
      <c r="A6">
        <f>IFERROR(INDEX(Transactions!$A:$A,SMALL(Calc!$V$2:$V$1001,5)),"")</f>
        <v/>
      </c>
      <c r="B6">
        <f>IF(A6="","",IF(COUNTIF(Transactions!$A$1:INDEX(Transactions!$A:$A,SMALL(Calc!$V$2:$V$1001,5)-1),A6)&gt;0,"duplicate transaction id","return of a product never sold"))</f>
        <v/>
      </c>
    </row>
    <row r="7">
      <c r="A7">
        <f>IFERROR(INDEX(Transactions!$A:$A,SMALL(Calc!$V$2:$V$1001,6)),"")</f>
        <v/>
      </c>
      <c r="B7">
        <f>IF(A7="","",IF(COUNTIF(Transactions!$A$1:INDEX(Transactions!$A:$A,SMALL(Calc!$V$2:$V$1001,6)-1),A7)&gt;0,"duplicate transaction id","return of a product never sold"))</f>
        <v/>
      </c>
    </row>
    <row r="8">
      <c r="A8">
        <f>IFERROR(INDEX(Transactions!$A:$A,SMALL(Calc!$V$2:$V$1001,7)),"")</f>
        <v/>
      </c>
      <c r="B8">
        <f>IF(A8="","",IF(COUNTIF(Transactions!$A$1:INDEX(Transactions!$A:$A,SMALL(Calc!$V$2:$V$1001,7)-1),A8)&gt;0,"duplicate transaction id","return of a product never sold"))</f>
        <v/>
      </c>
    </row>
    <row r="9">
      <c r="A9">
        <f>IFERROR(INDEX(Transactions!$A:$A,SMALL(Calc!$V$2:$V$1001,8)),"")</f>
        <v/>
      </c>
      <c r="B9">
        <f>IF(A9="","",IF(COUNTIF(Transactions!$A$1:INDEX(Transactions!$A:$A,SMALL(Calc!$V$2:$V$1001,8)-1),A9)&gt;0,"duplicate transaction id","return of a product never sold"))</f>
        <v/>
      </c>
    </row>
    <row r="10">
      <c r="A10">
        <f>IFERROR(INDEX(Transactions!$A:$A,SMALL(Calc!$V$2:$V$1001,9)),"")</f>
        <v/>
      </c>
      <c r="B10">
        <f>IF(A10="","",IF(COUNTIF(Transactions!$A$1:INDEX(Transactions!$A:$A,SMALL(Calc!$V$2:$V$1001,9)-1),A10)&gt;0,"duplicate transaction id","return of a product never sold"))</f>
        <v/>
      </c>
    </row>
    <row r="11">
      <c r="A11">
        <f>IFERROR(INDEX(Transactions!$A:$A,SMALL(Calc!$V$2:$V$1001,10)),"")</f>
        <v/>
      </c>
      <c r="B11">
        <f>IF(A11="","",IF(COUNTIF(Transactions!$A$1:INDEX(Transactions!$A:$A,SMALL(Calc!$V$2:$V$1001,10)-1),A11)&gt;0,"duplicate transaction id","return of a product never sold"))</f>
        <v/>
      </c>
    </row>
    <row r="12">
      <c r="A12">
        <f>IFERROR(INDEX(Transactions!$A:$A,SMALL(Calc!$V$2:$V$1001,11)),"")</f>
        <v/>
      </c>
      <c r="B12">
        <f>IF(A12="","",IF(COUNTIF(Transactions!$A$1:INDEX(Transactions!$A:$A,SMALL(Calc!$V$2:$V$1001,11)-1),A12)&gt;0,"duplicate transaction id","return of a product never sold"))</f>
        <v/>
      </c>
    </row>
    <row r="13">
      <c r="A13">
        <f>IFERROR(INDEX(Transactions!$A:$A,SMALL(Calc!$V$2:$V$1001,12)),"")</f>
        <v/>
      </c>
      <c r="B13">
        <f>IF(A13="","",IF(COUNTIF(Transactions!$A$1:INDEX(Transactions!$A:$A,SMALL(Calc!$V$2:$V$1001,12)-1),A13)&gt;0,"duplicate transaction id","return of a product never sold"))</f>
        <v/>
      </c>
    </row>
    <row r="14">
      <c r="A14">
        <f>IFERROR(INDEX(Transactions!$A:$A,SMALL(Calc!$V$2:$V$1001,13)),"")</f>
        <v/>
      </c>
      <c r="B14">
        <f>IF(A14="","",IF(COUNTIF(Transactions!$A$1:INDEX(Transactions!$A:$A,SMALL(Calc!$V$2:$V$1001,13)-1),A14)&gt;0,"duplicate transaction id","return of a product never sold"))</f>
        <v/>
      </c>
    </row>
    <row r="15">
      <c r="A15">
        <f>IFERROR(INDEX(Transactions!$A:$A,SMALL(Calc!$V$2:$V$1001,14)),"")</f>
        <v/>
      </c>
      <c r="B15">
        <f>IF(A15="","",IF(COUNTIF(Transactions!$A$1:INDEX(Transactions!$A:$A,SMALL(Calc!$V$2:$V$1001,14)-1),A15)&gt;0,"duplicate transaction id","return of a product never sold"))</f>
        <v/>
      </c>
    </row>
    <row r="16">
      <c r="A16">
        <f>IFERROR(INDEX(Transactions!$A:$A,SMALL(Calc!$V$2:$V$1001,15)),"")</f>
        <v/>
      </c>
      <c r="B16">
        <f>IF(A16="","",IF(COUNTIF(Transactions!$A$1:INDEX(Transactions!$A:$A,SMALL(Calc!$V$2:$V$1001,15)-1),A16)&gt;0,"duplicate transaction id","return of a product never sold"))</f>
        <v/>
      </c>
    </row>
    <row r="17">
      <c r="A17">
        <f>IFERROR(INDEX(Transactions!$A:$A,SMALL(Calc!$V$2:$V$1001,16)),"")</f>
        <v/>
      </c>
      <c r="B17">
        <f>IF(A17="","",IF(COUNTIF(Transactions!$A$1:INDEX(Transactions!$A:$A,SMALL(Calc!$V$2:$V$1001,16)-1),A17)&gt;0,"duplicate transaction id","return of a product never sold"))</f>
        <v/>
      </c>
    </row>
    <row r="18">
      <c r="A18">
        <f>IFERROR(INDEX(Transactions!$A:$A,SMALL(Calc!$V$2:$V$1001,17)),"")</f>
        <v/>
      </c>
      <c r="B18">
        <f>IF(A18="","",IF(COUNTIF(Transactions!$A$1:INDEX(Transactions!$A:$A,SMALL(Calc!$V$2:$V$1001,17)-1),A18)&gt;0,"duplicate transaction id","return of a product never sold"))</f>
        <v/>
      </c>
    </row>
    <row r="19">
      <c r="A19">
        <f>IFERROR(INDEX(Transactions!$A:$A,SMALL(Calc!$V$2:$V$1001,18)),"")</f>
        <v/>
      </c>
      <c r="B19">
        <f>IF(A19="","",IF(COUNTIF(Transactions!$A$1:INDEX(Transactions!$A:$A,SMALL(Calc!$V$2:$V$1001,18)-1),A19)&gt;0,"duplicate transaction id","return of a product never sold"))</f>
        <v/>
      </c>
    </row>
    <row r="20">
      <c r="A20">
        <f>IFERROR(INDEX(Transactions!$A:$A,SMALL(Calc!$V$2:$V$1001,19)),"")</f>
        <v/>
      </c>
      <c r="B20">
        <f>IF(A20="","",IF(COUNTIF(Transactions!$A$1:INDEX(Transactions!$A:$A,SMALL(Calc!$V$2:$V$1001,19)-1),A20)&gt;0,"duplicate transaction id","return of a product never sold"))</f>
        <v/>
      </c>
    </row>
    <row r="21">
      <c r="A21">
        <f>IFERROR(INDEX(Transactions!$A:$A,SMALL(Calc!$V$2:$V$1001,20)),"")</f>
        <v/>
      </c>
      <c r="B21">
        <f>IF(A21="","",IF(COUNTIF(Transactions!$A$1:INDEX(Transactions!$A:$A,SMALL(Calc!$V$2:$V$1001,20)-1),A21)&gt;0,"duplicate transaction id","return of a product never sold"))</f>
        <v/>
      </c>
    </row>
    <row r="22">
      <c r="A22">
        <f>IFERROR(INDEX(Transactions!$A:$A,SMALL(Calc!$V$2:$V$1001,21)),"")</f>
        <v/>
      </c>
      <c r="B22">
        <f>IF(A22="","",IF(COUNTIF(Transactions!$A$1:INDEX(Transactions!$A:$A,SMALL(Calc!$V$2:$V$1001,21)-1),A22)&gt;0,"duplicate transaction id","return of a product never sold"))</f>
        <v/>
      </c>
    </row>
    <row r="23">
      <c r="A23">
        <f>IFERROR(INDEX(Transactions!$A:$A,SMALL(Calc!$V$2:$V$1001,22)),"")</f>
        <v/>
      </c>
      <c r="B23">
        <f>IF(A23="","",IF(COUNTIF(Transactions!$A$1:INDEX(Transactions!$A:$A,SMALL(Calc!$V$2:$V$1001,22)-1),A23)&gt;0,"duplicate transaction id","return of a product never sold"))</f>
        <v/>
      </c>
    </row>
    <row r="24">
      <c r="A24">
        <f>IFERROR(INDEX(Transactions!$A:$A,SMALL(Calc!$V$2:$V$1001,23)),"")</f>
        <v/>
      </c>
      <c r="B24">
        <f>IF(A24="","",IF(COUNTIF(Transactions!$A$1:INDEX(Transactions!$A:$A,SMALL(Calc!$V$2:$V$1001,23)-1),A24)&gt;0,"duplicate transaction id","return of a product never sold"))</f>
        <v/>
      </c>
    </row>
    <row r="25">
      <c r="A25">
        <f>IFERROR(INDEX(Transactions!$A:$A,SMALL(Calc!$V$2:$V$1001,24)),"")</f>
        <v/>
      </c>
      <c r="B25">
        <f>IF(A25="","",IF(COUNTIF(Transactions!$A$1:INDEX(Transactions!$A:$A,SMALL(Calc!$V$2:$V$1001,24)-1),A25)&gt;0,"duplicate transaction id","return of a product never sold"))</f>
        <v/>
      </c>
    </row>
    <row r="26">
      <c r="A26">
        <f>IFERROR(INDEX(Transactions!$A:$A,SMALL(Calc!$V$2:$V$1001,25)),"")</f>
        <v/>
      </c>
      <c r="B26">
        <f>IF(A26="","",IF(COUNTIF(Transactions!$A$1:INDEX(Transactions!$A:$A,SMALL(Calc!$V$2:$V$1001,25)-1),A26)&gt;0,"duplicate transaction id","return of a product never sold"))</f>
        <v/>
      </c>
    </row>
    <row r="27">
      <c r="A27">
        <f>IFERROR(INDEX(Transactions!$A:$A,SMALL(Calc!$V$2:$V$1001,26)),"")</f>
        <v/>
      </c>
      <c r="B27">
        <f>IF(A27="","",IF(COUNTIF(Transactions!$A$1:INDEX(Transactions!$A:$A,SMALL(Calc!$V$2:$V$1001,26)-1),A27)&gt;0,"duplicate transaction id","return of a product never sold"))</f>
        <v/>
      </c>
    </row>
    <row r="28">
      <c r="A28">
        <f>IFERROR(INDEX(Transactions!$A:$A,SMALL(Calc!$V$2:$V$1001,27)),"")</f>
        <v/>
      </c>
      <c r="B28">
        <f>IF(A28="","",IF(COUNTIF(Transactions!$A$1:INDEX(Transactions!$A:$A,SMALL(Calc!$V$2:$V$1001,27)-1),A28)&gt;0,"duplicate transaction id","return of a product never sold"))</f>
        <v/>
      </c>
    </row>
    <row r="29">
      <c r="A29">
        <f>IFERROR(INDEX(Transactions!$A:$A,SMALL(Calc!$V$2:$V$1001,28)),"")</f>
        <v/>
      </c>
      <c r="B29">
        <f>IF(A29="","",IF(COUNTIF(Transactions!$A$1:INDEX(Transactions!$A:$A,SMALL(Calc!$V$2:$V$1001,28)-1),A29)&gt;0,"duplicate transaction id","return of a product never sold"))</f>
        <v/>
      </c>
    </row>
    <row r="30">
      <c r="A30">
        <f>IFERROR(INDEX(Transactions!$A:$A,SMALL(Calc!$V$2:$V$1001,29)),"")</f>
        <v/>
      </c>
      <c r="B30">
        <f>IF(A30="","",IF(COUNTIF(Transactions!$A$1:INDEX(Transactions!$A:$A,SMALL(Calc!$V$2:$V$1001,29)-1),A30)&gt;0,"duplicate transaction id","return of a product never sold"))</f>
        <v/>
      </c>
    </row>
    <row r="31">
      <c r="A31">
        <f>IFERROR(INDEX(Transactions!$A:$A,SMALL(Calc!$V$2:$V$1001,30)),"")</f>
        <v/>
      </c>
      <c r="B31">
        <f>IF(A31="","",IF(COUNTIF(Transactions!$A$1:INDEX(Transactions!$A:$A,SMALL(Calc!$V$2:$V$1001,30)-1),A31)&gt;0,"duplicate transaction id","return of a product never sold"))</f>
        <v/>
      </c>
    </row>
    <row r="32">
      <c r="A32">
        <f>IFERROR(INDEX(Transactions!$A:$A,SMALL(Calc!$V$2:$V$1001,31)),"")</f>
        <v/>
      </c>
      <c r="B32">
        <f>IF(A32="","",IF(COUNTIF(Transactions!$A$1:INDEX(Transactions!$A:$A,SMALL(Calc!$V$2:$V$1001,31)-1),A32)&gt;0,"duplicate transaction id","return of a product never sold"))</f>
        <v/>
      </c>
    </row>
    <row r="33">
      <c r="A33">
        <f>IFERROR(INDEX(Transactions!$A:$A,SMALL(Calc!$V$2:$V$1001,32)),"")</f>
        <v/>
      </c>
      <c r="B33">
        <f>IF(A33="","",IF(COUNTIF(Transactions!$A$1:INDEX(Transactions!$A:$A,SMALL(Calc!$V$2:$V$1001,32)-1),A33)&gt;0,"duplicate transaction id","return of a product never sold"))</f>
        <v/>
      </c>
    </row>
    <row r="34">
      <c r="A34">
        <f>IFERROR(INDEX(Transactions!$A:$A,SMALL(Calc!$V$2:$V$1001,33)),"")</f>
        <v/>
      </c>
      <c r="B34">
        <f>IF(A34="","",IF(COUNTIF(Transactions!$A$1:INDEX(Transactions!$A:$A,SMALL(Calc!$V$2:$V$1001,33)-1),A34)&gt;0,"duplicate transaction id","return of a product never sold"))</f>
        <v/>
      </c>
    </row>
    <row r="35">
      <c r="A35">
        <f>IFERROR(INDEX(Transactions!$A:$A,SMALL(Calc!$V$2:$V$1001,34)),"")</f>
        <v/>
      </c>
      <c r="B35">
        <f>IF(A35="","",IF(COUNTIF(Transactions!$A$1:INDEX(Transactions!$A:$A,SMALL(Calc!$V$2:$V$1001,34)-1),A35)&gt;0,"duplicate transaction id","return of a product never sold"))</f>
        <v/>
      </c>
    </row>
    <row r="36">
      <c r="A36">
        <f>IFERROR(INDEX(Transactions!$A:$A,SMALL(Calc!$V$2:$V$1001,35)),"")</f>
        <v/>
      </c>
      <c r="B36">
        <f>IF(A36="","",IF(COUNTIF(Transactions!$A$1:INDEX(Transactions!$A:$A,SMALL(Calc!$V$2:$V$1001,35)-1),A36)&gt;0,"duplicate transaction id","return of a product never sold"))</f>
        <v/>
      </c>
    </row>
    <row r="37">
      <c r="A37">
        <f>IFERROR(INDEX(Transactions!$A:$A,SMALL(Calc!$V$2:$V$1001,36)),"")</f>
        <v/>
      </c>
      <c r="B37">
        <f>IF(A37="","",IF(COUNTIF(Transactions!$A$1:INDEX(Transactions!$A:$A,SMALL(Calc!$V$2:$V$1001,36)-1),A37)&gt;0,"duplicate transaction id","return of a product never sold"))</f>
        <v/>
      </c>
    </row>
    <row r="38">
      <c r="A38">
        <f>IFERROR(INDEX(Transactions!$A:$A,SMALL(Calc!$V$2:$V$1001,37)),"")</f>
        <v/>
      </c>
      <c r="B38">
        <f>IF(A38="","",IF(COUNTIF(Transactions!$A$1:INDEX(Transactions!$A:$A,SMALL(Calc!$V$2:$V$1001,37)-1),A38)&gt;0,"duplicate transaction id","return of a product never sold"))</f>
        <v/>
      </c>
    </row>
    <row r="39">
      <c r="A39">
        <f>IFERROR(INDEX(Transactions!$A:$A,SMALL(Calc!$V$2:$V$1001,38)),"")</f>
        <v/>
      </c>
      <c r="B39">
        <f>IF(A39="","",IF(COUNTIF(Transactions!$A$1:INDEX(Transactions!$A:$A,SMALL(Calc!$V$2:$V$1001,38)-1),A39)&gt;0,"duplicate transaction id","return of a product never sold"))</f>
        <v/>
      </c>
    </row>
    <row r="40">
      <c r="A40">
        <f>IFERROR(INDEX(Transactions!$A:$A,SMALL(Calc!$V$2:$V$1001,39)),"")</f>
        <v/>
      </c>
      <c r="B40">
        <f>IF(A40="","",IF(COUNTIF(Transactions!$A$1:INDEX(Transactions!$A:$A,SMALL(Calc!$V$2:$V$1001,39)-1),A40)&gt;0,"duplicate transaction id","return of a product never sold"))</f>
        <v/>
      </c>
    </row>
    <row r="41">
      <c r="A41">
        <f>IFERROR(INDEX(Transactions!$A:$A,SMALL(Calc!$V$2:$V$1001,40)),"")</f>
        <v/>
      </c>
      <c r="B41">
        <f>IF(A41="","",IF(COUNTIF(Transactions!$A$1:INDEX(Transactions!$A:$A,SMALL(Calc!$V$2:$V$1001,40)-1),A41)&gt;0,"duplicate transaction id","return of a product never sold"))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2026-09-27T07:02:44Z</dcterms:created>
  <dcterms:modified xmlns:dcterms="http://purl.org/dc/terms/" xmlns:xsi="http://www.w3.org/2001/XMLSchema-instance" xsi:type="dcterms:W3CDTF">2026-09-27T07:04:28Z</dcterms:modified>
</cp:coreProperties>
</file>